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 state="visible" name="シート2" sheetId="2" r:id="rId6"/>
    <sheet state="visible" name="NFTs-Export-2022-September-05-1" sheetId="3" r:id="rId7"/>
    <sheet state="visible" name="220526～追加分 の20220906コピー" sheetId="4" r:id="rId8"/>
  </sheets>
  <definedNames>
    <definedName hidden="1" localSheetId="2" name="_xlnm._FilterDatabase">'NFTs-Export-2022-September-05-1'!$A$1:$M$1293</definedName>
  </definedNames>
  <calcPr/>
</workbook>
</file>

<file path=xl/sharedStrings.xml><?xml version="1.0" encoding="utf-8"?>
<sst xmlns="http://schemas.openxmlformats.org/spreadsheetml/2006/main" count="14337" uniqueCount="2334">
  <si>
    <t>Title</t>
  </si>
  <si>
    <t>Permalink</t>
  </si>
  <si>
    <t>Languages</t>
  </si>
  <si>
    <t>Artists</t>
  </si>
  <si>
    <t>collections&amp;Series</t>
  </si>
  <si>
    <t>collections</t>
  </si>
  <si>
    <t>Series</t>
  </si>
  <si>
    <t>artist_name</t>
  </si>
  <si>
    <t>issued</t>
  </si>
  <si>
    <t>issued_ja</t>
  </si>
  <si>
    <t>total_supply</t>
  </si>
  <si>
    <t>real_supply</t>
  </si>
  <si>
    <t>card_num</t>
  </si>
  <si>
    <t>collections+emoji</t>
  </si>
  <si>
    <t>PEPEBAZAAR</t>
  </si>
  <si>
    <t>https://rarejapanesenfts.com/nft/pepebazaar/</t>
  </si>
  <si>
    <t>English</t>
  </si>
  <si>
    <t>kappepe</t>
  </si>
  <si>
    <t>Badger Capsule&gt;Series 1</t>
  </si>
  <si>
    <t>Nov 2021</t>
  </si>
  <si>
    <t>Badger Capsule</t>
  </si>
  <si>
    <t>IDOJAWAN</t>
  </si>
  <si>
    <t>https://rarejapanesenfts.com/nft/idojawan/</t>
  </si>
  <si>
    <t>CHUNRI</t>
  </si>
  <si>
    <t>LOVENFT</t>
  </si>
  <si>
    <t>https://rarejapanesenfts.com/nft/lovenft/</t>
  </si>
  <si>
    <t>NOMOREDEFI</t>
  </si>
  <si>
    <t>https://rarejapanesenfts.com/nft/nomoredefi/</t>
  </si>
  <si>
    <t>BB</t>
  </si>
  <si>
    <t>Sep 2021</t>
  </si>
  <si>
    <t>HWFASHION</t>
  </si>
  <si>
    <t>https://rarejapanesenfts.com/nft/hwfashion/</t>
  </si>
  <si>
    <t>KAMATTE</t>
  </si>
  <si>
    <t>https://rarejapanesenfts.com/nft/kamatte/</t>
  </si>
  <si>
    <t>pom779</t>
  </si>
  <si>
    <t>Oct 2021</t>
  </si>
  <si>
    <t>FIRSTPEN</t>
  </si>
  <si>
    <t>https://rarejapanesenfts.com/nft/firstpen/</t>
  </si>
  <si>
    <t>くわ</t>
  </si>
  <si>
    <t>Badger Capsule&gt;Badger Innovation Zone</t>
  </si>
  <si>
    <t>HAGEPEPE</t>
  </si>
  <si>
    <t>https://rarejapanesenfts.com/nft/hagepepe/</t>
  </si>
  <si>
    <t>KOEDAME</t>
  </si>
  <si>
    <t>https://rarejapanesenfts.com/nft/koedame/</t>
  </si>
  <si>
    <t>Anonymous</t>
  </si>
  <si>
    <t>NOBUNSAN</t>
  </si>
  <si>
    <t>https://rarejapanesenfts.com/nft/nobunsan/</t>
  </si>
  <si>
    <t>nonsugar</t>
  </si>
  <si>
    <t>OSHIKOMARE</t>
  </si>
  <si>
    <t>https://rarejapanesenfts.com/nft/oshikomare/</t>
  </si>
  <si>
    <t>ブロック男</t>
  </si>
  <si>
    <t>NOTSOON</t>
  </si>
  <si>
    <t>https://rarejapanesenfts.com/nft/notsoon/</t>
  </si>
  <si>
    <t>TKY</t>
  </si>
  <si>
    <t>SHIBACOINER</t>
  </si>
  <si>
    <t>https://rarejapanesenfts.com/nft/shibacoiner/</t>
  </si>
  <si>
    <t>Dec 2021</t>
  </si>
  <si>
    <t>GOXGIRL</t>
  </si>
  <si>
    <t>https://rarejapanesenfts.com/nft/goxgirl/</t>
  </si>
  <si>
    <t>SHITTO</t>
  </si>
  <si>
    <t>https://rarejapanesenfts.com/nft/shitto/</t>
  </si>
  <si>
    <t>NFTuber</t>
  </si>
  <si>
    <t>DOGEMUSK</t>
  </si>
  <si>
    <t>https://rarejapanesenfts.com/nft/dogemusk/</t>
  </si>
  <si>
    <t>WACKNAKAMOTO</t>
  </si>
  <si>
    <t>https://rarejapanesenfts.com/nft/wacknakamoto/</t>
  </si>
  <si>
    <t>ごっつ</t>
  </si>
  <si>
    <t>Memorychain&gt;Series 1</t>
  </si>
  <si>
    <t>Apr 2017</t>
  </si>
  <si>
    <t>THEGODTANU</t>
  </si>
  <si>
    <t>https://rarejapanesenfts.com/nft/thegodtanu/</t>
  </si>
  <si>
    <t>davinci9</t>
  </si>
  <si>
    <t>GOXANDTHEDAO</t>
  </si>
  <si>
    <t>https://rarejapanesenfts.com/nft/goxandthedao/</t>
  </si>
  <si>
    <t>KOJITHECUPID</t>
  </si>
  <si>
    <t>https://rarejapanesenfts.com/nft/kojithecupid/</t>
  </si>
  <si>
    <t>AmazingJapepeneseMan</t>
  </si>
  <si>
    <t>XEMURAI</t>
  </si>
  <si>
    <t>https://rarejapanesenfts.com/nft/xemurai/</t>
  </si>
  <si>
    <t>トレスト</t>
  </si>
  <si>
    <t>THEDAODEAD</t>
  </si>
  <si>
    <t>https://rarejapanesenfts.com/nft/thedaodead/</t>
  </si>
  <si>
    <t>BITCOINGIRL</t>
  </si>
  <si>
    <t>https://rarejapanesenfts.com/nft/bitcoingirl/</t>
  </si>
  <si>
    <t>水瀬 亞里亞</t>
  </si>
  <si>
    <t>MONACOINGIRL</t>
  </si>
  <si>
    <t>https://rarejapanesenfts.com/nft/monacoingirl/</t>
  </si>
  <si>
    <t>MINERB</t>
  </si>
  <si>
    <t>https://rarejapanesenfts.com/nft/minerb/</t>
  </si>
  <si>
    <t>エヌ</t>
  </si>
  <si>
    <t>MIKEHEARNALT</t>
  </si>
  <si>
    <t>https://rarejapanesenfts.com/nft/mikehearnalt/</t>
  </si>
  <si>
    <t>Myon9</t>
  </si>
  <si>
    <t>ORIGINOFMC</t>
  </si>
  <si>
    <t>https://rarejapanesenfts.com/nft/originofmc/</t>
  </si>
  <si>
    <t>SWINGO</t>
  </si>
  <si>
    <t>TOTHEMOONCD</t>
  </si>
  <si>
    <t>https://rarejapanesenfts.com/nft/tothemooncd/</t>
  </si>
  <si>
    <t>BIGONESTEP</t>
  </si>
  <si>
    <t>https://rarejapanesenfts.com/nft/bigonestep/</t>
  </si>
  <si>
    <t>XEMANDJAPAN</t>
  </si>
  <si>
    <t>https://rarejapanesenfts.com/nft/xemandjapan/</t>
  </si>
  <si>
    <t>安心院まおら</t>
  </si>
  <si>
    <t>MONASEGWIT</t>
  </si>
  <si>
    <t>https://rarejapanesenfts.com/nft/monasegwit/</t>
  </si>
  <si>
    <t>らくがきac</t>
  </si>
  <si>
    <t>THEFINTECH</t>
  </si>
  <si>
    <t>https://rarejapanesenfts.com/nft/thefintech/</t>
  </si>
  <si>
    <t>Memorychain&gt;Series 2</t>
  </si>
  <si>
    <t>QUANTUMPC</t>
  </si>
  <si>
    <t>https://rarejapanesenfts.com/nft/quantumpc/</t>
  </si>
  <si>
    <t>MONEROGIRL</t>
  </si>
  <si>
    <t>https://rarejapanesenfts.com/nft/monerogirl/</t>
  </si>
  <si>
    <t>ETHEREUMGIRL</t>
  </si>
  <si>
    <t>https://rarejapanesenfts.com/nft/ethereumgirl/</t>
  </si>
  <si>
    <t>RIPPLEGIRL</t>
  </si>
  <si>
    <t>https://rarejapanesenfts.com/nft/ripplegirl/</t>
  </si>
  <si>
    <t>XASICBOOST</t>
  </si>
  <si>
    <t>https://rarejapanesenfts.com/nft/xasicboost/</t>
  </si>
  <si>
    <t>REJECTEDVIX</t>
  </si>
  <si>
    <t>https://rarejapanesenfts.com/nft/rejectedvix/</t>
  </si>
  <si>
    <t>RAMENSOG</t>
  </si>
  <si>
    <t>https://rarejapanesenfts.com/nft/ramensog/</t>
  </si>
  <si>
    <t>Kassy</t>
  </si>
  <si>
    <t>ECOBITMAN</t>
  </si>
  <si>
    <t>https://rarejapanesenfts.com/nft/ecobitman/</t>
  </si>
  <si>
    <t>ETCCHAN</t>
  </si>
  <si>
    <t>https://rarejapanesenfts.com/nft/etcchan/</t>
  </si>
  <si>
    <t>ミツコア</t>
  </si>
  <si>
    <t>ZECFOTHEMOON</t>
  </si>
  <si>
    <t>https://rarejapanesenfts.com/nft/zecfothemoon/</t>
  </si>
  <si>
    <t>Memorychain&gt;Series 3</t>
  </si>
  <si>
    <t>May 2017</t>
  </si>
  <si>
    <t>UNDERCONTROL</t>
  </si>
  <si>
    <t>https://rarejapanesenfts.com/nft/undercontrol/</t>
  </si>
  <si>
    <t>たろふあ</t>
  </si>
  <si>
    <t>UASFARMY</t>
  </si>
  <si>
    <t>https://rarejapanesenfts.com/nft/uasfarmy/</t>
  </si>
  <si>
    <t>DOGETHEREUM</t>
  </si>
  <si>
    <t>https://rarejapanesenfts.com/nft/dogethereum/</t>
  </si>
  <si>
    <t>THETIMES</t>
  </si>
  <si>
    <t>https://rarejapanesenfts.com/nft/thetimes/</t>
  </si>
  <si>
    <t>TAKARAJPI</t>
  </si>
  <si>
    <t>https://rarejapanesenfts.com/nft/takarajpi/</t>
  </si>
  <si>
    <t>SATOSHICLUB</t>
  </si>
  <si>
    <t>https://rarejapanesenfts.com/nft/satoshiclub/</t>
  </si>
  <si>
    <t>VeryLongUnagi</t>
  </si>
  <si>
    <t>NEMGIRL</t>
  </si>
  <si>
    <t>https://rarejapanesenfts.com/nft/nemgirl/</t>
  </si>
  <si>
    <t>CRYPTOGIRLS</t>
  </si>
  <si>
    <t>https://rarejapanesenfts.com/nft/cryptogirls/</t>
  </si>
  <si>
    <t>ETHHOMESTEAD</t>
  </si>
  <si>
    <t>https://rarejapanesenfts.com/nft/ethhomestead/</t>
  </si>
  <si>
    <t>ETHFRONTIER</t>
  </si>
  <si>
    <t>https://rarejapanesenfts.com/nft/ethfrontier/</t>
  </si>
  <si>
    <t>ECOBITWOMAN</t>
  </si>
  <si>
    <t>https://rarejapanesenfts.com/nft/ecobitwoman/</t>
  </si>
  <si>
    <t>BCCARD</t>
  </si>
  <si>
    <t>https://rarejapanesenfts.com/nft/bccard/</t>
  </si>
  <si>
    <t>笑猫</t>
  </si>
  <si>
    <t>BMANTBLEED</t>
  </si>
  <si>
    <t>https://rarejapanesenfts.com/nft/bmantbleed/</t>
  </si>
  <si>
    <t>裏技君</t>
  </si>
  <si>
    <t>Memorychain&gt;Series 4</t>
  </si>
  <si>
    <t>BOTCOINER</t>
  </si>
  <si>
    <t>https://rarejapanesenfts.com/nft/botcoiner/</t>
  </si>
  <si>
    <t>BTCTATTOO</t>
  </si>
  <si>
    <t>https://rarejapanesenfts.com/nft/btctattoo/</t>
  </si>
  <si>
    <t>響</t>
  </si>
  <si>
    <t>DOGECHAN</t>
  </si>
  <si>
    <t>https://rarejapanesenfts.com/nft/dogechan/</t>
  </si>
  <si>
    <t>ECASHPAPER</t>
  </si>
  <si>
    <t>https://rarejapanesenfts.com/nft/ecashpaper/</t>
  </si>
  <si>
    <t>POWMONSTER</t>
  </si>
  <si>
    <t>https://rarejapanesenfts.com/nft/powmonster/</t>
  </si>
  <si>
    <t>SCAMHAZARD</t>
  </si>
  <si>
    <t>https://rarejapanesenfts.com/nft/scamhazard/</t>
  </si>
  <si>
    <t>GARIKUSON</t>
  </si>
  <si>
    <t>https://rarejapanesenfts.com/nft/garikuson/</t>
  </si>
  <si>
    <t>藤堂竜白</t>
  </si>
  <si>
    <t>HODLONME</t>
  </si>
  <si>
    <t>https://rarejapanesenfts.com/nft/hodlonme/</t>
  </si>
  <si>
    <t>TREZORMYLOVE</t>
  </si>
  <si>
    <t>https://rarejapanesenfts.com/nft/trezormylove/</t>
  </si>
  <si>
    <t>SROADCAMEL</t>
  </si>
  <si>
    <t>https://rarejapanesenfts.com/nft/sroadcamel/</t>
  </si>
  <si>
    <t>x0xb0x</t>
  </si>
  <si>
    <t>THEAKANPANY</t>
  </si>
  <si>
    <t>https://rarejapanesenfts.com/nft/theakanpany/</t>
  </si>
  <si>
    <t>べた</t>
  </si>
  <si>
    <t>TLOD</t>
  </si>
  <si>
    <t>https://rarejapanesenfts.com/nft/tlod/</t>
  </si>
  <si>
    <t>WACKWATANABE</t>
  </si>
  <si>
    <t>https://rarejapanesenfts.com/nft/wackwatanabe/</t>
  </si>
  <si>
    <t>ZAIFGIRLS</t>
  </si>
  <si>
    <t>https://rarejapanesenfts.com/nft/zaifgirls/</t>
  </si>
  <si>
    <t>CCGANNEN</t>
  </si>
  <si>
    <t>https://rarejapanesenfts.com/nft/ccgannen/</t>
  </si>
  <si>
    <t>Memorychain&gt;Series 5</t>
  </si>
  <si>
    <t>Jun 2017</t>
  </si>
  <si>
    <t>YOMEGOX</t>
  </si>
  <si>
    <t>https://rarejapanesenfts.com/nft/yomegox/</t>
  </si>
  <si>
    <t>CRYPTORPG</t>
  </si>
  <si>
    <t>https://rarejapanesenfts.com/nft/cryptorpg/</t>
  </si>
  <si>
    <t>PJ</t>
  </si>
  <si>
    <t>FOREVERP</t>
  </si>
  <si>
    <t>https://rarejapanesenfts.com/nft/foreverp/</t>
  </si>
  <si>
    <t>MCHARVESTING</t>
  </si>
  <si>
    <t>https://rarejapanesenfts.com/nft/mcharvesting/</t>
  </si>
  <si>
    <t>MCRIPPLENW</t>
  </si>
  <si>
    <t>https://rarejapanesenfts.com/nft/mcripplenw/</t>
  </si>
  <si>
    <t>MONAPEPECARD</t>
  </si>
  <si>
    <t>https://rarejapanesenfts.com/nft/monapepecard/</t>
  </si>
  <si>
    <t>MONATATTOO</t>
  </si>
  <si>
    <t>https://rarejapanesenfts.com/nft/monatattoo/</t>
  </si>
  <si>
    <t>XEMTATTOO</t>
  </si>
  <si>
    <t>https://rarejapanesenfts.com/nft/xemtattoo/</t>
  </si>
  <si>
    <t>ORIGINOFSOG</t>
  </si>
  <si>
    <t>https://rarejapanesenfts.com/nft/originofsog/</t>
  </si>
  <si>
    <t>POTCOINER</t>
  </si>
  <si>
    <t>https://rarejapanesenfts.com/nft/potcoiner/</t>
  </si>
  <si>
    <t>XCPPEOPLE</t>
  </si>
  <si>
    <t>https://rarejapanesenfts.com/nft/xcppeople/</t>
  </si>
  <si>
    <t>THEICODEAD</t>
  </si>
  <si>
    <t>https://rarejapanesenfts.com/nft/theicodead/</t>
  </si>
  <si>
    <t>NEMANGEL</t>
  </si>
  <si>
    <t>https://rarejapanesenfts.com/nft/nemangel/</t>
  </si>
  <si>
    <t>メルキャット</t>
  </si>
  <si>
    <t>SEGWITSHI</t>
  </si>
  <si>
    <t>https://rarejapanesenfts.com/nft/segwitshi/</t>
  </si>
  <si>
    <t>SHITCOINER</t>
  </si>
  <si>
    <t>https://rarejapanesenfts.com/nft/shitcoiner/</t>
  </si>
  <si>
    <t>GRIPGIRL</t>
  </si>
  <si>
    <t>https://rarejapanesenfts.com/nft/gripgirl/</t>
  </si>
  <si>
    <t>栗饅頭</t>
  </si>
  <si>
    <t>BITZENY</t>
  </si>
  <si>
    <t>https://rarejapanesenfts.com/nft/bitzeny/</t>
  </si>
  <si>
    <t>五所川原銭夫</t>
  </si>
  <si>
    <t>Memorychain&gt;Series 6</t>
  </si>
  <si>
    <t>DECENTORACLE</t>
  </si>
  <si>
    <t>https://rarejapanesenfts.com/nft/decentoracle/</t>
  </si>
  <si>
    <t>MASTERINGPC</t>
  </si>
  <si>
    <t>https://rarejapanesenfts.com/nft/masteringpc/</t>
  </si>
  <si>
    <t>SCAMCOINSHOP</t>
  </si>
  <si>
    <t>https://rarejapanesenfts.com/nft/scamcoinshop/</t>
  </si>
  <si>
    <t>HOGEHOGE</t>
  </si>
  <si>
    <t>https://rarejapanesenfts.com/nft/hogehoge/</t>
  </si>
  <si>
    <t>睡眠</t>
  </si>
  <si>
    <t>INAGO</t>
  </si>
  <si>
    <t>https://rarejapanesenfts.com/nft/inago/</t>
  </si>
  <si>
    <t>KINGOFCC</t>
  </si>
  <si>
    <t>https://rarejapanesenfts.com/nft/kingofcc/</t>
  </si>
  <si>
    <t>Onigiri</t>
  </si>
  <si>
    <t>MEIGEN</t>
  </si>
  <si>
    <t>https://rarejapanesenfts.com/nft/meigen/</t>
  </si>
  <si>
    <t>チノ</t>
  </si>
  <si>
    <t>NHARVEST</t>
  </si>
  <si>
    <t>https://rarejapanesenfts.com/nft/nharvest/</t>
  </si>
  <si>
    <t>PEPEMODOKI</t>
  </si>
  <si>
    <t>https://rarejapanesenfts.com/nft/pepemodoki/</t>
  </si>
  <si>
    <t>RAPPLEBOY</t>
  </si>
  <si>
    <t>https://rarejapanesenfts.com/nft/rappleboy/</t>
  </si>
  <si>
    <t>M1XXK1NG W1CKED</t>
  </si>
  <si>
    <t>SMARTDUBAI</t>
  </si>
  <si>
    <t>https://rarejapanesenfts.com/nft/smartdubai/</t>
  </si>
  <si>
    <t>UNTRACEABLE</t>
  </si>
  <si>
    <t>https://rarejapanesenfts.com/nft/untraceable/</t>
  </si>
  <si>
    <t>SNWARMHEART</t>
  </si>
  <si>
    <t>https://rarejapanesenfts.com/nft/snwarmheart/</t>
  </si>
  <si>
    <t>WALLETKUN</t>
  </si>
  <si>
    <t>https://rarejapanesenfts.com/nft/walletkun/</t>
  </si>
  <si>
    <t>クリプト無職希望</t>
  </si>
  <si>
    <t>LORDOTHEMOON</t>
  </si>
  <si>
    <t>https://rarejapanesenfts.com/nft/lordothemoon/</t>
  </si>
  <si>
    <t>MEMEPARTNERS</t>
  </si>
  <si>
    <t>https://rarejapanesenfts.com/nft/memepartners/</t>
  </si>
  <si>
    <t>Pepe Museum</t>
  </si>
  <si>
    <t>THENIAGARA</t>
  </si>
  <si>
    <t>https://rarejapanesenfts.com/nft/theniagara/</t>
  </si>
  <si>
    <t>MAIDSAFECHAN</t>
  </si>
  <si>
    <t>https://rarejapanesenfts.com/nft/maidsafechan/</t>
  </si>
  <si>
    <t>NEMPIZZADAY</t>
  </si>
  <si>
    <t>https://rarejapanesenfts.com/nft/nempizzaday/</t>
  </si>
  <si>
    <t>ヨースケ</t>
  </si>
  <si>
    <t>SARUTOBIISL</t>
  </si>
  <si>
    <t>https://rarejapanesenfts.com/nft/sarutobiisl/</t>
  </si>
  <si>
    <t>Christian Moss</t>
  </si>
  <si>
    <t>Memorychain&gt;Series 7</t>
  </si>
  <si>
    <t>Jul 2017</t>
  </si>
  <si>
    <t>BIRTHOFTHBTC</t>
  </si>
  <si>
    <t>https://rarejapanesenfts.com/nft/birthofthbtc/</t>
  </si>
  <si>
    <t>BITISBAN</t>
  </si>
  <si>
    <t>https://rarejapanesenfts.com/nft/bitisban/</t>
  </si>
  <si>
    <t>オクナモ</t>
  </si>
  <si>
    <t>BUNRETSU</t>
  </si>
  <si>
    <t>https://rarejapanesenfts.com/nft/bunretsu/</t>
  </si>
  <si>
    <t>CCMC</t>
  </si>
  <si>
    <t>https://rarejapanesenfts.com/nft/ccmc/</t>
  </si>
  <si>
    <t>ESTOPIA</t>
  </si>
  <si>
    <t>https://rarejapanesenfts.com/nft/estopia/</t>
  </si>
  <si>
    <t>FICOA</t>
  </si>
  <si>
    <t>https://rarejapanesenfts.com/nft/ficoa/</t>
  </si>
  <si>
    <t>FICOB</t>
  </si>
  <si>
    <t>https://rarejapanesenfts.com/nft/ficob/</t>
  </si>
  <si>
    <t>MCSEVEN</t>
  </si>
  <si>
    <t>https://rarejapanesenfts.com/nft/mcseven/</t>
  </si>
  <si>
    <t>GARA</t>
  </si>
  <si>
    <t>https://rarejapanesenfts.com/nft/gara/</t>
  </si>
  <si>
    <t>HALVING</t>
  </si>
  <si>
    <t>https://rarejapanesenfts.com/nft/halving/</t>
  </si>
  <si>
    <t>HIGE</t>
  </si>
  <si>
    <t>https://rarejapanesenfts.com/nft/hige/</t>
  </si>
  <si>
    <t>右馬之介信生</t>
  </si>
  <si>
    <t>KAKUGALEE</t>
  </si>
  <si>
    <t>https://rarejapanesenfts.com/nft/kakugalee/</t>
  </si>
  <si>
    <t>KUSACOIN</t>
  </si>
  <si>
    <t>https://rarejapanesenfts.com/nft/kusacoin/</t>
  </si>
  <si>
    <t>草コイナー</t>
  </si>
  <si>
    <t>MAIDCHAN</t>
  </si>
  <si>
    <t>https://rarejapanesenfts.com/nft/maidchan/</t>
  </si>
  <si>
    <t>MCCOMER</t>
  </si>
  <si>
    <t>https://rarejapanesenfts.com/nft/mccomer/</t>
  </si>
  <si>
    <t>MOMEJINJA</t>
  </si>
  <si>
    <t>https://rarejapanesenfts.com/nft/momejinja/</t>
  </si>
  <si>
    <t>MPMEGASHOCK</t>
  </si>
  <si>
    <t>https://rarejapanesenfts.com/nft/mpmegashock/</t>
  </si>
  <si>
    <t>NEMBERBECOOL</t>
  </si>
  <si>
    <t>https://rarejapanesenfts.com/nft/nemberbecool/</t>
  </si>
  <si>
    <t>NUMERAIAI</t>
  </si>
  <si>
    <t>https://rarejapanesenfts.com/nft/numeraiai/</t>
  </si>
  <si>
    <t>ウーピン</t>
  </si>
  <si>
    <t>OMATSURI</t>
  </si>
  <si>
    <t>https://rarejapanesenfts.com/nft/omatsuri/</t>
  </si>
  <si>
    <t>PUMPEPE</t>
  </si>
  <si>
    <t>https://rarejapanesenfts.com/nft/pumpepe/</t>
  </si>
  <si>
    <t>SOGRAID</t>
  </si>
  <si>
    <t>https://rarejapanesenfts.com/nft/sograid/</t>
  </si>
  <si>
    <t>STATUSICO</t>
  </si>
  <si>
    <t>https://rarejapanesenfts.com/nft/statusico/</t>
  </si>
  <si>
    <t>TAKANE</t>
  </si>
  <si>
    <t>https://rarejapanesenfts.com/nft/takane/</t>
  </si>
  <si>
    <t>TAKARAGPS</t>
  </si>
  <si>
    <t>https://rarejapanesenfts.com/nft/takaragps/</t>
  </si>
  <si>
    <t>THEARUKAMO</t>
  </si>
  <si>
    <t>https://rarejapanesenfts.com/nft/thearukamo/</t>
  </si>
  <si>
    <t>WACKSOG</t>
  </si>
  <si>
    <t>https://rarejapanesenfts.com/nft/wacksog/</t>
  </si>
  <si>
    <t>GODDESSNEM</t>
  </si>
  <si>
    <t>https://rarejapanesenfts.com/nft/goddessnem/</t>
  </si>
  <si>
    <t>Rin MIZUNASHI</t>
  </si>
  <si>
    <t>BIPBARD</t>
  </si>
  <si>
    <t>https://rarejapanesenfts.com/nft/bipbard/</t>
  </si>
  <si>
    <t>ぽん</t>
  </si>
  <si>
    <t>Memorychain&gt;Series 8</t>
  </si>
  <si>
    <t>COUPLEGOX</t>
  </si>
  <si>
    <t>https://rarejapanesenfts.com/nft/couplegox/</t>
  </si>
  <si>
    <t>ECNUKO</t>
  </si>
  <si>
    <t>https://rarejapanesenfts.com/nft/ecnuko/</t>
  </si>
  <si>
    <t>ECOBITREFUND</t>
  </si>
  <si>
    <t>https://rarejapanesenfts.com/nft/ecobitrefund/</t>
  </si>
  <si>
    <t>ETHCHAN</t>
  </si>
  <si>
    <t>https://rarejapanesenfts.com/nft/ethchan/</t>
  </si>
  <si>
    <t>FORESIGHTMAN</t>
  </si>
  <si>
    <t>https://rarejapanesenfts.com/nft/foresightman/</t>
  </si>
  <si>
    <t>ICOVACATION</t>
  </si>
  <si>
    <t>https://rarejapanesenfts.com/nft/icovacation/</t>
  </si>
  <si>
    <t>やっすんX</t>
  </si>
  <si>
    <t>MONASUMMER</t>
  </si>
  <si>
    <t>https://rarejapanesenfts.com/nft/monasummer/</t>
  </si>
  <si>
    <t>MRHANGENKI</t>
  </si>
  <si>
    <t>https://rarejapanesenfts.com/nft/mrhangenki/</t>
  </si>
  <si>
    <t>かなぴっぴ</t>
  </si>
  <si>
    <t>MTGDAY</t>
  </si>
  <si>
    <t>https://rarejapanesenfts.com/nft/mtgday/</t>
  </si>
  <si>
    <t>PICKUPKUSA</t>
  </si>
  <si>
    <t>https://rarejapanesenfts.com/nft/pickupkusa/</t>
  </si>
  <si>
    <t>快傑Ｚ</t>
  </si>
  <si>
    <t>SOOOOOOOOOON</t>
  </si>
  <si>
    <t>https://rarejapanesenfts.com/nft/soooooooooon/</t>
  </si>
  <si>
    <t>TFORM</t>
  </si>
  <si>
    <t>https://rarejapanesenfts.com/nft/tform/</t>
  </si>
  <si>
    <t>THEBYZANTINE</t>
  </si>
  <si>
    <t>https://rarejapanesenfts.com/nft/thebyzantine/</t>
  </si>
  <si>
    <t>TTRUSTCARD</t>
  </si>
  <si>
    <t>https://rarejapanesenfts.com/nft/ttrustcard/</t>
  </si>
  <si>
    <t>THECEMETERY</t>
  </si>
  <si>
    <t>https://rarejapanesenfts.com/nft/thecemetery/</t>
  </si>
  <si>
    <t>MCWASHOY</t>
  </si>
  <si>
    <t>https://rarejapanesenfts.com/nft/mcwashoy/</t>
  </si>
  <si>
    <t>WANNACRY</t>
  </si>
  <si>
    <t>https://rarejapanesenfts.com/nft/wannacry/</t>
  </si>
  <si>
    <t>WILLSPLIT</t>
  </si>
  <si>
    <t>https://rarejapanesenfts.com/nft/willsplit/</t>
  </si>
  <si>
    <t>sasu</t>
  </si>
  <si>
    <t>Memorychain&gt;Series 9</t>
  </si>
  <si>
    <t>Aug 2017</t>
  </si>
  <si>
    <t>BITCOINERS</t>
  </si>
  <si>
    <t>https://rarejapanesenfts.com/nft/bitcoiners/</t>
  </si>
  <si>
    <t>JBWS</t>
  </si>
  <si>
    <t>https://rarejapanesenfts.com/nft/jbws/</t>
  </si>
  <si>
    <t>GAMESTART</t>
  </si>
  <si>
    <t>https://rarejapanesenfts.com/nft/gamestart/</t>
  </si>
  <si>
    <t>MGOINVADER</t>
  </si>
  <si>
    <t>https://rarejapanesenfts.com/nft/mgoinvader/</t>
  </si>
  <si>
    <t>SISUMAISTART</t>
  </si>
  <si>
    <t>https://rarejapanesenfts.com/nft/sisumaistart/</t>
  </si>
  <si>
    <t>SELFGOX</t>
  </si>
  <si>
    <t>https://rarejapanesenfts.com/nft/selfgox/</t>
  </si>
  <si>
    <t>EATSUSHI</t>
  </si>
  <si>
    <t>https://rarejapanesenfts.com/nft/eatsushi/</t>
  </si>
  <si>
    <t>CRYPTOHOLIC</t>
  </si>
  <si>
    <t>https://rarejapanesenfts.com/nft/cryptoholic/</t>
  </si>
  <si>
    <t>NEOCHAN</t>
  </si>
  <si>
    <t>https://rarejapanesenfts.com/nft/neochan/</t>
  </si>
  <si>
    <t>BTCFORK</t>
  </si>
  <si>
    <t>https://rarejapanesenfts.com/nft/btcfork/</t>
  </si>
  <si>
    <t>TAKABCOIN</t>
  </si>
  <si>
    <t>https://rarejapanesenfts.com/nft/takabcoin/</t>
  </si>
  <si>
    <t>TANUKJ</t>
  </si>
  <si>
    <t>https://rarejapanesenfts.com/nft/tanukj/</t>
  </si>
  <si>
    <t>PENPENBTC</t>
  </si>
  <si>
    <t>https://rarejapanesenfts.com/nft/penpenbtc/</t>
  </si>
  <si>
    <t>tomopen</t>
  </si>
  <si>
    <t>トモペン</t>
  </si>
  <si>
    <t>OAHF</t>
  </si>
  <si>
    <t>https://rarejapanesenfts.com/nft/oahf/</t>
  </si>
  <si>
    <t>MCDUMPING</t>
  </si>
  <si>
    <t>https://rarejapanesenfts.com/nft/mcdumping/</t>
  </si>
  <si>
    <t>Oasis Mining&gt;Series 1</t>
  </si>
  <si>
    <t>BIGMAN</t>
  </si>
  <si>
    <t>https://rarejapanesenfts.com/nft/bigman/</t>
  </si>
  <si>
    <t>だいふく</t>
  </si>
  <si>
    <t>BITSENNIN</t>
  </si>
  <si>
    <t>https://rarejapanesenfts.com/nft/bitsennin/</t>
  </si>
  <si>
    <t>BOUYA</t>
  </si>
  <si>
    <t>https://rarejapanesenfts.com/nft/bouya/</t>
  </si>
  <si>
    <t>hirosu</t>
  </si>
  <si>
    <t>CCLOVERSBTC</t>
  </si>
  <si>
    <t>https://rarejapanesenfts.com/nft/ccloversbtc/</t>
  </si>
  <si>
    <t>空廻ロジカ《Sorane Logica》</t>
  </si>
  <si>
    <t>ロジカ</t>
  </si>
  <si>
    <t>CHAOO</t>
  </si>
  <si>
    <t>https://rarejapanesenfts.com/nft/chaoo/</t>
  </si>
  <si>
    <t>ETHEREUMON</t>
  </si>
  <si>
    <t>https://rarejapanesenfts.com/nft/ethereumon/</t>
  </si>
  <si>
    <t>ETHTATTOO</t>
  </si>
  <si>
    <t>https://rarejapanesenfts.com/nft/ethtattoo/</t>
  </si>
  <si>
    <t>GOLEMNET</t>
  </si>
  <si>
    <t>https://rarejapanesenfts.com/nft/golemnet/</t>
  </si>
  <si>
    <t>IDOLNEMONE</t>
  </si>
  <si>
    <t>https://rarejapanesenfts.com/nft/idolnemone/</t>
  </si>
  <si>
    <t>まる</t>
  </si>
  <si>
    <t>LTCDOG</t>
  </si>
  <si>
    <t>https://rarejapanesenfts.com/nft/ltcdog/</t>
  </si>
  <si>
    <t>MONAPLATINUM</t>
  </si>
  <si>
    <t>https://rarejapanesenfts.com/nft/monaplatinum/</t>
  </si>
  <si>
    <t>Satomaru</t>
  </si>
  <si>
    <t>NEMBAE</t>
  </si>
  <si>
    <t>https://rarejapanesenfts.com/nft/nembae/</t>
  </si>
  <si>
    <t>NEMCATAPULT</t>
  </si>
  <si>
    <t>https://rarejapanesenfts.com/nft/nemcatapult/</t>
  </si>
  <si>
    <t>NUMERAIRES</t>
  </si>
  <si>
    <t>https://rarejapanesenfts.com/nft/numeraires/</t>
  </si>
  <si>
    <t>PEPEEYES</t>
  </si>
  <si>
    <t>https://rarejapanesenfts.com/nft/pepeeyes/</t>
  </si>
  <si>
    <t>PRINCESSNEM</t>
  </si>
  <si>
    <t>https://rarejapanesenfts.com/nft/princessnem/</t>
  </si>
  <si>
    <t>RLOCKUP</t>
  </si>
  <si>
    <t>https://rarejapanesenfts.com/nft/rlockup/</t>
  </si>
  <si>
    <t>SARUTOBIGIF</t>
  </si>
  <si>
    <t>https://rarejapanesenfts.com/nft/sarutobigif/</t>
  </si>
  <si>
    <t>SNCOLDHEARTB</t>
  </si>
  <si>
    <t>https://rarejapanesenfts.com/nft/sncoldheartb/</t>
  </si>
  <si>
    <t>TEZOSCARD</t>
  </si>
  <si>
    <t>https://rarejapanesenfts.com/nft/tezoscard/</t>
  </si>
  <si>
    <t>THEYOUBUN</t>
  </si>
  <si>
    <t>https://rarejapanesenfts.com/nft/theyoubun/</t>
  </si>
  <si>
    <t>XAORANGERB</t>
  </si>
  <si>
    <t>https://rarejapanesenfts.com/nft/xaorangerb/</t>
  </si>
  <si>
    <t>念能力ﾄﾚｰﾀﾞｰℳ</t>
  </si>
  <si>
    <t>XRPBAACHAN</t>
  </si>
  <si>
    <t>https://rarejapanesenfts.com/nft/xrpbaachan/</t>
  </si>
  <si>
    <t>XRPLOCKUP</t>
  </si>
  <si>
    <t>https://rarejapanesenfts.com/nft/xrplockup/</t>
  </si>
  <si>
    <t>BLACKSMITHS</t>
  </si>
  <si>
    <t>https://rarejapanesenfts.com/nft/blacksmiths/</t>
  </si>
  <si>
    <t>Oasis Mining&gt;Series 2</t>
  </si>
  <si>
    <t>BTCVIPCARD</t>
  </si>
  <si>
    <t>https://rarejapanesenfts.com/nft/btcvipcard/</t>
  </si>
  <si>
    <t>typerr</t>
  </si>
  <si>
    <t>BULLBEAR</t>
  </si>
  <si>
    <t>https://rarejapanesenfts.com/nft/bullbear/</t>
  </si>
  <si>
    <t>CCGALLONE</t>
  </si>
  <si>
    <t>https://rarejapanesenfts.com/nft/ccgallone/</t>
  </si>
  <si>
    <t>クリプトカレンシーガールズ</t>
  </si>
  <si>
    <t>CCGBTCONE</t>
  </si>
  <si>
    <t>https://rarejapanesenfts.com/nft/ccgbtcone/</t>
  </si>
  <si>
    <t>CCLOVERSETH</t>
  </si>
  <si>
    <t>https://rarejapanesenfts.com/nft/ccloverseth/</t>
  </si>
  <si>
    <t>CCLOVERSNEM</t>
  </si>
  <si>
    <t>https://rarejapanesenfts.com/nft/ccloversnem/</t>
  </si>
  <si>
    <t>CIVICCARD</t>
  </si>
  <si>
    <t>https://rarejapanesenfts.com/nft/civiccard/</t>
  </si>
  <si>
    <t>CODEISLAW</t>
  </si>
  <si>
    <t>https://rarejapanesenfts.com/nft/codeislaw/</t>
  </si>
  <si>
    <t>DARKCOINGIRL</t>
  </si>
  <si>
    <t>https://rarejapanesenfts.com/nft/darkcoingirl/</t>
  </si>
  <si>
    <t>EHARDFORK</t>
  </si>
  <si>
    <t>https://rarejapanesenfts.com/nft/ehardfork/</t>
  </si>
  <si>
    <t>FORECASTING</t>
  </si>
  <si>
    <t>https://rarejapanesenfts.com/nft/forecasting/</t>
  </si>
  <si>
    <t>GNOSISWOMAN</t>
  </si>
  <si>
    <t>https://rarejapanesenfts.com/nft/gnosiswoman/</t>
  </si>
  <si>
    <t>GOHATTO</t>
  </si>
  <si>
    <t>https://rarejapanesenfts.com/nft/gohatto/</t>
  </si>
  <si>
    <t>IDOLRIPPLEA</t>
  </si>
  <si>
    <t>https://rarejapanesenfts.com/nft/idolripplea/</t>
  </si>
  <si>
    <t>ININCHAN</t>
  </si>
  <si>
    <t>https://rarejapanesenfts.com/nft/ininchan/</t>
  </si>
  <si>
    <t>emma</t>
  </si>
  <si>
    <t>ISLANDSARU</t>
  </si>
  <si>
    <t>https://rarejapanesenfts.com/nft/islandsaru/</t>
  </si>
  <si>
    <t>MONABAACHAN</t>
  </si>
  <si>
    <t>https://rarejapanesenfts.com/nft/monabaachan/</t>
  </si>
  <si>
    <t>NEMBAACHAN</t>
  </si>
  <si>
    <t>https://rarejapanesenfts.com/nft/nembaachan/</t>
  </si>
  <si>
    <t>NEWSAPP</t>
  </si>
  <si>
    <t>https://rarejapanesenfts.com/nft/newsapp/</t>
  </si>
  <si>
    <t>仮想通貨ニュース</t>
  </si>
  <si>
    <t>NOMONA</t>
  </si>
  <si>
    <t>https://rarejapanesenfts.com/nft/nomona/</t>
  </si>
  <si>
    <t>SBITCOINER</t>
  </si>
  <si>
    <t>https://rarejapanesenfts.com/nft/sbitcoiner/</t>
  </si>
  <si>
    <t>SINGULARDTV</t>
  </si>
  <si>
    <t>https://rarejapanesenfts.com/nft/singulardtv/</t>
  </si>
  <si>
    <t>WARAGONCARD</t>
  </si>
  <si>
    <t>https://rarejapanesenfts.com/nft/waragoncard/</t>
  </si>
  <si>
    <t>XAORANGERG</t>
  </si>
  <si>
    <t>https://rarejapanesenfts.com/nft/xaorangerg/</t>
  </si>
  <si>
    <t>XRPTATTOO</t>
  </si>
  <si>
    <t>https://rarejapanesenfts.com/nft/xrptattoo/</t>
  </si>
  <si>
    <t>BCHWASBORN</t>
  </si>
  <si>
    <t>https://rarejapanesenfts.com/nft/bchwasborn/</t>
  </si>
  <si>
    <t>シシャモ</t>
  </si>
  <si>
    <t>Oasis Mining&gt;Series 3</t>
  </si>
  <si>
    <t>Sep 2017</t>
  </si>
  <si>
    <t>BOBBYWAVE</t>
  </si>
  <si>
    <t>https://rarejapanesenfts.com/nft/bobbywave/</t>
  </si>
  <si>
    <t>CCGETCONE</t>
  </si>
  <si>
    <t>https://rarejapanesenfts.com/nft/ccgetcone/</t>
  </si>
  <si>
    <t>DASHMAN</t>
  </si>
  <si>
    <t>https://rarejapanesenfts.com/nft/dashman/</t>
  </si>
  <si>
    <t>GACHIHO</t>
  </si>
  <si>
    <t>https://rarejapanesenfts.com/nft/gachiho/</t>
  </si>
  <si>
    <t>ICOTCOIN</t>
  </si>
  <si>
    <t>https://rarejapanesenfts.com/nft/icotcoin/</t>
  </si>
  <si>
    <t>LOVEMONA</t>
  </si>
  <si>
    <t>https://rarejapanesenfts.com/nft/lovemona/</t>
  </si>
  <si>
    <t>NEMBALLOON</t>
  </si>
  <si>
    <t>https://rarejapanesenfts.com/nft/nemballoon/</t>
  </si>
  <si>
    <t>NEOCHANS</t>
  </si>
  <si>
    <t>https://rarejapanesenfts.com/nft/neochans/</t>
  </si>
  <si>
    <t>OISHIKUNAI</t>
  </si>
  <si>
    <t>https://rarejapanesenfts.com/nft/oishikunai/</t>
  </si>
  <si>
    <t>ののた</t>
  </si>
  <si>
    <t>PENPENCOMSA</t>
  </si>
  <si>
    <t>https://rarejapanesenfts.com/nft/penpencomsa/</t>
  </si>
  <si>
    <t>RIPULE</t>
  </si>
  <si>
    <t>https://rarejapanesenfts.com/nft/ripule/</t>
  </si>
  <si>
    <t>ビケルマン</t>
  </si>
  <si>
    <t>SURFWAVES</t>
  </si>
  <si>
    <t>https://rarejapanesenfts.com/nft/surfwaves/</t>
  </si>
  <si>
    <t>THETEBASAKI</t>
  </si>
  <si>
    <t>https://rarejapanesenfts.com/nft/thetebasaki/</t>
  </si>
  <si>
    <t>WHOISSATOSHI</t>
  </si>
  <si>
    <t>https://rarejapanesenfts.com/nft/whoissatoshi/</t>
  </si>
  <si>
    <t>KABUKIPEPE</t>
  </si>
  <si>
    <t>https://rarejapanesenfts.com/nft/kabukipepe/</t>
  </si>
  <si>
    <t>Japanese Rarepepe&gt;Series 21</t>
  </si>
  <si>
    <t>HAIKUPEPE</t>
  </si>
  <si>
    <t>https://rarejapanesenfts.com/nft/haikupepe/</t>
  </si>
  <si>
    <t>Japanese Rarepepe&gt;Series 24</t>
  </si>
  <si>
    <t>NOHPEPE</t>
  </si>
  <si>
    <t>https://rarejapanesenfts.com/nft/nohpepe/</t>
  </si>
  <si>
    <t>Japanese Rarepepe&gt;Series 27</t>
  </si>
  <si>
    <t>PEPERONCINO</t>
  </si>
  <si>
    <t>https://rarejapanesenfts.com/nft/peperoncino/</t>
  </si>
  <si>
    <t>KAPPAPEPE</t>
  </si>
  <si>
    <t>https://rarejapanesenfts.com/nft/kappapepe/</t>
  </si>
  <si>
    <t>Japanese Rarepepe&gt;Series 17</t>
  </si>
  <si>
    <t>Mar 2017</t>
  </si>
  <si>
    <t>CLAYPEPE</t>
  </si>
  <si>
    <t>https://rarejapanesenfts.com/nft/claypepe/</t>
  </si>
  <si>
    <t>mekabu</t>
  </si>
  <si>
    <t>HAPPYRAINY</t>
  </si>
  <si>
    <t>https://rarejapanesenfts.com/nft/happyrainy/</t>
  </si>
  <si>
    <t>Japanese Rarepepe&gt;Series 26</t>
  </si>
  <si>
    <t>PEPETREK</t>
  </si>
  <si>
    <t>https://rarejapanesenfts.com/nft/pepetrek/</t>
  </si>
  <si>
    <t>Japanese Rarepepe&gt;Series 22</t>
  </si>
  <si>
    <t>TADPOLEPEPE</t>
  </si>
  <si>
    <t>https://rarejapanesenfts.com/nft/tadpolepepe/</t>
  </si>
  <si>
    <t>MANDARAPEPE</t>
  </si>
  <si>
    <t>https://rarejapanesenfts.com/nft/mandarapepe/</t>
  </si>
  <si>
    <t>Japanese Rarepepe&gt;Series 29</t>
  </si>
  <si>
    <t>KOJIPEPE</t>
  </si>
  <si>
    <t>https://rarejapanesenfts.com/nft/kojipepe/</t>
  </si>
  <si>
    <t>Koji</t>
  </si>
  <si>
    <t>Japanese Rarepepe&gt;Series 05</t>
  </si>
  <si>
    <t>Oct 2016</t>
  </si>
  <si>
    <t>PEPEJAPAN</t>
  </si>
  <si>
    <t>https://rarejapanesenfts.com/nft/pepejapan/</t>
  </si>
  <si>
    <t>Japanese Rarepepe&gt;Series 06</t>
  </si>
  <si>
    <t>PEPEGREEN</t>
  </si>
  <si>
    <t>https://rarejapanesenfts.com/nft/pepegreen/</t>
  </si>
  <si>
    <t>PEPECAMO</t>
  </si>
  <si>
    <t>https://rarejapanesenfts.com/nft/pepecamo/</t>
  </si>
  <si>
    <t>Japanese Rarepepe&gt;Series 07</t>
  </si>
  <si>
    <t>PEPERACCOON</t>
  </si>
  <si>
    <t>https://rarejapanesenfts.com/nft/peperaccoon/</t>
  </si>
  <si>
    <t>PEPETODAMOON</t>
  </si>
  <si>
    <t>https://rarejapanesenfts.com/nft/pepetodamoon/</t>
  </si>
  <si>
    <t>Nov 2016</t>
  </si>
  <si>
    <t>SAMURAIPEPE</t>
  </si>
  <si>
    <t>https://rarejapanesenfts.com/nft/samuraipepe/</t>
  </si>
  <si>
    <t>Japanese Rarepepe&gt;Series 08</t>
  </si>
  <si>
    <t>PEPENUMA</t>
  </si>
  <si>
    <t>https://rarejapanesenfts.com/nft/pepenuma/</t>
  </si>
  <si>
    <t>PEPERICH</t>
  </si>
  <si>
    <t>https://rarejapanesenfts.com/nft/peperich/</t>
  </si>
  <si>
    <t>PEPEPOOR</t>
  </si>
  <si>
    <t>https://rarejapanesenfts.com/nft/pepepoor/</t>
  </si>
  <si>
    <t>Japanese Rarepepe&gt;Series 09</t>
  </si>
  <si>
    <t>PROOFOFPEPE</t>
  </si>
  <si>
    <t>https://rarejapanesenfts.com/nft/proofofpepe/</t>
  </si>
  <si>
    <t>Japanese Rarepepe&gt;Series 10</t>
  </si>
  <si>
    <t>Dec 2016</t>
  </si>
  <si>
    <t>SNOTPEPE</t>
  </si>
  <si>
    <t>https://rarejapanesenfts.com/nft/snotpepe/</t>
  </si>
  <si>
    <t>PEEKABOOPEPE</t>
  </si>
  <si>
    <t>https://rarejapanesenfts.com/nft/peekaboopepe/</t>
  </si>
  <si>
    <t>LONGNOSEPEPE</t>
  </si>
  <si>
    <t>https://rarejapanesenfts.com/nft/longnosepepe/</t>
  </si>
  <si>
    <t>COMEDYPEPE</t>
  </si>
  <si>
    <t>https://rarejapanesenfts.com/nft/comedypepe/</t>
  </si>
  <si>
    <t>SIXTYSIXPEPE</t>
  </si>
  <si>
    <t>https://rarejapanesenfts.com/nft/sixtysixpepe/</t>
  </si>
  <si>
    <t>DRILLPEPE</t>
  </si>
  <si>
    <t>https://rarejapanesenfts.com/nft/drillpepe/</t>
  </si>
  <si>
    <t>ZZZZPEPE</t>
  </si>
  <si>
    <t>https://rarejapanesenfts.com/nft/zzzzpepe/</t>
  </si>
  <si>
    <t>XMASANTAPEPE</t>
  </si>
  <si>
    <t>https://rarejapanesenfts.com/nft/xmasantapepe/</t>
  </si>
  <si>
    <t>NEWYEARPEPE</t>
  </si>
  <si>
    <t>https://rarejapanesenfts.com/nft/newyearpepe/</t>
  </si>
  <si>
    <t>FRIENDSPEPE</t>
  </si>
  <si>
    <t>https://rarejapanesenfts.com/nft/friendspepe/</t>
  </si>
  <si>
    <t>SECRETPEPE</t>
  </si>
  <si>
    <t>https://rarejapanesenfts.com/nft/secretpepe/</t>
  </si>
  <si>
    <t>THEPEPE</t>
  </si>
  <si>
    <t>https://rarejapanesenfts.com/nft/thepepe/</t>
  </si>
  <si>
    <t>DRONEPEPE</t>
  </si>
  <si>
    <t>https://rarejapanesenfts.com/nft/dronepepe/</t>
  </si>
  <si>
    <t>EARTHPEPE</t>
  </si>
  <si>
    <t>https://rarejapanesenfts.com/nft/earthpepe/</t>
  </si>
  <si>
    <t>Japanese Rarepepe&gt;Series 12</t>
  </si>
  <si>
    <t>Feb 2017</t>
  </si>
  <si>
    <t>HANGINPEPE</t>
  </si>
  <si>
    <t>https://rarejapanesenfts.com/nft/hanginpepe/</t>
  </si>
  <si>
    <t>Japanese Rarepepe&gt;Series 13</t>
  </si>
  <si>
    <t>VENUSPEPE</t>
  </si>
  <si>
    <t>https://rarejapanesenfts.com/nft/venuspepe/</t>
  </si>
  <si>
    <t>GUESSWHATPEP</t>
  </si>
  <si>
    <t>https://rarejapanesenfts.com/nft/guesswhatpep/</t>
  </si>
  <si>
    <t>Japanese Rarepepe&gt;Series 20</t>
  </si>
  <si>
    <t>PEPEXECUTIVE</t>
  </si>
  <si>
    <t>https://rarejapanesenfts.com/nft/pepexecutive/</t>
  </si>
  <si>
    <t>GNITEPEPE</t>
  </si>
  <si>
    <t>https://rarejapanesenfts.com/nft/gnitepepe/</t>
  </si>
  <si>
    <t>Japanese Rarepepe&gt;Series 23</t>
  </si>
  <si>
    <t>WAGUPEPE</t>
  </si>
  <si>
    <t>https://rarejapanesenfts.com/nft/wagupepe/</t>
  </si>
  <si>
    <t>ROGAI</t>
  </si>
  <si>
    <t>https://rarejapanesenfts.com/nft/rogai/</t>
  </si>
  <si>
    <t>BIGSTONE</t>
  </si>
  <si>
    <t>https://rarejapanesenfts.com/nft/bigstone/</t>
  </si>
  <si>
    <t>DEFITEST</t>
  </si>
  <si>
    <t>https://rarejapanesenfts.com/nft/defitest/</t>
  </si>
  <si>
    <t>JOSHIKI</t>
  </si>
  <si>
    <t>https://rarejapanesenfts.com/nft/joshiki/</t>
  </si>
  <si>
    <t>Jan 2022</t>
  </si>
  <si>
    <t>SCAMWAY</t>
  </si>
  <si>
    <t>https://rarejapanesenfts.com/nft/scamway/</t>
  </si>
  <si>
    <t>DAMENFT</t>
  </si>
  <si>
    <t>https://rarejapanesenfts.com/nft/damenft/</t>
  </si>
  <si>
    <t>METAKITSUNE</t>
  </si>
  <si>
    <t>https://rarejapanesenfts.com/nft/metakitsune/</t>
  </si>
  <si>
    <t>INUCOINER</t>
  </si>
  <si>
    <t>https://rarejapanesenfts.com/nft/inucoiner/</t>
  </si>
  <si>
    <t>MAKAI</t>
  </si>
  <si>
    <t>https://rarejapanesenfts.com/nft/makai/</t>
  </si>
  <si>
    <t>NFTZUKAMI</t>
  </si>
  <si>
    <t>https://rarejapanesenfts.com/nft/nftzukami/</t>
  </si>
  <si>
    <t>TAKANELASER</t>
  </si>
  <si>
    <t>https://rarejapanesenfts.com/nft/takanelaser/</t>
  </si>
  <si>
    <t>Rey</t>
  </si>
  <si>
    <t>TAKANEZUKAMI</t>
  </si>
  <si>
    <t>https://rarejapanesenfts.com/nft/takanezukami/</t>
  </si>
  <si>
    <t>tomotomo9696</t>
  </si>
  <si>
    <t>PEPETARO</t>
  </si>
  <si>
    <t>https://rarejapanesenfts.com/nft/pepetaro/</t>
  </si>
  <si>
    <t>YAMAGUCHIABG</t>
  </si>
  <si>
    <t>https://rarejapanesenfts.com/nft/yamaguchiabg/</t>
  </si>
  <si>
    <t>BitGirls</t>
  </si>
  <si>
    <t>BitGirls&gt;Block3</t>
  </si>
  <si>
    <t>Jan 2017</t>
  </si>
  <si>
    <t>KAORIBG</t>
  </si>
  <si>
    <t>https://rarejapanesenfts.com/nft/kaoribg/</t>
  </si>
  <si>
    <t>BitGirls&gt;Block1</t>
  </si>
  <si>
    <t>CHIKARINBG</t>
  </si>
  <si>
    <t>https://rarejapanesenfts.com/nft/chikarinbg/</t>
  </si>
  <si>
    <t>SANOMAYABG</t>
  </si>
  <si>
    <t>https://rarejapanesenfts.com/nft/sanomayabg/</t>
  </si>
  <si>
    <t>SATOAYAKABG</t>
  </si>
  <si>
    <t>https://rarejapanesenfts.com/nft/satoayakabg/</t>
  </si>
  <si>
    <t>DJASANYANBG</t>
  </si>
  <si>
    <t>https://rarejapanesenfts.com/nft/djasanyanbg/</t>
  </si>
  <si>
    <t>TSUKASABG</t>
  </si>
  <si>
    <t>https://rarejapanesenfts.com/nft/tsukasabg/</t>
  </si>
  <si>
    <t>MIZUKIBG</t>
  </si>
  <si>
    <t>https://rarejapanesenfts.com/nft/mizukibg/</t>
  </si>
  <si>
    <t>BitGirls&gt;Block2</t>
  </si>
  <si>
    <t>SHIRAHOSHIBG</t>
  </si>
  <si>
    <t>https://rarejapanesenfts.com/nft/shirahoshibg/</t>
  </si>
  <si>
    <t>ICHARLOTTEBG</t>
  </si>
  <si>
    <t>https://rarejapanesenfts.com/nft/icharlottebg/</t>
  </si>
  <si>
    <t>MAMICHANBG</t>
  </si>
  <si>
    <t>https://rarejapanesenfts.com/nft/mamichanbg/</t>
  </si>
  <si>
    <t>HINANOMAIBG</t>
  </si>
  <si>
    <t>https://rarejapanesenfts.com/nft/hinanomaibg/</t>
  </si>
  <si>
    <t>RURUBG</t>
  </si>
  <si>
    <t>https://rarejapanesenfts.com/nft/rurubg/</t>
  </si>
  <si>
    <t>DJASANYANVIX</t>
  </si>
  <si>
    <t>https://rarejapanesenfts.com/nft/djasanyanvix/</t>
  </si>
  <si>
    <t>BitGirls&gt;Christmas</t>
  </si>
  <si>
    <t>SIRAHOSIVIX</t>
  </si>
  <si>
    <t>https://rarejapanesenfts.com/nft/sirahosivix/</t>
  </si>
  <si>
    <t>MIZUKIVIX</t>
  </si>
  <si>
    <t>https://rarejapanesenfts.com/nft/mizukivix/</t>
  </si>
  <si>
    <t>CHIKARINVIX</t>
  </si>
  <si>
    <t>https://rarejapanesenfts.com/nft/chikarinvix/</t>
  </si>
  <si>
    <t>SANOMAYAVIX</t>
  </si>
  <si>
    <t>https://rarejapanesenfts.com/nft/sanomayavix/</t>
  </si>
  <si>
    <t>TSUKASAVIX</t>
  </si>
  <si>
    <t>https://rarejapanesenfts.com/nft/tsukasavix/</t>
  </si>
  <si>
    <t>BULBAPEPECRD</t>
  </si>
  <si>
    <t>https://rarejapanesenfts.com/nft/bulbapepecrd/</t>
  </si>
  <si>
    <t>PEPEKYRIE</t>
  </si>
  <si>
    <t>https://rarejapanesenfts.com/nft/pepekyrie/</t>
  </si>
  <si>
    <t>Japanese Rarepepe&gt;Series 18</t>
  </si>
  <si>
    <t>PEPEDZILLA</t>
  </si>
  <si>
    <t>https://rarejapanesenfts.com/nft/pepedzilla/</t>
  </si>
  <si>
    <t>PEPETITAN</t>
  </si>
  <si>
    <t>https://rarejapanesenfts.com/nft/pepetitan/</t>
  </si>
  <si>
    <t>PPLNMDNTNY</t>
  </si>
  <si>
    <t>https://rarejapanesenfts.com/nft/pplnmdntny/</t>
  </si>
  <si>
    <t>PEPELYN</t>
  </si>
  <si>
    <t>https://rarejapanesenfts.com/nft/pepelyn/</t>
  </si>
  <si>
    <t>PHILANTHROPE</t>
  </si>
  <si>
    <t>https://rarejapanesenfts.com/nft/philanthrope/</t>
  </si>
  <si>
    <t>SERVALPEPE</t>
  </si>
  <si>
    <t>https://rarejapanesenfts.com/nft/servalpepe/</t>
  </si>
  <si>
    <t>Japanese Rarepepe&gt;Series 16</t>
  </si>
  <si>
    <t>DOKUGANPEPE</t>
  </si>
  <si>
    <t>https://rarejapanesenfts.com/nft/dokuganpepe/</t>
  </si>
  <si>
    <t>ICARUSPEPE</t>
  </si>
  <si>
    <t>https://rarejapanesenfts.com/nft/icaruspepe/</t>
  </si>
  <si>
    <t>FTERTHERAIN</t>
  </si>
  <si>
    <t>https://rarejapanesenfts.com/nft/ftertherain/</t>
  </si>
  <si>
    <t>PEPEPRAKEK</t>
  </si>
  <si>
    <t>https://rarejapanesenfts.com/nft/pepeprakek/</t>
  </si>
  <si>
    <t>Japanese Rarepepe&gt;Series 32</t>
  </si>
  <si>
    <t>Jan 2018</t>
  </si>
  <si>
    <t>PEPEGIRL</t>
  </si>
  <si>
    <t>https://rarejapanesenfts.com/nft/pepegirl/</t>
  </si>
  <si>
    <t>SPEPECTRE</t>
  </si>
  <si>
    <t>https://rarejapanesenfts.com/nft/spepectre/</t>
  </si>
  <si>
    <t>July 2017</t>
  </si>
  <si>
    <t>UZUMAKIPEPE</t>
  </si>
  <si>
    <t>https://rarejapanesenfts.com/nft/uzumakipepe/</t>
  </si>
  <si>
    <t>PEPEFRACTAL</t>
  </si>
  <si>
    <t>https://rarejapanesenfts.com/nft/pepefractal/</t>
  </si>
  <si>
    <t>Japanese Rarepepe&gt;Series 25</t>
  </si>
  <si>
    <t>KUMADORIPEPE</t>
  </si>
  <si>
    <t>https://rarejapanesenfts.com/nft/kumadoripepe/</t>
  </si>
  <si>
    <t>PEPEFORM</t>
  </si>
  <si>
    <t>https://rarejapanesenfts.com/nft/pepeform/</t>
  </si>
  <si>
    <t>Japanese Rarepepe&gt;Series 30</t>
  </si>
  <si>
    <t>October 2017</t>
  </si>
  <si>
    <t>PEPEZ</t>
  </si>
  <si>
    <t>https://rarejapanesenfts.com/nft/pepez/</t>
  </si>
  <si>
    <t>THISPEPE</t>
  </si>
  <si>
    <t>https://rarejapanesenfts.com/nft/thispepe/</t>
  </si>
  <si>
    <t>KIGURUMIPEPE</t>
  </si>
  <si>
    <t>https://rarejapanesenfts.com/nft/kigurumipepe/</t>
  </si>
  <si>
    <t>PEPEKAPARKER</t>
  </si>
  <si>
    <t>https://rarejapanesenfts.com/nft/pepekaparker/</t>
  </si>
  <si>
    <t>FEATHERSPEPE</t>
  </si>
  <si>
    <t>https://rarejapanesenfts.com/nft/featherspepe/</t>
  </si>
  <si>
    <t>SWAROPEPE</t>
  </si>
  <si>
    <t>https://rarejapanesenfts.com/nft/swaropepe/</t>
  </si>
  <si>
    <t>RAREPEGO</t>
  </si>
  <si>
    <t>https://rarejapanesenfts.com/nft/rarepego/</t>
  </si>
  <si>
    <t>Japanese Rarepepe&gt;Series 31</t>
  </si>
  <si>
    <t>PEPECART</t>
  </si>
  <si>
    <t>https://rarejapanesenfts.com/nft/pepecart/</t>
  </si>
  <si>
    <t>Japanese Rarepepe&gt;Series 33</t>
  </si>
  <si>
    <t>Feb 2018</t>
  </si>
  <si>
    <t>PEPETOBI</t>
  </si>
  <si>
    <t>https://rarejapanesenfts.com/nft/pepetobi/</t>
  </si>
  <si>
    <t>PEPEADDICTS</t>
  </si>
  <si>
    <t>https://rarejapanesenfts.com/nft/pepeaddicts/</t>
  </si>
  <si>
    <t>Japanese Rarepepe&gt;Series 35</t>
  </si>
  <si>
    <t>Mar 2018</t>
  </si>
  <si>
    <t>PEPEBALLOON</t>
  </si>
  <si>
    <t>https://rarejapanesenfts.com/nft/pepeballoon/</t>
  </si>
  <si>
    <t>Japanese Rarepepe&gt;Series 36</t>
  </si>
  <si>
    <t>MAOISMPEPE</t>
  </si>
  <si>
    <t>https://rarejapanesenfts.com/nft/maoismpepe/</t>
  </si>
  <si>
    <t>MYRIADMPEPE</t>
  </si>
  <si>
    <t>https://rarejapanesenfts.com/nft/myriadmpepe/</t>
  </si>
  <si>
    <t>MAPEPENEMR</t>
  </si>
  <si>
    <t>https://rarejapanesenfts.com/nft/mapepenemr/</t>
  </si>
  <si>
    <t>MAOZEPEPE</t>
  </si>
  <si>
    <t>https://rarejapanesenfts.com/nft/maozepepe/</t>
  </si>
  <si>
    <t>WNPEPEPEPEPE</t>
  </si>
  <si>
    <t>https://rarejapanesenfts.com/nft/wnpepepepepe/</t>
  </si>
  <si>
    <t>CHUNRIPEPE</t>
  </si>
  <si>
    <t>https://rarejapanesenfts.com/nft/chunripepe/</t>
  </si>
  <si>
    <t>PEPEBRICCO</t>
  </si>
  <si>
    <t>https://rarejapanesenfts.com/nft/pepebricco/</t>
  </si>
  <si>
    <t>CICACOINPEPE</t>
  </si>
  <si>
    <t>https://rarejapanesenfts.com/nft/cicacoinpepe/</t>
  </si>
  <si>
    <t>MATSURIPEPE</t>
  </si>
  <si>
    <t>https://rarejapanesenfts.com/nft/matsuripepe/</t>
  </si>
  <si>
    <t>YUGUREPEPE</t>
  </si>
  <si>
    <t>https://rarejapanesenfts.com/nft/yugurepepe/</t>
  </si>
  <si>
    <t>KINGYOPEPE</t>
  </si>
  <si>
    <t>https://rarejapanesenfts.com/nft/kingyopepe/</t>
  </si>
  <si>
    <t>PEPEFOREVER</t>
  </si>
  <si>
    <t>https://rarejapanesenfts.com/nft/pepeforever/</t>
  </si>
  <si>
    <t>MIKOPEPE</t>
  </si>
  <si>
    <t>https://rarejapanesenfts.com/nft/mikopepe/</t>
  </si>
  <si>
    <t>Oct 2017</t>
  </si>
  <si>
    <t>KYUDOPEPE</t>
  </si>
  <si>
    <t>https://rarejapanesenfts.com/nft/kyudopepe/</t>
  </si>
  <si>
    <t>ENGELPEPE</t>
  </si>
  <si>
    <t>https://rarejapanesenfts.com/nft/engelpepe/</t>
  </si>
  <si>
    <t>MIYAKO</t>
  </si>
  <si>
    <t>https://rarejapanesenfts.com/nft/miyako/</t>
  </si>
  <si>
    <t>SANPOPEPE</t>
  </si>
  <si>
    <t>https://rarejapanesenfts.com/nft/sanpopepe/</t>
  </si>
  <si>
    <t>PEPEHARU</t>
  </si>
  <si>
    <t>https://rarejapanesenfts.com/nft/pepeharu/</t>
  </si>
  <si>
    <t>PEPEAKI</t>
  </si>
  <si>
    <t>https://rarejapanesenfts.com/nft/pepeaki/</t>
  </si>
  <si>
    <t>PEPEFUYU</t>
  </si>
  <si>
    <t>https://rarejapanesenfts.com/nft/pepefuyu/</t>
  </si>
  <si>
    <t>PEPESUMMER</t>
  </si>
  <si>
    <t>https://rarejapanesenfts.com/nft/pepesummer/</t>
  </si>
  <si>
    <t>SENJUPEPE</t>
  </si>
  <si>
    <t>https://rarejapanesenfts.com/nft/senjupepe/</t>
  </si>
  <si>
    <t>PEPEDOL</t>
  </si>
  <si>
    <t>https://rarejapanesenfts.com/nft/pepedol/</t>
  </si>
  <si>
    <t>PEPESAX</t>
  </si>
  <si>
    <t>https://rarejapanesenfts.com/nft/pepesax/</t>
  </si>
  <si>
    <t>Japanese Rarepepe&gt;Series 28</t>
  </si>
  <si>
    <t>PEPEPET</t>
  </si>
  <si>
    <t>https://rarejapanesenfts.com/nft/pepepet/</t>
  </si>
  <si>
    <t>PEPEBASS</t>
  </si>
  <si>
    <t>https://rarejapanesenfts.com/nft/pepebass/</t>
  </si>
  <si>
    <t>PEPEAN</t>
  </si>
  <si>
    <t>https://rarejapanesenfts.com/nft/pepean/</t>
  </si>
  <si>
    <t>PEPEBALL</t>
  </si>
  <si>
    <t>https://rarejapanesenfts.com/nft/pepeball/</t>
  </si>
  <si>
    <t>PEPEJIRO</t>
  </si>
  <si>
    <t>https://rarejapanesenfts.com/nft/pepejiro/</t>
  </si>
  <si>
    <t>PEPENAL</t>
  </si>
  <si>
    <t>https://rarejapanesenfts.com/nft/pepenal/</t>
  </si>
  <si>
    <t>PEROCHI</t>
  </si>
  <si>
    <t>https://rarejapanesenfts.com/nft/perochi/</t>
  </si>
  <si>
    <t>PEPEEVO</t>
  </si>
  <si>
    <t>https://rarejapanesenfts.com/nft/pepeevo/</t>
  </si>
  <si>
    <t>PEPEHAND</t>
  </si>
  <si>
    <t>https://rarejapanesenfts.com/nft/pepehand/</t>
  </si>
  <si>
    <t>PEPENIN</t>
  </si>
  <si>
    <t>https://rarejapanesenfts.com/nft/pepenin/</t>
  </si>
  <si>
    <t>PEPEDARKSIDE</t>
  </si>
  <si>
    <t>https://rarejapanesenfts.com/nft/pepedarkside/</t>
  </si>
  <si>
    <t>PEPEZAALBINO</t>
  </si>
  <si>
    <t>https://rarejapanesenfts.com/nft/pepezaalbino/</t>
  </si>
  <si>
    <t>PEPEARROW</t>
  </si>
  <si>
    <t>https://rarejapanesenfts.com/nft/pepearrow/</t>
  </si>
  <si>
    <t>SARUTOBIPEPE</t>
  </si>
  <si>
    <t>https://rarejapanesenfts.com/nft/sarutobipepe/</t>
  </si>
  <si>
    <t>PEPESEARCH</t>
  </si>
  <si>
    <t>https://rarejapanesenfts.com/nft/pepesearch/</t>
  </si>
  <si>
    <t>PEPEZONCARD</t>
  </si>
  <si>
    <t>https://rarejapanesenfts.com/nft/pepezoncard/</t>
  </si>
  <si>
    <t>PEPETIE</t>
  </si>
  <si>
    <t>https://rarejapanesenfts.com/nft/pepetie/</t>
  </si>
  <si>
    <t>PEPESCREAM</t>
  </si>
  <si>
    <t>https://rarejapanesenfts.com/nft/pepescream/</t>
  </si>
  <si>
    <t>PEPETTER</t>
  </si>
  <si>
    <t>https://rarejapanesenfts.com/nft/pepetter/</t>
  </si>
  <si>
    <t>PEPEBRIEFS</t>
  </si>
  <si>
    <t>https://rarejapanesenfts.com/nft/pepebriefs/</t>
  </si>
  <si>
    <t>PEPEFLIES</t>
  </si>
  <si>
    <t>https://rarejapanesenfts.com/nft/pepeflies/</t>
  </si>
  <si>
    <t>PEPEMERMAN</t>
  </si>
  <si>
    <t>https://rarejapanesenfts.com/nft/pepemerman/</t>
  </si>
  <si>
    <t>Japanese Rarepepe&gt;Series 34</t>
  </si>
  <si>
    <t>PEPESGYM</t>
  </si>
  <si>
    <t>https://rarejapanesenfts.com/nft/pepesgym/</t>
  </si>
  <si>
    <t>PRISONERPEPE</t>
  </si>
  <si>
    <t>https://rarejapanesenfts.com/nft/prisonerpepe/</t>
  </si>
  <si>
    <t>ZAZENPEPE</t>
  </si>
  <si>
    <t>https://rarejapanesenfts.com/nft/zazenpepe/</t>
  </si>
  <si>
    <t>PEPESPLANET</t>
  </si>
  <si>
    <t>https://rarejapanesenfts.com/nft/pepesplanet/</t>
  </si>
  <si>
    <t>YUMMYPEPE</t>
  </si>
  <si>
    <t>https://rarejapanesenfts.com/nft/yummypepe/</t>
  </si>
  <si>
    <t>NATIVEPEPETH</t>
  </si>
  <si>
    <t>https://rarejapanesenfts.com/nft/nativepepeth/</t>
  </si>
  <si>
    <t>PEPERIKISHI</t>
  </si>
  <si>
    <t>https://rarejapanesenfts.com/nft/peperikishi/</t>
  </si>
  <si>
    <t>PEPETSAMURAI</t>
  </si>
  <si>
    <t>https://rarejapanesenfts.com/nft/pepetsamurai/</t>
  </si>
  <si>
    <t>PEPEPENPEN</t>
  </si>
  <si>
    <t>https://rarejapanesenfts.com/nft/pepepenpen/</t>
  </si>
  <si>
    <t>PENPEN</t>
  </si>
  <si>
    <t>https://rarejapanesenfts.com/nft/penpen/</t>
  </si>
  <si>
    <t>NOBORDERPEPE</t>
  </si>
  <si>
    <t>https://rarejapanesenfts.com/nft/noborderpepe/</t>
  </si>
  <si>
    <t>JAPANESEPEPE</t>
  </si>
  <si>
    <t>https://rarejapanesenfts.com/nft/japanesepepe/</t>
  </si>
  <si>
    <t>TEMPURAPEPE</t>
  </si>
  <si>
    <t>https://rarejapanesenfts.com/nft/tempurapepe/</t>
  </si>
  <si>
    <t>PEPESURFING</t>
  </si>
  <si>
    <t>https://rarejapanesenfts.com/nft/pepesurfing/</t>
  </si>
  <si>
    <t>PEPEJPN</t>
  </si>
  <si>
    <t>https://rarejapanesenfts.com/nft/pepejpn/</t>
  </si>
  <si>
    <t>PEPEPEACE</t>
  </si>
  <si>
    <t>https://rarejapanesenfts.com/nft/pepepeace/</t>
  </si>
  <si>
    <t>PEPEAKIBA</t>
  </si>
  <si>
    <t>https://rarejapanesenfts.com/nft/pepeakiba/</t>
  </si>
  <si>
    <t>SAKURAPENPEN</t>
  </si>
  <si>
    <t>https://rarejapanesenfts.com/nft/sakurapenpen/</t>
  </si>
  <si>
    <t>HINAMATSURI</t>
  </si>
  <si>
    <t>https://rarejapanesenfts.com/nft/hinamatsuri/</t>
  </si>
  <si>
    <t>RISAVIX</t>
  </si>
  <si>
    <t>https://rarejapanesenfts.com/nft/risavix/</t>
  </si>
  <si>
    <t>BITGIRLSI</t>
  </si>
  <si>
    <t>https://rarejapanesenfts.com/nft/bitgirlsi/</t>
  </si>
  <si>
    <t>BitGirls&gt;Special</t>
  </si>
  <si>
    <t>BITGIRLSII</t>
  </si>
  <si>
    <t>https://rarejapanesenfts.com/nft/bitgirlsii/</t>
  </si>
  <si>
    <t>KINOBG</t>
  </si>
  <si>
    <t>https://rarejapanesenfts.com/nft/kinobg/</t>
  </si>
  <si>
    <t>SHIMARENABG</t>
  </si>
  <si>
    <t>https://rarejapanesenfts.com/nft/shimarenabg/</t>
  </si>
  <si>
    <t>RUMIRUMIBG</t>
  </si>
  <si>
    <t>https://rarejapanesenfts.com/nft/rumirumibg/</t>
  </si>
  <si>
    <t>ITSUKIBG</t>
  </si>
  <si>
    <t>https://rarejapanesenfts.com/nft/itsukibg/</t>
  </si>
  <si>
    <t>LEENABG</t>
  </si>
  <si>
    <t>https://rarejapanesenfts.com/nft/leenabg/</t>
  </si>
  <si>
    <t>FWSDLDARKNEC</t>
  </si>
  <si>
    <t>https://rarejapanesenfts.com/nft/fwsdldarknec/</t>
  </si>
  <si>
    <t>Force of Will</t>
  </si>
  <si>
    <t>FWSDLTHEMONC</t>
  </si>
  <si>
    <t>https://rarejapanesenfts.com/nft/fwsdlthemonc/</t>
  </si>
  <si>
    <t>FWSDLTHEDRUC</t>
  </si>
  <si>
    <t>https://rarejapanesenfts.com/nft/fwsdlthedruc/</t>
  </si>
  <si>
    <t>FWSDLSHARATC</t>
  </si>
  <si>
    <t>https://rarejapanesenfts.com/nft/fwsdlsharatc/</t>
  </si>
  <si>
    <t>FWSDLPOWERAC</t>
  </si>
  <si>
    <t>https://rarejapanesenfts.com/nft/fwsdlpowerac/</t>
  </si>
  <si>
    <t>FWSDLONISTRC</t>
  </si>
  <si>
    <t>https://rarejapanesenfts.com/nft/fwsdlonistrc/</t>
  </si>
  <si>
    <t>FWSDLMOMOTAC</t>
  </si>
  <si>
    <t>https://rarejapanesenfts.com/nft/fwsdlmomotac/</t>
  </si>
  <si>
    <t>FWSDLHEAVENC</t>
  </si>
  <si>
    <t>https://rarejapanesenfts.com/nft/fwsdlheavenc/</t>
  </si>
  <si>
    <t>FWSDLFAITHFC</t>
  </si>
  <si>
    <t>https://rarejapanesenfts.com/nft/fwsdlfaithfc/</t>
  </si>
  <si>
    <t>FWSDLCASTLEC</t>
  </si>
  <si>
    <t>https://rarejapanesenfts.com/nft/fwsdlcastlec/</t>
  </si>
  <si>
    <t>FWSDLBLOODOC</t>
  </si>
  <si>
    <t>https://rarejapanesenfts.com/nft/fwsdlbloodoc/</t>
  </si>
  <si>
    <t>FWSDLALLYOFC</t>
  </si>
  <si>
    <t>https://rarejapanesenfts.com/nft/fwsdlallyofc/</t>
  </si>
  <si>
    <t>FWSDLWINDMAC</t>
  </si>
  <si>
    <t>https://rarejapanesenfts.com/nft/fwsdlwindmac/</t>
  </si>
  <si>
    <t>FWSDLWHISPEC</t>
  </si>
  <si>
    <t>https://rarejapanesenfts.com/nft/fwsdlwhispec/</t>
  </si>
  <si>
    <t>FWSDLVAMPIRC</t>
  </si>
  <si>
    <t>https://rarejapanesenfts.com/nft/fwsdlvampirc/</t>
  </si>
  <si>
    <t>FWSDLTWOFOLC</t>
  </si>
  <si>
    <t>https://rarejapanesenfts.com/nft/fwsdltwofolc/</t>
  </si>
  <si>
    <t>FWSDLTORRENC</t>
  </si>
  <si>
    <t>https://rarejapanesenfts.com/nft/fwsdltorrenc/</t>
  </si>
  <si>
    <t>FWSDLTAMAFAC</t>
  </si>
  <si>
    <t>https://rarejapanesenfts.com/nft/fwsdltamafac/</t>
  </si>
  <si>
    <t>FWSDLSPIWINC</t>
  </si>
  <si>
    <t>https://rarejapanesenfts.com/nft/fwsdlspiwinc/</t>
  </si>
  <si>
    <t>FWSDLSACREDC</t>
  </si>
  <si>
    <t>https://rarejapanesenfts.com/nft/fwsdlsacredc/</t>
  </si>
  <si>
    <t>FWSDLHOMEOFC</t>
  </si>
  <si>
    <t>https://rarejapanesenfts.com/nft/fwsdlhomeofc/</t>
  </si>
  <si>
    <t>FWSDLGREATHC</t>
  </si>
  <si>
    <t>https://rarejapanesenfts.com/nft/fwsdlgreathc/</t>
  </si>
  <si>
    <t>FWSDLFIETHSC</t>
  </si>
  <si>
    <t>https://rarejapanesenfts.com/nft/fwsdlfiethsc/</t>
  </si>
  <si>
    <t>FWSDLARIAFRC</t>
  </si>
  <si>
    <t>https://rarejapanesenfts.com/nft/fwsdlariafrc/</t>
  </si>
  <si>
    <t>FWSDLWATERMC</t>
  </si>
  <si>
    <t>https://rarejapanesenfts.com/nft/fwsdlwatermc/</t>
  </si>
  <si>
    <t>FWSDLSPIRITC</t>
  </si>
  <si>
    <t>https://rarejapanesenfts.com/nft/fwsdlspiritc/</t>
  </si>
  <si>
    <t>FWSDLSERVANC</t>
  </si>
  <si>
    <t>https://rarejapanesenfts.com/nft/fwsdlservanc/</t>
  </si>
  <si>
    <t>FWSDLMESSENC</t>
  </si>
  <si>
    <t>https://rarejapanesenfts.com/nft/fwsdlmessenc/</t>
  </si>
  <si>
    <t>FWSDLMERICYC</t>
  </si>
  <si>
    <t>https://rarejapanesenfts.com/nft/fwsdlmericyc/</t>
  </si>
  <si>
    <t>FWSDLMERCURC</t>
  </si>
  <si>
    <t>https://rarejapanesenfts.com/nft/fwsdlmercurc/</t>
  </si>
  <si>
    <t>FWSDLMALEFIC</t>
  </si>
  <si>
    <t>https://rarejapanesenfts.com/nft/fwsdlmalefic/</t>
  </si>
  <si>
    <t>FWSDLKEEPERC</t>
  </si>
  <si>
    <t>https://rarejapanesenfts.com/nft/fwsdlkeeperc/</t>
  </si>
  <si>
    <t>FWSDLICEDRAC</t>
  </si>
  <si>
    <t>https://rarejapanesenfts.com/nft/fwsdlicedrac/</t>
  </si>
  <si>
    <t>FWSDLASTAROC</t>
  </si>
  <si>
    <t>https://rarejapanesenfts.com/nft/fwsdlastaroc/</t>
  </si>
  <si>
    <t>FWSDLANCKNOC</t>
  </si>
  <si>
    <t>https://rarejapanesenfts.com/nft/fwsdlancknoc/</t>
  </si>
  <si>
    <t>FWSDLANCIENC</t>
  </si>
  <si>
    <t>https://rarejapanesenfts.com/nft/fwsdlancienc/</t>
  </si>
  <si>
    <t>FWSDLFIREMAC</t>
  </si>
  <si>
    <t>https://rarejapanesenfts.com/nft/fwsdlfiremac/</t>
  </si>
  <si>
    <t>FWSDLRLYEHWC</t>
  </si>
  <si>
    <t>https://rarejapanesenfts.com/nft/fwsdlrlyehwc/</t>
  </si>
  <si>
    <t>FWSDLNIGHTMC</t>
  </si>
  <si>
    <t>https://rarejapanesenfts.com/nft/fwsdlnightmc/</t>
  </si>
  <si>
    <t>FWSDLNIGGURC</t>
  </si>
  <si>
    <t>https://rarejapanesenfts.com/nft/fwsdlniggurc/</t>
  </si>
  <si>
    <t>FWSDLLUNYASC</t>
  </si>
  <si>
    <t>https://rarejapanesenfts.com/nft/fwsdllunyasc/</t>
  </si>
  <si>
    <t>FWSDLLUNYATC</t>
  </si>
  <si>
    <t>https://rarejapanesenfts.com/nft/fwsdllunyatc/</t>
  </si>
  <si>
    <t>FWSDLLIGHTNC</t>
  </si>
  <si>
    <t>https://rarejapanesenfts.com/nft/fwsdllightnc/</t>
  </si>
  <si>
    <t>FWSDLHASTURC</t>
  </si>
  <si>
    <t>https://rarejapanesenfts.com/nft/fwsdlhasturc/</t>
  </si>
  <si>
    <t>FWSDLGENTLEC</t>
  </si>
  <si>
    <t>https://rarejapanesenfts.com/nft/fwsdlgentlec/</t>
  </si>
  <si>
    <t>FWSDLFAYLITC</t>
  </si>
  <si>
    <t>https://rarejapanesenfts.com/nft/fwsdlfaylitc/</t>
  </si>
  <si>
    <t>FWSDLEMISSAC</t>
  </si>
  <si>
    <t>https://rarejapanesenfts.com/nft/fwsdlemissac/</t>
  </si>
  <si>
    <t>FWSDLCHARLAC</t>
  </si>
  <si>
    <t>https://rarejapanesenfts.com/nft/fwsdlcharlac/</t>
  </si>
  <si>
    <t>FWSDLLIGHTMC</t>
  </si>
  <si>
    <t>https://rarejapanesenfts.com/nft/fwsdllightmc/</t>
  </si>
  <si>
    <t>FWSDLTINKERC</t>
  </si>
  <si>
    <t>https://rarejapanesenfts.com/nft/fwsdltinkerc/</t>
  </si>
  <si>
    <t>FWSDLSUMMONC</t>
  </si>
  <si>
    <t>https://rarejapanesenfts.com/nft/fwsdlsummonc/</t>
  </si>
  <si>
    <t>FWSDLMILLIUC</t>
  </si>
  <si>
    <t>https://rarejapanesenfts.com/nft/fwsdlmilliuc/</t>
  </si>
  <si>
    <t>FWSDLMANIFEC</t>
  </si>
  <si>
    <t>https://rarejapanesenfts.com/nft/fwsdlmanifec/</t>
  </si>
  <si>
    <t>FWSDLMAGICSC</t>
  </si>
  <si>
    <t>https://rarejapanesenfts.com/nft/fwsdlmagicsc/</t>
  </si>
  <si>
    <t>FWSDLLIGHTDC</t>
  </si>
  <si>
    <t>https://rarejapanesenfts.com/nft/fwsdllightdc/</t>
  </si>
  <si>
    <t>FWSDLKIDPUSC</t>
  </si>
  <si>
    <t>https://rarejapanesenfts.com/nft/fwsdlkidpusc/</t>
  </si>
  <si>
    <t>FWSDLGRIMMKC</t>
  </si>
  <si>
    <t>https://rarejapanesenfts.com/nft/fwsdlgrimmkc/</t>
  </si>
  <si>
    <t>FWSDLGOURMAC</t>
  </si>
  <si>
    <t>https://rarejapanesenfts.com/nft/fwsdlgourmac/</t>
  </si>
  <si>
    <t>FWSDLFAIRYTC</t>
  </si>
  <si>
    <t>https://rarejapanesenfts.com/nft/fwsdlfairytc/</t>
  </si>
  <si>
    <t>FWSDLCONFECC</t>
  </si>
  <si>
    <t>https://rarejapanesenfts.com/nft/fwsdlconfecc/</t>
  </si>
  <si>
    <t>FWCFCWINDMAC</t>
  </si>
  <si>
    <t>https://rarejapanesenfts.com/nft/fwcfcwindmac/</t>
  </si>
  <si>
    <t>FWCFCWATERMC</t>
  </si>
  <si>
    <t>https://rarejapanesenfts.com/nft/fwcfcwatermc/</t>
  </si>
  <si>
    <t>FWCFCLIGHTMC</t>
  </si>
  <si>
    <t>https://rarejapanesenfts.com/nft/fwcfclightmc/</t>
  </si>
  <si>
    <t>FWCFCFIREMAC</t>
  </si>
  <si>
    <t>https://rarejapanesenfts.com/nft/fwcfcfiremac/</t>
  </si>
  <si>
    <t>FWCFCDARKNEC</t>
  </si>
  <si>
    <t>https://rarejapanesenfts.com/nft/fwcfcdarknec/</t>
  </si>
  <si>
    <t>FWCFCOFSCORC</t>
  </si>
  <si>
    <t>https://rarejapanesenfts.com/nft/fwcfcofscorc/</t>
  </si>
  <si>
    <t>FWCFCOFLIGHC</t>
  </si>
  <si>
    <t>https://rarejapanesenfts.com/nft/fwcfcoflighc/</t>
  </si>
  <si>
    <t>FWCFCOFHEAVC</t>
  </si>
  <si>
    <t>https://rarejapanesenfts.com/nft/fwcfcofheavc/</t>
  </si>
  <si>
    <t>FWCFCOFHEATC</t>
  </si>
  <si>
    <t>https://rarejapanesenfts.com/nft/fwcfcofheatc/</t>
  </si>
  <si>
    <t>FWCFCOFHEARC</t>
  </si>
  <si>
    <t>https://rarejapanesenfts.com/nft/fwcfcofhearc/</t>
  </si>
  <si>
    <t>FWCFCOFGUSTC</t>
  </si>
  <si>
    <t>https://rarejapanesenfts.com/nft/fwcfcofgustc/</t>
  </si>
  <si>
    <t>FWCFCOFDEEPC</t>
  </si>
  <si>
    <t>https://rarejapanesenfts.com/nft/fwcfcofdeepc/</t>
  </si>
  <si>
    <t>FWCFCOFDARKC</t>
  </si>
  <si>
    <t>https://rarejapanesenfts.com/nft/fwcfcofdarkc/</t>
  </si>
  <si>
    <t>FWCFCOFBLASC</t>
  </si>
  <si>
    <t>https://rarejapanesenfts.com/nft/fwcfcofblasc/</t>
  </si>
  <si>
    <t>FWCFCOFBLACC</t>
  </si>
  <si>
    <t>https://rarejapanesenfts.com/nft/fwcfcofblacc/</t>
  </si>
  <si>
    <t>FWCFCURASHIC</t>
  </si>
  <si>
    <t>https://rarejapanesenfts.com/nft/fwcfcurashic/</t>
  </si>
  <si>
    <t>FWCFCUMRATTC</t>
  </si>
  <si>
    <t>https://rarejapanesenfts.com/nft/fwcfcumrattc/</t>
  </si>
  <si>
    <t>FWCFCTHENAMC</t>
  </si>
  <si>
    <t>https://rarejapanesenfts.com/nft/fwcfcthenamc/</t>
  </si>
  <si>
    <t>FWCFCTHEGATC</t>
  </si>
  <si>
    <t>https://rarejapanesenfts.com/nft/fwcfcthegatc/</t>
  </si>
  <si>
    <t>FWCFCTHEBLAC</t>
  </si>
  <si>
    <t>https://rarejapanesenfts.com/nft/fwcfctheblac/</t>
  </si>
  <si>
    <t>FWCFCSERVANC</t>
  </si>
  <si>
    <t>https://rarejapanesenfts.com/nft/fwcfcservanc/</t>
  </si>
  <si>
    <t>FWCFCRINKASC</t>
  </si>
  <si>
    <t>https://rarejapanesenfts.com/nft/fwcfcrinkasc/</t>
  </si>
  <si>
    <t>FWCFCRESONAC</t>
  </si>
  <si>
    <t>https://rarejapanesenfts.com/nft/fwcfcresonac/</t>
  </si>
  <si>
    <t>FWCFCPRINCEC</t>
  </si>
  <si>
    <t>https://rarejapanesenfts.com/nft/fwcfcprincec/</t>
  </si>
  <si>
    <t>FWCFCPRIESTC</t>
  </si>
  <si>
    <t>https://rarejapanesenfts.com/nft/fwcfcpriestc/</t>
  </si>
  <si>
    <t>FWCFCONIGOVC</t>
  </si>
  <si>
    <t>https://rarejapanesenfts.com/nft/fwcfconigovc/</t>
  </si>
  <si>
    <t>FWCFCMADONIC</t>
  </si>
  <si>
    <t>https://rarejapanesenfts.com/nft/fwcfcmadonic/</t>
  </si>
  <si>
    <t>FWCFCETERECC</t>
  </si>
  <si>
    <t>https://rarejapanesenfts.com/nft/fwcfceterecc/</t>
  </si>
  <si>
    <t>FWCFCCREATUC</t>
  </si>
  <si>
    <t>https://rarejapanesenfts.com/nft/fwcfccreatuc/</t>
  </si>
  <si>
    <t>FWCFCAZATHOC</t>
  </si>
  <si>
    <t>https://rarejapanesenfts.com/nft/fwcfcazathoc/</t>
  </si>
  <si>
    <t>FWCFCANENCOC</t>
  </si>
  <si>
    <t>https://rarejapanesenfts.com/nft/fwcfcanencoc/</t>
  </si>
  <si>
    <t>FWCFCALHAZRC</t>
  </si>
  <si>
    <t>https://rarejapanesenfts.com/nft/fwcfcalhazrc/</t>
  </si>
  <si>
    <t>FWCFCZHUBAJC</t>
  </si>
  <si>
    <t>https://rarejapanesenfts.com/nft/fwcfczhubajc/</t>
  </si>
  <si>
    <t>FWCFCWISEMAC</t>
  </si>
  <si>
    <t>https://rarejapanesenfts.com/nft/fwcfcwisemac/</t>
  </si>
  <si>
    <t>FWCFCTHEMONC</t>
  </si>
  <si>
    <t>https://rarejapanesenfts.com/nft/fwcfcthemonc/</t>
  </si>
  <si>
    <t>FWCFCSORCERC</t>
  </si>
  <si>
    <t>https://rarejapanesenfts.com/nft/fwcfcsorcerc/</t>
  </si>
  <si>
    <t>FWCFCSHAWUJC</t>
  </si>
  <si>
    <t>https://rarejapanesenfts.com/nft/fwcfcshawujc/</t>
  </si>
  <si>
    <t>FWCFCSECLUDC</t>
  </si>
  <si>
    <t>https://rarejapanesenfts.com/nft/fwcfcsecludc/</t>
  </si>
  <si>
    <t>FWCFCREDRIDC</t>
  </si>
  <si>
    <t>https://rarejapanesenfts.com/nft/fwcfcredridc/</t>
  </si>
  <si>
    <t>FWCFCPROTECC</t>
  </si>
  <si>
    <t>https://rarejapanesenfts.com/nft/fwcfcprotecc/</t>
  </si>
  <si>
    <t>FWCFCMAGICSC</t>
  </si>
  <si>
    <t>https://rarejapanesenfts.com/nft/fwcfcmagicsc/</t>
  </si>
  <si>
    <t>FWCFCMAGICBC</t>
  </si>
  <si>
    <t>https://rarejapanesenfts.com/nft/fwcfcmagicbc/</t>
  </si>
  <si>
    <t>FWCFCHEAVENC</t>
  </si>
  <si>
    <t>https://rarejapanesenfts.com/nft/fwcfcheavenc/</t>
  </si>
  <si>
    <t>FWCFCFLYINGC</t>
  </si>
  <si>
    <t>https://rarejapanesenfts.com/nft/fwcfcflyingc/</t>
  </si>
  <si>
    <t>FWCFCFAVORAC</t>
  </si>
  <si>
    <t>https://rarejapanesenfts.com/nft/fwcfcfavorac/</t>
  </si>
  <si>
    <t>FWCFCELFOFTC</t>
  </si>
  <si>
    <t>https://rarejapanesenfts.com/nft/fwcfcelfoftc/</t>
  </si>
  <si>
    <t>FWCFCCREAMUC</t>
  </si>
  <si>
    <t>https://rarejapanesenfts.com/nft/fwcfccreamuc/</t>
  </si>
  <si>
    <t>FWCFCCLONINC</t>
  </si>
  <si>
    <t>https://rarejapanesenfts.com/nft/fwcfccloninc/</t>
  </si>
  <si>
    <t>FWCFCBIRDOFC</t>
  </si>
  <si>
    <t>https://rarejapanesenfts.com/nft/fwcfcbirdofc/</t>
  </si>
  <si>
    <t>FWCFCSUMMONC</t>
  </si>
  <si>
    <t>https://rarejapanesenfts.com/nft/fwcfcsummonc/</t>
  </si>
  <si>
    <t>FWCFCSTARGAC</t>
  </si>
  <si>
    <t>https://rarejapanesenfts.com/nft/fwcfcstargac/</t>
  </si>
  <si>
    <t>FWCFCSHACKLC</t>
  </si>
  <si>
    <t>https://rarejapanesenfts.com/nft/fwcfcshacklc/</t>
  </si>
  <si>
    <t>FWCFCRISINGC</t>
  </si>
  <si>
    <t>https://rarejapanesenfts.com/nft/fwcfcrisingc/</t>
  </si>
  <si>
    <t>FWCFCRETURNC</t>
  </si>
  <si>
    <t>https://rarejapanesenfts.com/nft/fwcfcreturnc/</t>
  </si>
  <si>
    <t>FWCFCRABBITC</t>
  </si>
  <si>
    <t>https://rarejapanesenfts.com/nft/fwcfcrabbitc/</t>
  </si>
  <si>
    <t>FWCFCMERMAIC</t>
  </si>
  <si>
    <t>https://rarejapanesenfts.com/nft/fwcfcmermaic/</t>
  </si>
  <si>
    <t>FWCFCMELTTOC</t>
  </si>
  <si>
    <t>https://rarejapanesenfts.com/nft/fwcfcmelttoc/</t>
  </si>
  <si>
    <t>FWCFCLUMIASC</t>
  </si>
  <si>
    <t>https://rarejapanesenfts.com/nft/fwcfclumiasc/</t>
  </si>
  <si>
    <t>FWCFCGUIDETC</t>
  </si>
  <si>
    <t>https://rarejapanesenfts.com/nft/fwcfcguidetc/</t>
  </si>
  <si>
    <t>FWCFCCHESHIC</t>
  </si>
  <si>
    <t>https://rarejapanesenfts.com/nft/fwcfccheshic/</t>
  </si>
  <si>
    <t>FWCFCCHAWATC</t>
  </si>
  <si>
    <t>https://rarejapanesenfts.com/nft/fwcfcchawatc/</t>
  </si>
  <si>
    <t>FWCFCCHAPROC</t>
  </si>
  <si>
    <t>https://rarejapanesenfts.com/nft/fwcfcchaproc/</t>
  </si>
  <si>
    <t>FWCFCCHARLOC</t>
  </si>
  <si>
    <t>https://rarejapanesenfts.com/nft/fwcfccharloc/</t>
  </si>
  <si>
    <t>FWCFCCAPTAIC</t>
  </si>
  <si>
    <t>https://rarejapanesenfts.com/nft/fwcfccaptaic/</t>
  </si>
  <si>
    <t>FWCFCANCAUTC</t>
  </si>
  <si>
    <t>https://rarejapanesenfts.com/nft/fwcfcancautc/</t>
  </si>
  <si>
    <t>FWCFCALTEANC</t>
  </si>
  <si>
    <t>https://rarejapanesenfts.com/nft/fwcfcalteanc/</t>
  </si>
  <si>
    <t>FWCFCTINYREC</t>
  </si>
  <si>
    <t>https://rarejapanesenfts.com/nft/fwcfctinyrec/</t>
  </si>
  <si>
    <t>FWCFCTIGERLC</t>
  </si>
  <si>
    <t>https://rarejapanesenfts.com/nft/fwcfctigerlc/</t>
  </si>
  <si>
    <t>FWCFCTIGERCC</t>
  </si>
  <si>
    <t>https://rarejapanesenfts.com/nft/fwcfctigercc/</t>
  </si>
  <si>
    <t>FWCFCTHEOXKC</t>
  </si>
  <si>
    <t>https://rarejapanesenfts.com/nft/fwcfctheoxkc/</t>
  </si>
  <si>
    <t>FWCFCSTALKIC</t>
  </si>
  <si>
    <t>https://rarejapanesenfts.com/nft/fwcfcstalkic/</t>
  </si>
  <si>
    <t>FWCFCSPIRITC</t>
  </si>
  <si>
    <t>https://rarejapanesenfts.com/nft/fwcfcspiritc/</t>
  </si>
  <si>
    <t>FWCFCSACREDC</t>
  </si>
  <si>
    <t>https://rarejapanesenfts.com/nft/fwcfcsacredc/</t>
  </si>
  <si>
    <t>FWCFCMARSFOC</t>
  </si>
  <si>
    <t>https://rarejapanesenfts.com/nft/fwcfcmarsfoc/</t>
  </si>
  <si>
    <t>FWCFCINVITAC</t>
  </si>
  <si>
    <t>https://rarejapanesenfts.com/nft/fwcfcinvitac/</t>
  </si>
  <si>
    <t>FWCFCINTROSC</t>
  </si>
  <si>
    <t>https://rarejapanesenfts.com/nft/fwcfcintrosc/</t>
  </si>
  <si>
    <t>FWCFCFLAMEDC</t>
  </si>
  <si>
    <t>https://rarejapanesenfts.com/nft/fwcfcflamedc/</t>
  </si>
  <si>
    <t>FWCFCFIERYCC</t>
  </si>
  <si>
    <t>https://rarejapanesenfts.com/nft/fwcfcfierycc/</t>
  </si>
  <si>
    <t>FWCFCFAIRYTC</t>
  </si>
  <si>
    <t>https://rarejapanesenfts.com/nft/fwcfcfairytc/</t>
  </si>
  <si>
    <t>FWCFCDRAGONC</t>
  </si>
  <si>
    <t>https://rarejapanesenfts.com/nft/fwcfcdragonc/</t>
  </si>
  <si>
    <t>FWCFCDEMONOC</t>
  </si>
  <si>
    <t>https://rarejapanesenfts.com/nft/fwcfcdemonoc/</t>
  </si>
  <si>
    <t>FWCFCCOMBATC</t>
  </si>
  <si>
    <t>https://rarejapanesenfts.com/nft/fwcfccombatc/</t>
  </si>
  <si>
    <t>FWCFCANCIENC</t>
  </si>
  <si>
    <t>https://rarejapanesenfts.com/nft/fwcfcancienc/</t>
  </si>
  <si>
    <t>FWCFCZEROSMC</t>
  </si>
  <si>
    <t>https://rarejapanesenfts.com/nft/fwcfczerosmc/</t>
  </si>
  <si>
    <t>FWCFCZEROSFC</t>
  </si>
  <si>
    <t>https://rarejapanesenfts.com/nft/fwcfczerosfc/</t>
  </si>
  <si>
    <t>FWCFCZEROSIC</t>
  </si>
  <si>
    <t>https://rarejapanesenfts.com/nft/fwcfczerosic/</t>
  </si>
  <si>
    <t>FWCFCSTORYTC</t>
  </si>
  <si>
    <t>https://rarejapanesenfts.com/nft/fwcfcstorytc/</t>
  </si>
  <si>
    <t>FWCFCSAFEGUC</t>
  </si>
  <si>
    <t>https://rarejapanesenfts.com/nft/fwcfcsafeguc/</t>
  </si>
  <si>
    <t>FWCFCRETELLC</t>
  </si>
  <si>
    <t>https://rarejapanesenfts.com/nft/fwcfcretellc/</t>
  </si>
  <si>
    <t>FWCFCPUMPKIC</t>
  </si>
  <si>
    <t>https://rarejapanesenfts.com/nft/fwcfcpumpkic/</t>
  </si>
  <si>
    <t>FWCFCPANMARC</t>
  </si>
  <si>
    <t>https://rarejapanesenfts.com/nft/fwcfcpanmarc/</t>
  </si>
  <si>
    <t>FWCFCPANDORC</t>
  </si>
  <si>
    <t>https://rarejapanesenfts.com/nft/fwcfcpandorc/</t>
  </si>
  <si>
    <t>FWCFCNEVERLC</t>
  </si>
  <si>
    <t>https://rarejapanesenfts.com/nft/fwcfcneverlc/</t>
  </si>
  <si>
    <t>FWCFCGLOSUMC</t>
  </si>
  <si>
    <t>https://rarejapanesenfts.com/nft/fwcfcglosumc/</t>
  </si>
  <si>
    <t>FWCFCGLOTHEC</t>
  </si>
  <si>
    <t>https://rarejapanesenfts.com/nft/fwcfcglothec/</t>
  </si>
  <si>
    <t>FWCFCFAIRYOC</t>
  </si>
  <si>
    <t>https://rarejapanesenfts.com/nft/fwcfcfairyoc/</t>
  </si>
  <si>
    <t>FWCFCETERNAC</t>
  </si>
  <si>
    <t>https://rarejapanesenfts.com/nft/fwcfceternac/</t>
  </si>
  <si>
    <t>FWCFCESCAPEC</t>
  </si>
  <si>
    <t>https://rarejapanesenfts.com/nft/fwcfcescapec/</t>
  </si>
  <si>
    <t>FWCFCDREAMSC</t>
  </si>
  <si>
    <t>https://rarejapanesenfts.com/nft/fwcfcdreamsc/</t>
  </si>
  <si>
    <t>FWCFCDREAMIC</t>
  </si>
  <si>
    <t>https://rarejapanesenfts.com/nft/fwcfcdreamic/</t>
  </si>
  <si>
    <t>UNGAISOUTEN</t>
  </si>
  <si>
    <t>https://rarejapanesenfts.com/nft/ungaisouten/</t>
  </si>
  <si>
    <t>FLOWERPEPE</t>
  </si>
  <si>
    <t>https://rarejapanesenfts.com/nft/flowerpepe/</t>
  </si>
  <si>
    <t>PEPEON</t>
  </si>
  <si>
    <t>https://rarejapanesenfts.com/nft/pepeon/</t>
  </si>
  <si>
    <t>LONELYPEPE</t>
  </si>
  <si>
    <t>https://rarejapanesenfts.com/nft/lonelypepe/</t>
  </si>
  <si>
    <t>PEPECAFFE</t>
  </si>
  <si>
    <t>https://rarejapanesenfts.com/nft/pepecaffe/</t>
  </si>
  <si>
    <t>PEPEREME</t>
  </si>
  <si>
    <t>https://rarejapanesenfts.com/nft/pepereme/</t>
  </si>
  <si>
    <t>BITCORNECT</t>
  </si>
  <si>
    <t>https://rarejapanesenfts.com/nft/bitcornect/</t>
  </si>
  <si>
    <t>Japanese Corn&gt;Harvest #1</t>
  </si>
  <si>
    <t>Apr 2018</t>
  </si>
  <si>
    <t>BitCorn🌽</t>
  </si>
  <si>
    <t>GOGHCORN</t>
  </si>
  <si>
    <t>https://rarejapanesenfts.com/nft/goghcorn/</t>
  </si>
  <si>
    <t>May 2018</t>
  </si>
  <si>
    <t>CORNTEST</t>
  </si>
  <si>
    <t>https://rarejapanesenfts.com/nft/corntest/</t>
  </si>
  <si>
    <t>Japanese Corn&gt;Harvest #14</t>
  </si>
  <si>
    <t>CORNROCK</t>
  </si>
  <si>
    <t>https://rarejapanesenfts.com/nft/cornrock/</t>
  </si>
  <si>
    <t>Aug 2021</t>
  </si>
  <si>
    <t>NFCORN</t>
  </si>
  <si>
    <t>https://rarejapanesenfts.com/nft/nfcorn/</t>
  </si>
  <si>
    <t>VIVIDCORN</t>
  </si>
  <si>
    <t>https://rarejapanesenfts.com/nft/vividcorn/</t>
  </si>
  <si>
    <t>Japanese Corn&gt;Harvest #15</t>
  </si>
  <si>
    <t>MONDRIANCORN</t>
  </si>
  <si>
    <t>https://rarejapanesenfts.com/nft/mondriancorn/</t>
  </si>
  <si>
    <t>DOTCORN</t>
  </si>
  <si>
    <t>https://rarejapanesenfts.com/nft/dotcorn/</t>
  </si>
  <si>
    <t>LASTCORN</t>
  </si>
  <si>
    <t>https://rarejapanesenfts.com/nft/lastcorn/</t>
  </si>
  <si>
    <t>COMEBACKCORN</t>
  </si>
  <si>
    <t>https://rarejapanesenfts.com/nft/comebackcorn/</t>
  </si>
  <si>
    <t>Japanese Corn&gt;Harvest #16</t>
  </si>
  <si>
    <t>Mar 2022</t>
  </si>
  <si>
    <t>CORNPATROL</t>
  </si>
  <si>
    <t>https://rarejapanesenfts.com/nft/cornpatrol/</t>
  </si>
  <si>
    <t>CORNPEDIA</t>
  </si>
  <si>
    <t>https://rarejapanesenfts.com/nft/cornpedia/</t>
  </si>
  <si>
    <t>Japanese Corn&gt;Harvest #2</t>
  </si>
  <si>
    <t>CORNSAKAMOTO</t>
  </si>
  <si>
    <t>https://rarejapanesenfts.com/nft/cornsakamoto/</t>
  </si>
  <si>
    <t>CORNKABUKI</t>
  </si>
  <si>
    <t>https://rarejapanesenfts.com/nft/cornkabuki/</t>
  </si>
  <si>
    <t>ONSENCORN</t>
  </si>
  <si>
    <t>https://rarejapanesenfts.com/nft/onsencorn/</t>
  </si>
  <si>
    <t>PENPENPOPCOR</t>
  </si>
  <si>
    <t>https://rarejapanesenfts.com/nft/penpenpopcor/</t>
  </si>
  <si>
    <t>NOBORDERCORN</t>
  </si>
  <si>
    <t>https://rarejapanesenfts.com/nft/nobordercorn/</t>
  </si>
  <si>
    <t>CORNROOM</t>
  </si>
  <si>
    <t>https://rarejapanesenfts.com/nft/cornroom/</t>
  </si>
  <si>
    <t>BATCORN</t>
  </si>
  <si>
    <t>https://rarejapanesenfts.com/nft/batcorn/</t>
  </si>
  <si>
    <t>Japanese Corn&gt;Harvest #3</t>
  </si>
  <si>
    <t>LILYCORN</t>
  </si>
  <si>
    <t>https://rarejapanesenfts.com/nft/lilycorn/</t>
  </si>
  <si>
    <t>Japanese Corn&gt;Harvest #4</t>
  </si>
  <si>
    <t>Jan 2019</t>
  </si>
  <si>
    <t>CORNTEETH</t>
  </si>
  <si>
    <t>https://rarejapanesenfts.com/nft/cornteeth/</t>
  </si>
  <si>
    <t>Jun 2018</t>
  </si>
  <si>
    <t>CORNFLAG</t>
  </si>
  <si>
    <t>https://rarejapanesenfts.com/nft/cornflag/</t>
  </si>
  <si>
    <t>CORNSQUIGGLE</t>
  </si>
  <si>
    <t>https://rarejapanesenfts.com/nft/cornsquiggle/</t>
  </si>
  <si>
    <t>ENDRACISMPE</t>
  </si>
  <si>
    <t>https://rarejapanesenfts.com/nft/endracismpe/</t>
  </si>
  <si>
    <t>PEPEJIRAIYA</t>
  </si>
  <si>
    <t>https://rarejapanesenfts.com/nft/pepejiraiya/</t>
  </si>
  <si>
    <t>PEPETUNADE</t>
  </si>
  <si>
    <t>https://rarejapanesenfts.com/nft/pepetunade/</t>
  </si>
  <si>
    <t>PEPEOROCHI</t>
  </si>
  <si>
    <t>https://rarejapanesenfts.com/nft/pepeorochi/</t>
  </si>
  <si>
    <t>PEPEMAONE</t>
  </si>
  <si>
    <t>https://rarejapanesenfts.com/nft/pepemaone/</t>
  </si>
  <si>
    <t>FLYINGACEPEP</t>
  </si>
  <si>
    <t>https://rarejapanesenfts.com/nft/flyingacepep/</t>
  </si>
  <si>
    <t>ZAIFCARD</t>
  </si>
  <si>
    <t>https://rarejapanesenfts.com/nft/zaifcard/</t>
  </si>
  <si>
    <t>Spells of Genesis</t>
  </si>
  <si>
    <t>Japanese SoG</t>
  </si>
  <si>
    <t>Oct 2015</t>
  </si>
  <si>
    <t>??</t>
  </si>
  <si>
    <t>HAIRPEPE</t>
  </si>
  <si>
    <t>https://rarejapanesenfts.com/nft/hairpepe/</t>
  </si>
  <si>
    <t>Aya</t>
  </si>
  <si>
    <t>Japanese Rarepepe&gt;Series 01</t>
  </si>
  <si>
    <t>Sep 2016</t>
  </si>
  <si>
    <t>SHUMAICARD</t>
  </si>
  <si>
    <t>https://rarejapanesenfts.com/nft/shumaicard/</t>
  </si>
  <si>
    <t>Jul 2015</t>
  </si>
  <si>
    <t>CNPCARD</t>
  </si>
  <si>
    <t>https://rarejapanesenfts.com/nft/cnpcard/</t>
  </si>
  <si>
    <t>CCMCARD</t>
  </si>
  <si>
    <t>https://rarejapanesenfts.com/nft/ccmcard/</t>
  </si>
  <si>
    <t>May 2016</t>
  </si>
  <si>
    <t>COINPORTALCD</t>
  </si>
  <si>
    <t>https://rarejapanesenfts.com/nft/coinportalcd/</t>
  </si>
  <si>
    <t>BLOWPEPE</t>
  </si>
  <si>
    <t>https://rarejapanesenfts.com/nft/blowpepe/</t>
  </si>
  <si>
    <t>BREATHEDPEPE</t>
  </si>
  <si>
    <t>https://rarejapanesenfts.com/nft/breathedpepe/</t>
  </si>
  <si>
    <t>aya</t>
  </si>
  <si>
    <t>MERMAIDPEPE</t>
  </si>
  <si>
    <t>https://rarejapanesenfts.com/nft/mermaidpepe/</t>
  </si>
  <si>
    <t>MURASAKIPEPE</t>
  </si>
  <si>
    <t>https://rarejapanesenfts.com/nft/murasakipepe/</t>
  </si>
  <si>
    <t>HARAKIRIPEPE</t>
  </si>
  <si>
    <t>https://rarejapanesenfts.com/nft/harakiripepe/</t>
  </si>
  <si>
    <t>NOBUSHIPEPE</t>
  </si>
  <si>
    <t>https://rarejapanesenfts.com/nft/nobushipepe/</t>
  </si>
  <si>
    <t>ONSENPEPE</t>
  </si>
  <si>
    <t>https://rarejapanesenfts.com/nft/onsenpepe/</t>
  </si>
  <si>
    <t>tomoyo</t>
  </si>
  <si>
    <t>RAINYPEPE</t>
  </si>
  <si>
    <t>https://rarejapanesenfts.com/nft/rainypepe/</t>
  </si>
  <si>
    <t>masia02</t>
  </si>
  <si>
    <t>HANSEIPEPE</t>
  </si>
  <si>
    <t>https://rarejapanesenfts.com/nft/hanseipepe/</t>
  </si>
  <si>
    <t>CNPEPE</t>
  </si>
  <si>
    <t>https://rarejapanesenfts.com/nft/cnpepe/</t>
  </si>
  <si>
    <t>CRYSTALPEPE</t>
  </si>
  <si>
    <t>https://rarejapanesenfts.com/nft/crystalpepe/</t>
  </si>
  <si>
    <t>PEPEMORPHS</t>
  </si>
  <si>
    <t>https://rarejapanesenfts.com/nft/pepemorphs/</t>
  </si>
  <si>
    <t>PEPEGIGA</t>
  </si>
  <si>
    <t>https://rarejapanesenfts.com/nft/pepegiga/</t>
  </si>
  <si>
    <t>タヌ神</t>
  </si>
  <si>
    <t>PPPGLOBAL</t>
  </si>
  <si>
    <t>https://rarejapanesenfts.com/nft/pppglobal/</t>
  </si>
  <si>
    <t>Japanese Rarepepe&gt;Series 15</t>
  </si>
  <si>
    <t>YANAGINIPEPE</t>
  </si>
  <si>
    <t>https://rarejapanesenfts.com/nft/yanaginipepe/</t>
  </si>
  <si>
    <t>NoraMyao</t>
  </si>
  <si>
    <t>MATSUNIPEPE</t>
  </si>
  <si>
    <t>https://rarejapanesenfts.com/nft/matsunipepe/</t>
  </si>
  <si>
    <t>SUSUKINIPEPE</t>
  </si>
  <si>
    <t>https://rarejapanesenfts.com/nft/susukinipepe/</t>
  </si>
  <si>
    <t>SAKURANIPEPE</t>
  </si>
  <si>
    <t>https://rarejapanesenfts.com/nft/sakuranipepe/</t>
  </si>
  <si>
    <t>UMENIPEPE</t>
  </si>
  <si>
    <t>https://rarejapanesenfts.com/nft/umenipepe/</t>
  </si>
  <si>
    <t>PEPESURF</t>
  </si>
  <si>
    <t>https://rarejapanesenfts.com/nft/pepesurf/</t>
  </si>
  <si>
    <t>tomocici</t>
  </si>
  <si>
    <t>POKERPEPE</t>
  </si>
  <si>
    <t>https://rarejapanesenfts.com/nft/pokerpepe/</t>
  </si>
  <si>
    <t>PEPEDJ</t>
  </si>
  <si>
    <t>https://rarejapanesenfts.com/nft/pepedj/</t>
  </si>
  <si>
    <t>PEPEMOM</t>
  </si>
  <si>
    <t>https://rarejapanesenfts.com/nft/pepemom/</t>
  </si>
  <si>
    <t>CUPIDPEPE</t>
  </si>
  <si>
    <t>https://rarejapanesenfts.com/nft/cupidpepe/</t>
  </si>
  <si>
    <t>GANGPEPE</t>
  </si>
  <si>
    <t>https://rarejapanesenfts.com/nft/gangpepe/</t>
  </si>
  <si>
    <t>MUPEPETS</t>
  </si>
  <si>
    <t>https://rarejapanesenfts.com/nft/mupepets/</t>
  </si>
  <si>
    <t>WHEREBCYCARD</t>
  </si>
  <si>
    <t>https://rarejapanesenfts.com/nft/wherebcycard/</t>
  </si>
  <si>
    <t>Jan 2016</t>
  </si>
  <si>
    <t>SARUTOBICARD</t>
  </si>
  <si>
    <t>https://rarejapanesenfts.com/nft/sarutobicard/</t>
  </si>
  <si>
    <t>Mar 2016</t>
  </si>
  <si>
    <t>GOXCARD</t>
  </si>
  <si>
    <t>https://rarejapanesenfts.com/nft/goxcard/</t>
  </si>
  <si>
    <t>DOGECOINCARD</t>
  </si>
  <si>
    <t>https://rarejapanesenfts.com/nft/dogecoincard/</t>
  </si>
  <si>
    <t>Dec 2015</t>
  </si>
  <si>
    <t>https://rarejapanesenfts.com/nft/fwcfcfierycc-sog/</t>
  </si>
  <si>
    <t>https://rarejapanesenfts.com/nft/fwcfcumrattc-sog/</t>
  </si>
  <si>
    <t>https://rarejapanesenfts.com/nft/fwcfcthemonc-sog/</t>
  </si>
  <si>
    <t>https://rarejapanesenfts.com/nft/fwsdlicedrac-sog/</t>
  </si>
  <si>
    <t>https://rarejapanesenfts.com/nft/fwsdlfiethsc-sog/</t>
  </si>
  <si>
    <t>MOISTERINGBC</t>
  </si>
  <si>
    <t>https://rarejapanesenfts.com/nft/moisteringbc/</t>
  </si>
  <si>
    <t>Twitter</t>
  </si>
  <si>
    <t>@nemkd12</t>
  </si>
  <si>
    <t>https://twitter.com/nemkd12</t>
  </si>
  <si>
    <t>@Coin_and_Peace</t>
  </si>
  <si>
    <t>https://twitter.com/Coin_and_Peace</t>
  </si>
  <si>
    <t>@kartanbitcoin</t>
  </si>
  <si>
    <t>https://twitter.com/kartanbitcoin</t>
  </si>
  <si>
    <t>@ChunriMD</t>
  </si>
  <si>
    <t>https://twitter.com/ChunriMD</t>
  </si>
  <si>
    <t>@MetaBB_eth</t>
  </si>
  <si>
    <t>https://twitter.com/MetaBB_eth</t>
  </si>
  <si>
    <t>@pom779</t>
  </si>
  <si>
    <t>https://twitter.com/pom779</t>
  </si>
  <si>
    <t>@Taky_Taky_</t>
  </si>
  <si>
    <t>https://twitter.com/Taky_Taky_</t>
  </si>
  <si>
    <t>@NFTuber</t>
  </si>
  <si>
    <t>https://twitter.com/NFTuber</t>
  </si>
  <si>
    <t>@DavinciNine</t>
  </si>
  <si>
    <t>https://twitter.com/DavinciNine</t>
  </si>
  <si>
    <t>@JapepeneseMan</t>
  </si>
  <si>
    <t>https://twitter.com/JapepeneseMan</t>
  </si>
  <si>
    <t>@TrendStream</t>
  </si>
  <si>
    <t>https://twitter.com/TrendStream</t>
  </si>
  <si>
    <t>@aria_minase</t>
  </si>
  <si>
    <t>https://mobile.twitter.com/aria_minase</t>
  </si>
  <si>
    <t>@sai33211</t>
  </si>
  <si>
    <t>https://twitter.com/sai33211</t>
  </si>
  <si>
    <t>@Myon9</t>
  </si>
  <si>
    <t>https://twitter.com/Myon9</t>
  </si>
  <si>
    <t>@SmartSpaceDogs</t>
  </si>
  <si>
    <t>https://twitter.com/SmartSpaceDogs</t>
  </si>
  <si>
    <t>@rkgk_ac</t>
  </si>
  <si>
    <t>https://twitter.com/rkgk_ac</t>
  </si>
  <si>
    <t>@kassy_nara</t>
  </si>
  <si>
    <t>https://twitter.com/kassy_nara</t>
  </si>
  <si>
    <t>@mizcored</t>
  </si>
  <si>
    <t>https://twitter.com/mizcored</t>
  </si>
  <si>
    <t>@1aughingcat</t>
  </si>
  <si>
    <t>https://twitter.com/1aughingcat</t>
  </si>
  <si>
    <t>@urawazakun</t>
  </si>
  <si>
    <t>https://twitter.com/urawazakun</t>
  </si>
  <si>
    <t>@Whiskey_bonbon_</t>
  </si>
  <si>
    <t>https://twitter.com/Whiskey_bonbon_</t>
  </si>
  <si>
    <t>@todokasumi</t>
  </si>
  <si>
    <t>https://twitter.com/todokasumi</t>
  </si>
  <si>
    <t>@x0xb0x1</t>
  </si>
  <si>
    <t>https://twitter.com/x0xb0x1</t>
  </si>
  <si>
    <t>@ethereumon</t>
  </si>
  <si>
    <t>https://twitter.com/ethereumon</t>
  </si>
  <si>
    <t>@7cryptocurrency</t>
  </si>
  <si>
    <t>https://twitter.com/7cryptocurrency</t>
  </si>
  <si>
    <t>@StArnouldnagoya</t>
  </si>
  <si>
    <t>https://twitter.com/StArnouldnagoya</t>
  </si>
  <si>
    <t>@MandelDuck</t>
  </si>
  <si>
    <t>https://twitter.com/MandelDuck/status/1451504375906570264</t>
  </si>
  <si>
    <t>@ocknamo</t>
  </si>
  <si>
    <t>https://twitter.com/ocknamo</t>
  </si>
  <si>
    <t>https://twitter.com/mizunashi_JK17</t>
  </si>
  <si>
    <t>@CryptoKaiketsuZ</t>
  </si>
  <si>
    <t>https://twitter.com/CryptoKaiketsuZ</t>
  </si>
  <si>
    <t>@kouteipenpen_f</t>
  </si>
  <si>
    <t>https://twitter.com/kouteipenpen_f</t>
  </si>
  <si>
    <t>@logica_s</t>
  </si>
  <si>
    <t>https://twitter.com/logica_s</t>
  </si>
  <si>
    <t>@crypto_M_esi</t>
  </si>
  <si>
    <t>https://twitter.com/crypto_M_esi</t>
  </si>
  <si>
    <t>@emma_nft</t>
  </si>
  <si>
    <t>https://twitter.com/emma_nft</t>
  </si>
  <si>
    <t>@coinpartyX</t>
  </si>
  <si>
    <t>https://twitter.com/coinpartyX</t>
  </si>
  <si>
    <t>@tomotomo_9696</t>
  </si>
  <si>
    <t>https://twitter.com/tomotomo_9696</t>
  </si>
  <si>
    <t>@zaifdotjp</t>
  </si>
  <si>
    <t>https://twitter.com/zaifdotjp</t>
  </si>
  <si>
    <t>@SpellsofGenesis</t>
  </si>
  <si>
    <t>https://twitter.com/SpellsofGenesis</t>
  </si>
  <si>
    <t>@ayaLAN</t>
  </si>
  <si>
    <t>https://twitter.com/ayaLAN</t>
  </si>
  <si>
    <t>@tomoyo_ch</t>
  </si>
  <si>
    <t>https://twitter.com/tomoyo_ch</t>
  </si>
  <si>
    <t>@NoraMyao</t>
  </si>
  <si>
    <t>https://twitter.com/NoraMyao</t>
  </si>
  <si>
    <t>@_tomocici_</t>
  </si>
  <si>
    <t>https://twitter.com/_tomocici_</t>
  </si>
  <si>
    <t>@monolag</t>
  </si>
  <si>
    <t>https://twitter.com/monolag</t>
  </si>
  <si>
    <t>@masia02</t>
  </si>
  <si>
    <t>https://twitter.com/masia02</t>
  </si>
  <si>
    <t>https://rarejapanesenfts.com/ja/nft/metakitsune-ja/</t>
  </si>
  <si>
    <t>日本語</t>
  </si>
  <si>
    <t>https://rarejapanesenfts.com/ja/nft/scamway-ja/</t>
  </si>
  <si>
    <t>https://rarejapanesenfts.com/ja/nft/joshiki-ja/</t>
  </si>
  <si>
    <t>https://rarejapanesenfts.com/ja/nft/inucoiner-ja/</t>
  </si>
  <si>
    <t>https://rarejapanesenfts.com/ja/nft/makai-ja/</t>
  </si>
  <si>
    <t>https://rarejapanesenfts.com/ja/nft/nftzukami-ja/</t>
  </si>
  <si>
    <t>https://rarejapanesenfts.com/ja/nft/takanelaser-ja/</t>
  </si>
  <si>
    <t>https://rarejapanesenfts.com/ja/nft/nomoredefi-ja/</t>
  </si>
  <si>
    <t>https://rarejapanesenfts.com/ja/nft/takanezukami-ja/</t>
  </si>
  <si>
    <t>https://rarejapanesenfts.com/ja/nft/kojipepe-ja/</t>
  </si>
  <si>
    <t>https://rarejapanesenfts.com/ja/nft/wacknakamoto-ja/</t>
  </si>
  <si>
    <t>https://rarejapanesenfts.com/ja/nft/mcdumping-ja/</t>
  </si>
  <si>
    <t>https://rarejapanesenfts.com/ja/nft/pepetaro-2/</t>
  </si>
  <si>
    <t>https://rarejapanesenfts.com/ja/nft/yamaguchiabg-ja/</t>
  </si>
  <si>
    <t>https://rarejapanesenfts.com/ja/nft/damenft-ja/</t>
  </si>
  <si>
    <t>https://rarejapanesenfts.com/ja/nft/kaoribg-ja/</t>
  </si>
  <si>
    <t>https://rarejapanesenfts.com/ja/nft/chikarinbg-ja/</t>
  </si>
  <si>
    <t>https://rarejapanesenfts.com/ja/nft/sanomayabg-ja/</t>
  </si>
  <si>
    <t>https://rarejapanesenfts.com/ja/nft/satoayakabg-ja/</t>
  </si>
  <si>
    <t>https://rarejapanesenfts.com/ja/nft/djasanyanbg-ja/</t>
  </si>
  <si>
    <t>https://rarejapanesenfts.com/ja/nft/tsukasabg-ja/</t>
  </si>
  <si>
    <t>https://rarejapanesenfts.com/ja/nft/mizukibg-ja/</t>
  </si>
  <si>
    <t>https://rarejapanesenfts.com/ja/nft/shirahoshibg-ja/</t>
  </si>
  <si>
    <t>https://rarejapanesenfts.com/ja/nft/icharlottebg-ja/</t>
  </si>
  <si>
    <t>https://rarejapanesenfts.com/ja/nft/mamichanbg-ja/</t>
  </si>
  <si>
    <t>https://rarejapanesenfts.com/ja/nft/hinanomaibg-ja/</t>
  </si>
  <si>
    <t>https://rarejapanesenfts.com/ja/nft/rurubg-ja/</t>
  </si>
  <si>
    <t>https://rarejapanesenfts.com/ja/nft/djasanyanvix-ja/</t>
  </si>
  <si>
    <t>https://rarejapanesenfts.com/ja/nft/sirahosivix-ja/</t>
  </si>
  <si>
    <t>https://rarejapanesenfts.com/ja/nft/mizukivix-ja/</t>
  </si>
  <si>
    <t>https://rarejapanesenfts.com/ja/nft/chikarinvix-ja/</t>
  </si>
  <si>
    <t>https://rarejapanesenfts.com/ja/nft/sanomayavix-ja/</t>
  </si>
  <si>
    <t>https://rarejapanesenfts.com/ja/nft/tsukasavix-ja/</t>
  </si>
  <si>
    <t>https://rarejapanesenfts.com/ja/nft/bulbapepecrd-ja/</t>
  </si>
  <si>
    <t>https://rarejapanesenfts.com/ja/nft/pepekyrie-ja/</t>
  </si>
  <si>
    <t>https://rarejapanesenfts.com/ja/nft/pepedzilla-ja/</t>
  </si>
  <si>
    <t>https://rarejapanesenfts.com/ja/nft/pepetitan-ja/</t>
  </si>
  <si>
    <t>https://rarejapanesenfts.com/ja/nft/pplnmdntny-ja/</t>
  </si>
  <si>
    <t>https://rarejapanesenfts.com/ja/nft/pepelyn-ja/</t>
  </si>
  <si>
    <t>https://rarejapanesenfts.com/ja/nft/philanthrope-ja/</t>
  </si>
  <si>
    <t>https://rarejapanesenfts.com/ja/nft/servalpepe-ja/</t>
  </si>
  <si>
    <t>https://rarejapanesenfts.com/ja/nft/dokuganpepe-ja/</t>
  </si>
  <si>
    <t>https://rarejapanesenfts.com/ja/nft/icaruspepe-ja/</t>
  </si>
  <si>
    <t>https://rarejapanesenfts.com/ja/nft/ftertherain-ja/</t>
  </si>
  <si>
    <t>https://rarejapanesenfts.com/ja/nft/pepeprakek-ja/</t>
  </si>
  <si>
    <t>https://rarejapanesenfts.com/ja/nft/pepegirl-ja/</t>
  </si>
  <si>
    <t>https://rarejapanesenfts.com/ja/nft/spepectre-ja/</t>
  </si>
  <si>
    <t>https://rarejapanesenfts.com/ja/nft/uzumakipepe-ja/</t>
  </si>
  <si>
    <t>https://rarejapanesenfts.com/ja/nft/pepefractal-ja/</t>
  </si>
  <si>
    <t>https://rarejapanesenfts.com/ja/nft/kumadoripepe-ja/</t>
  </si>
  <si>
    <t>https://rarejapanesenfts.com/ja/nft/pepeform-ja/</t>
  </si>
  <si>
    <t>https://rarejapanesenfts.com/ja/nft/pepez-ja/</t>
  </si>
  <si>
    <t>https://rarejapanesenfts.com/ja/nft/thispepe-ja/</t>
  </si>
  <si>
    <t>https://rarejapanesenfts.com/ja/nft/kigurumipepe-ja/</t>
  </si>
  <si>
    <t>https://rarejapanesenfts.com/ja/nft/pepekaparker-ja/</t>
  </si>
  <si>
    <t>https://rarejapanesenfts.com/ja/nft/featherspepe-ja/</t>
  </si>
  <si>
    <t>https://rarejapanesenfts.com/ja/nft/swaropepe-ja/</t>
  </si>
  <si>
    <t>https://rarejapanesenfts.com/ja/nft/rarepego-ja/</t>
  </si>
  <si>
    <t>https://rarejapanesenfts.com/ja/nft/pepecart-ja/</t>
  </si>
  <si>
    <t>https://rarejapanesenfts.com/ja/nft/pepetobi-ja/</t>
  </si>
  <si>
    <t>https://rarejapanesenfts.com/ja/nft/pepeaddicts-ja/</t>
  </si>
  <si>
    <t>https://rarejapanesenfts.com/ja/nft/pepeballoon-ja/</t>
  </si>
  <si>
    <t>https://rarejapanesenfts.com/ja/nft/maoismpepe-ja/</t>
  </si>
  <si>
    <t>https://rarejapanesenfts.com/ja/nft/myriadmpepe-ja/</t>
  </si>
  <si>
    <t>https://rarejapanesenfts.com/ja/nft/mapepenemr-ja/</t>
  </si>
  <si>
    <t>https://rarejapanesenfts.com/ja/nft/maozepepe-ja/</t>
  </si>
  <si>
    <t>https://rarejapanesenfts.com/ja/nft/wnpepepepepe-ja/</t>
  </si>
  <si>
    <t>https://rarejapanesenfts.com/ja/nft/chunripepe-ja/</t>
  </si>
  <si>
    <t>https://rarejapanesenfts.com/ja/nft/pepebricco-ja/</t>
  </si>
  <si>
    <t>https://rarejapanesenfts.com/ja/nft/cicacoinpepe-ja/</t>
  </si>
  <si>
    <t>https://rarejapanesenfts.com/ja/nft/matsuripepe-ja/</t>
  </si>
  <si>
    <t>https://rarejapanesenfts.com/ja/nft/yugurepepe-ja/</t>
  </si>
  <si>
    <t>https://rarejapanesenfts.com/ja/nft/kingyopepe-ja/</t>
  </si>
  <si>
    <t>https://rarejapanesenfts.com/ja/nft/pepeforever-ja/</t>
  </si>
  <si>
    <t>https://rarejapanesenfts.com/ja/nft/mikopepe-ja/</t>
  </si>
  <si>
    <t>https://rarejapanesenfts.com/ja/nft/kyudopepe-ja/</t>
  </si>
  <si>
    <t>https://rarejapanesenfts.com/ja/nft/engelpepe-ja/</t>
  </si>
  <si>
    <t>https://rarejapanesenfts.com/ja/nft/miyako-ja/</t>
  </si>
  <si>
    <t>https://rarejapanesenfts.com/ja/nft/sanpopepe-ja/</t>
  </si>
  <si>
    <t>https://rarejapanesenfts.com/ja/nft/pepeharu-ja/</t>
  </si>
  <si>
    <t>https://rarejapanesenfts.com/ja/nft/pepeaki-ja/</t>
  </si>
  <si>
    <t>https://rarejapanesenfts.com/ja/nft/pepefuyu-ja/</t>
  </si>
  <si>
    <t>https://rarejapanesenfts.com/ja/nft/pepesummer-ja/</t>
  </si>
  <si>
    <t>https://rarejapanesenfts.com/ja/nft/senjupepe-ja/</t>
  </si>
  <si>
    <t>https://rarejapanesenfts.com/ja/nft/pepedol-ja/</t>
  </si>
  <si>
    <t>https://rarejapanesenfts.com/ja/nft/pepesax-ja/</t>
  </si>
  <si>
    <t>https://rarejapanesenfts.com/ja/nft/pepepet-ja/</t>
  </si>
  <si>
    <t>https://rarejapanesenfts.com/ja/nft/pepebass-ja/</t>
  </si>
  <si>
    <t>https://rarejapanesenfts.com/ja/nft/pepean-ja/</t>
  </si>
  <si>
    <t>https://rarejapanesenfts.com/ja/nft/pepeball-ja/</t>
  </si>
  <si>
    <t>https://rarejapanesenfts.com/ja/nft/pepejiro-ja/</t>
  </si>
  <si>
    <t>https://rarejapanesenfts.com/ja/nft/pepenal-ja/</t>
  </si>
  <si>
    <t>https://rarejapanesenfts.com/ja/nft/perochi-ja/</t>
  </si>
  <si>
    <t>https://rarejapanesenfts.com/ja/nft/pepeevo-ja/</t>
  </si>
  <si>
    <t>https://rarejapanesenfts.com/ja/nft/pepehand-ja/</t>
  </si>
  <si>
    <t>https://rarejapanesenfts.com/ja/nft/pepenin-ja/</t>
  </si>
  <si>
    <t>https://rarejapanesenfts.com/ja/nft/pepedarkside-ja/</t>
  </si>
  <si>
    <t>https://rarejapanesenfts.com/ja/nft/pepezaalbino-ja/</t>
  </si>
  <si>
    <t>https://rarejapanesenfts.com/ja/nft/pepearrow-ja/</t>
  </si>
  <si>
    <t>https://rarejapanesenfts.com/ja/nft/mandarapepe-ja/</t>
  </si>
  <si>
    <t>https://rarejapanesenfts.com/ja/nft/sarutobipepe-ja/</t>
  </si>
  <si>
    <t>https://rarejapanesenfts.com/ja/nft/pepesearch-ja/</t>
  </si>
  <si>
    <t>https://rarejapanesenfts.com/ja/nft/pepezoncard-ja/</t>
  </si>
  <si>
    <t>https://rarejapanesenfts.com/ja/nft/pepetie-ja/</t>
  </si>
  <si>
    <t>https://rarejapanesenfts.com/ja/nft/pepescream-ja/</t>
  </si>
  <si>
    <t>https://rarejapanesenfts.com/ja/nft/pepetter-ja/</t>
  </si>
  <si>
    <t>https://rarejapanesenfts.com/ja/nft/pepebriefs-ja/</t>
  </si>
  <si>
    <t>https://rarejapanesenfts.com/ja/nft/pepeflies-ja/</t>
  </si>
  <si>
    <t>https://rarejapanesenfts.com/ja/nft/pepemerman-ja/</t>
  </si>
  <si>
    <t>https://rarejapanesenfts.com/ja/nft/pepesgym-ja/</t>
  </si>
  <si>
    <t>https://rarejapanesenfts.com/ja/nft/prisonerpepe-ja/</t>
  </si>
  <si>
    <t>https://rarejapanesenfts.com/ja/nft/zazenpepe-ja/</t>
  </si>
  <si>
    <t>https://rarejapanesenfts.com/ja/nft/pepesplanet-ja/</t>
  </si>
  <si>
    <t>https://rarejapanesenfts.com/ja/nft/yummypepe-ja/</t>
  </si>
  <si>
    <t>https://rarejapanesenfts.com/ja/nft/nativepepeth-ja/</t>
  </si>
  <si>
    <t>https://rarejapanesenfts.com/ja/nft/peperikishi-ja/</t>
  </si>
  <si>
    <t>https://rarejapanesenfts.com/ja/nft/pepetsamurai-ja/</t>
  </si>
  <si>
    <t>https://rarejapanesenfts.com/ja/nft/pepepenpen-ja/</t>
  </si>
  <si>
    <t>https://rarejapanesenfts.com/ja/nft/penpen-ja/</t>
  </si>
  <si>
    <t>https://rarejapanesenfts.com/ja/nft/noborderpepe-ja/</t>
  </si>
  <si>
    <t>https://rarejapanesenfts.com/ja/nft/japanesepepe-ja/</t>
  </si>
  <si>
    <t>https://rarejapanesenfts.com/ja/nft/tempurapepe-ja/</t>
  </si>
  <si>
    <t>https://rarejapanesenfts.com/ja/nft/pepesurfing-2/</t>
  </si>
  <si>
    <t>https://rarejapanesenfts.com/ja/nft/pepejpn-ja/</t>
  </si>
  <si>
    <t>https://rarejapanesenfts.com/ja/nft/pepepeace-ja/</t>
  </si>
  <si>
    <t>https://rarejapanesenfts.com/ja/nft/pepeakiba-ja/</t>
  </si>
  <si>
    <t>https://rarejapanesenfts.com/ja/nft/sakurapenpen-ja/</t>
  </si>
  <si>
    <t>https://rarejapanesenfts.com/ja/nft/hinamatsuri-ja/</t>
  </si>
  <si>
    <t>https://rarejapanesenfts.com/ja/nft/risavix-ja/</t>
  </si>
  <si>
    <t>https://rarejapanesenfts.com/ja/nft/bitgirlsi-ja/</t>
  </si>
  <si>
    <t>https://rarejapanesenfts.com/ja/nft/bitgirlsii-ja/</t>
  </si>
  <si>
    <t>https://rarejapanesenfts.com/ja/nft/kinobg-ja/</t>
  </si>
  <si>
    <t>https://rarejapanesenfts.com/ja/nft/shimarenabg-ja/</t>
  </si>
  <si>
    <t>https://rarejapanesenfts.com/ja/nft/rumirumibg-ja/</t>
  </si>
  <si>
    <t>https://rarejapanesenfts.com/ja/nft/itsukibg-ja/</t>
  </si>
  <si>
    <t>https://rarejapanesenfts.com/ja/nft/leenabg-ja/</t>
  </si>
  <si>
    <t>https://rarejapanesenfts.com/ja/nft/snotpepe-ja/</t>
  </si>
  <si>
    <t>https://rarejapanesenfts.com/ja/nft/peekaboopepe-ja/</t>
  </si>
  <si>
    <t>https://rarejapanesenfts.com/ja/nft/fwsdldarknec-ja/</t>
  </si>
  <si>
    <t>https://rarejapanesenfts.com/ja/nft/fwsdlthemonc-ja/</t>
  </si>
  <si>
    <t>https://rarejapanesenfts.com/ja/nft/fwsdlthedruc-ja/</t>
  </si>
  <si>
    <t>https://rarejapanesenfts.com/ja/nft/fwsdlsharatc-ja/</t>
  </si>
  <si>
    <t>https://rarejapanesenfts.com/ja/nft/fwsdlpowerac-ja/</t>
  </si>
  <si>
    <t>https://rarejapanesenfts.com/ja/nft/fwsdlonistrc-ja/</t>
  </si>
  <si>
    <t>https://rarejapanesenfts.com/ja/nft/fwsdlmomotac-ja/</t>
  </si>
  <si>
    <t>https://rarejapanesenfts.com/ja/nft/fwsdlheavenc-ja/</t>
  </si>
  <si>
    <t>https://rarejapanesenfts.com/ja/nft/fwsdlfaithfc-ja/</t>
  </si>
  <si>
    <t>https://rarejapanesenfts.com/ja/nft/fwsdlcastlec-ja/</t>
  </si>
  <si>
    <t>https://rarejapanesenfts.com/ja/nft/fwsdlbloodoc-ja/</t>
  </si>
  <si>
    <t>https://rarejapanesenfts.com/ja/nft/fwsdlallyofc-ja/</t>
  </si>
  <si>
    <t>https://rarejapanesenfts.com/ja/nft/fwsdlwindmac-ja/</t>
  </si>
  <si>
    <t>https://rarejapanesenfts.com/ja/nft/fwsdlwhispec-ja/</t>
  </si>
  <si>
    <t>https://rarejapanesenfts.com/ja/nft/fwsdlvampirc-ja/</t>
  </si>
  <si>
    <t>https://rarejapanesenfts.com/ja/nft/fwsdltwofolc-ja/</t>
  </si>
  <si>
    <t>https://rarejapanesenfts.com/ja/nft/fwsdltorrenc-ja/</t>
  </si>
  <si>
    <t>https://rarejapanesenfts.com/ja/nft/fwsdltamafac-ja/</t>
  </si>
  <si>
    <t>https://rarejapanesenfts.com/ja/nft/fwsdlspiwinc-ja/</t>
  </si>
  <si>
    <t>https://rarejapanesenfts.com/ja/nft/fwsdlsacredc-ja/</t>
  </si>
  <si>
    <t>https://rarejapanesenfts.com/ja/nft/fwsdlhomeofc-ja/</t>
  </si>
  <si>
    <t>https://rarejapanesenfts.com/ja/nft/fwsdlgreathc-ja/</t>
  </si>
  <si>
    <t>https://rarejapanesenfts.com/ja/nft/fwsdlfiethsc-ja/</t>
  </si>
  <si>
    <t>https://rarejapanesenfts.com/ja/nft/fwsdlariafrc-ja/</t>
  </si>
  <si>
    <t>https://rarejapanesenfts.com/ja/nft/fwsdlwatermc-ja/</t>
  </si>
  <si>
    <t>https://rarejapanesenfts.com/ja/nft/fwsdlspiritc-ja/</t>
  </si>
  <si>
    <t>https://rarejapanesenfts.com/ja/nft/fwsdlservanc-ja/</t>
  </si>
  <si>
    <t>https://rarejapanesenfts.com/ja/nft/fwsdlmessenc-ja/</t>
  </si>
  <si>
    <t>https://rarejapanesenfts.com/ja/nft/fwsdlmericyc-ja/</t>
  </si>
  <si>
    <t>https://rarejapanesenfts.com/ja/nft/fwsdlmercurc-ja/</t>
  </si>
  <si>
    <t>https://rarejapanesenfts.com/ja/nft/fwsdlmalefic-ja/</t>
  </si>
  <si>
    <t>https://rarejapanesenfts.com/ja/nft/fwsdlkeeperc-ja/</t>
  </si>
  <si>
    <t>https://rarejapanesenfts.com/ja/nft/fwsdlicedrac-ja/</t>
  </si>
  <si>
    <t>https://rarejapanesenfts.com/ja/nft/fwsdlastaroc-ja/</t>
  </si>
  <si>
    <t>https://rarejapanesenfts.com/ja/nft/fwsdlancknoc-ja/</t>
  </si>
  <si>
    <t>https://rarejapanesenfts.com/ja/nft/fwsdlancienc-ja/</t>
  </si>
  <si>
    <t>https://rarejapanesenfts.com/ja/nft/fwsdlfiremac-ja/</t>
  </si>
  <si>
    <t>https://rarejapanesenfts.com/ja/nft/fwsdlrlyehwc-ja/</t>
  </si>
  <si>
    <t>https://rarejapanesenfts.com/ja/nft/fwsdlnightmc-ja/</t>
  </si>
  <si>
    <t>https://rarejapanesenfts.com/ja/nft/fwsdlniggurc-ja/</t>
  </si>
  <si>
    <t>https://rarejapanesenfts.com/ja/nft/fwsdllunyasc-ja/</t>
  </si>
  <si>
    <t>https://rarejapanesenfts.com/ja/nft/fwsdllunyatc-ja/</t>
  </si>
  <si>
    <t>https://rarejapanesenfts.com/ja/nft/fwsdllightnc-ja/</t>
  </si>
  <si>
    <t>https://rarejapanesenfts.com/ja/nft/fwsdlhasturc-ja/</t>
  </si>
  <si>
    <t>https://rarejapanesenfts.com/ja/nft/fwsdlgentlec-ja/</t>
  </si>
  <si>
    <t>https://rarejapanesenfts.com/ja/nft/fwsdlfaylitc-ja/</t>
  </si>
  <si>
    <t>https://rarejapanesenfts.com/ja/nft/fwsdlemissac-ja/</t>
  </si>
  <si>
    <t>https://rarejapanesenfts.com/ja/nft/fwsdlcharlac-ja/</t>
  </si>
  <si>
    <t>https://rarejapanesenfts.com/ja/nft/fwsdllightmc-ja/</t>
  </si>
  <si>
    <t>https://rarejapanesenfts.com/ja/nft/fwsdltinkerc-ja/</t>
  </si>
  <si>
    <t>https://rarejapanesenfts.com/ja/nft/fwsdlsummonc-ja/</t>
  </si>
  <si>
    <t>https://rarejapanesenfts.com/ja/nft/fwsdlmilliuc-ja/</t>
  </si>
  <si>
    <t>https://rarejapanesenfts.com/ja/nft/fwsdlmanifec-ja/</t>
  </si>
  <si>
    <t>https://rarejapanesenfts.com/ja/nft/fwsdlmagicsc-ja/</t>
  </si>
  <si>
    <t>https://rarejapanesenfts.com/ja/nft/fwsdllightdc-ja/</t>
  </si>
  <si>
    <t>https://rarejapanesenfts.com/ja/nft/fwsdlkidpusc-ja/</t>
  </si>
  <si>
    <t>https://rarejapanesenfts.com/ja/nft/fwsdlgrimmkc-ja/</t>
  </si>
  <si>
    <t>https://rarejapanesenfts.com/ja/nft/fwsdlgourmac-ja/</t>
  </si>
  <si>
    <t>https://rarejapanesenfts.com/ja/nft/fwsdlfairytc-ja/</t>
  </si>
  <si>
    <t>https://rarejapanesenfts.com/ja/nft/fwsdlconfecc-ja/</t>
  </si>
  <si>
    <t>https://rarejapanesenfts.com/ja/nft/fwcfcwindmac-ja/</t>
  </si>
  <si>
    <t>https://rarejapanesenfts.com/ja/nft/fwcfcwatermc-ja/</t>
  </si>
  <si>
    <t>https://rarejapanesenfts.com/ja/nft/fwcfclightmc-ja/</t>
  </si>
  <si>
    <t>https://rarejapanesenfts.com/ja/nft/fwcfcfiremac-ja/</t>
  </si>
  <si>
    <t>https://rarejapanesenfts.com/ja/nft/fwcfcdarknec-ja/</t>
  </si>
  <si>
    <t>https://rarejapanesenfts.com/ja/nft/fwcfcofscorc-ja/</t>
  </si>
  <si>
    <t>https://rarejapanesenfts.com/ja/nft/fwcfcoflighc-ja/</t>
  </si>
  <si>
    <t>https://rarejapanesenfts.com/ja/nft/fwcfcofheavc-ja/</t>
  </si>
  <si>
    <t>https://rarejapanesenfts.com/ja/nft/fwcfcofheatc-ja/</t>
  </si>
  <si>
    <t>https://rarejapanesenfts.com/ja/nft/fwcfcofhearc-ja/</t>
  </si>
  <si>
    <t>https://rarejapanesenfts.com/ja/nft/fwcfcofgustc-ja/</t>
  </si>
  <si>
    <t>https://rarejapanesenfts.com/ja/nft/fwcfcofdeepc-ja/</t>
  </si>
  <si>
    <t>https://rarejapanesenfts.com/ja/nft/fwcfcofdarkc-ja/</t>
  </si>
  <si>
    <t>https://rarejapanesenfts.com/ja/nft/fwcfcofblasc-ja/</t>
  </si>
  <si>
    <t>https://rarejapanesenfts.com/ja/nft/fwcfcofblacc-ja/</t>
  </si>
  <si>
    <t>https://rarejapanesenfts.com/ja/nft/fwcfcurashic-ja/</t>
  </si>
  <si>
    <t>https://rarejapanesenfts.com/ja/nft/fwcfcumrattc-ja/</t>
  </si>
  <si>
    <t>https://rarejapanesenfts.com/ja/nft/fwcfcthenamc-ja/</t>
  </si>
  <si>
    <t>https://rarejapanesenfts.com/ja/nft/fwcfcthegatc-ja/</t>
  </si>
  <si>
    <t>https://rarejapanesenfts.com/ja/nft/fwcfctheblac-ja/</t>
  </si>
  <si>
    <t>https://rarejapanesenfts.com/ja/nft/fwcfcservanc-ja/</t>
  </si>
  <si>
    <t>https://rarejapanesenfts.com/ja/nft/fwcfcrinkasc-ja/</t>
  </si>
  <si>
    <t>https://rarejapanesenfts.com/ja/nft/fwcfcresonac-ja/</t>
  </si>
  <si>
    <t>https://rarejapanesenfts.com/ja/nft/fwcfcprincec-ja/</t>
  </si>
  <si>
    <t>https://rarejapanesenfts.com/ja/nft/fwcfcpriestc-ja/</t>
  </si>
  <si>
    <t>https://rarejapanesenfts.com/ja/nft/fwcfconigovc-ja/</t>
  </si>
  <si>
    <t>https://rarejapanesenfts.com/ja/nft/fwcfcmadonic-ja/</t>
  </si>
  <si>
    <t>https://rarejapanesenfts.com/ja/nft/fwcfceterecc-ja/</t>
  </si>
  <si>
    <t>https://rarejapanesenfts.com/ja/nft/fwcfccreatuc-ja/</t>
  </si>
  <si>
    <t>https://rarejapanesenfts.com/ja/nft/fwcfcazathoc-ja/</t>
  </si>
  <si>
    <t>https://rarejapanesenfts.com/ja/nft/fwcfcanencoc-ja/</t>
  </si>
  <si>
    <t>https://rarejapanesenfts.com/ja/nft/fwcfcalhazrc-ja/</t>
  </si>
  <si>
    <t>https://rarejapanesenfts.com/ja/nft/fwcfczhubajc-ja/</t>
  </si>
  <si>
    <t>https://rarejapanesenfts.com/ja/nft/fwcfcwisemac-ja/</t>
  </si>
  <si>
    <t>https://rarejapanesenfts.com/ja/nft/fwcfcthemonc-ja/</t>
  </si>
  <si>
    <t>https://rarejapanesenfts.com/ja/nft/fwcfcsorcerc-ja/</t>
  </si>
  <si>
    <t>https://rarejapanesenfts.com/ja/nft/fwcfcshawujc-ja/</t>
  </si>
  <si>
    <t>https://rarejapanesenfts.com/ja/nft/fwcfcsecludc-ja/</t>
  </si>
  <si>
    <t>https://rarejapanesenfts.com/ja/nft/fwcfcredridc-ja/</t>
  </si>
  <si>
    <t>https://rarejapanesenfts.com/ja/nft/fwcfcprotecc-ja/</t>
  </si>
  <si>
    <t>https://rarejapanesenfts.com/ja/nft/fwcfcmagicsc-ja/</t>
  </si>
  <si>
    <t>https://rarejapanesenfts.com/ja/nft/fwcfcmagicbc-ja/</t>
  </si>
  <si>
    <t>https://rarejapanesenfts.com/ja/nft/fwcfcheavenc-ja/</t>
  </si>
  <si>
    <t>https://rarejapanesenfts.com/ja/nft/fwcfcflyingc-ja/</t>
  </si>
  <si>
    <t>https://rarejapanesenfts.com/ja/nft/fwcfcfavorac-ja/</t>
  </si>
  <si>
    <t>https://rarejapanesenfts.com/ja/nft/fwcfcelfoftc-ja/</t>
  </si>
  <si>
    <t>https://rarejapanesenfts.com/ja/nft/fwcfccreamuc-ja/</t>
  </si>
  <si>
    <t>https://rarejapanesenfts.com/ja/nft/fwcfccloninc-ja/</t>
  </si>
  <si>
    <t>https://rarejapanesenfts.com/ja/nft/fwcfcbirdofc-ja/</t>
  </si>
  <si>
    <t>https://rarejapanesenfts.com/ja/nft/fwcfcsummonc-ja/</t>
  </si>
  <si>
    <t>https://rarejapanesenfts.com/ja/nft/fwcfcstargac-ja/</t>
  </si>
  <si>
    <t>https://rarejapanesenfts.com/ja/nft/fwcfcshacklc-ja/</t>
  </si>
  <si>
    <t>https://rarejapanesenfts.com/ja/nft/fwcfcrisingc-ja/</t>
  </si>
  <si>
    <t>https://rarejapanesenfts.com/ja/nft/fwcfcreturnc-ja/</t>
  </si>
  <si>
    <t>https://rarejapanesenfts.com/ja/nft/fwcfcrabbitc-ja/</t>
  </si>
  <si>
    <t>https://rarejapanesenfts.com/ja/nft/fwcfcmermaic-ja/</t>
  </si>
  <si>
    <t>https://rarejapanesenfts.com/ja/nft/fwcfcmelttoc-ja/</t>
  </si>
  <si>
    <t>https://rarejapanesenfts.com/ja/nft/fwcfclumiasc-ja/</t>
  </si>
  <si>
    <t>https://rarejapanesenfts.com/ja/nft/fwcfcguidetc-ja/</t>
  </si>
  <si>
    <t>https://rarejapanesenfts.com/ja/nft/fwcfccheshic-ja/</t>
  </si>
  <si>
    <t>https://rarejapanesenfts.com/ja/nft/fwcfcchawatc-ja/</t>
  </si>
  <si>
    <t>https://rarejapanesenfts.com/ja/nft/fwcfcchaproc-ja/</t>
  </si>
  <si>
    <t>https://rarejapanesenfts.com/ja/nft/fwcfccharloc-ja/</t>
  </si>
  <si>
    <t>https://rarejapanesenfts.com/ja/nft/fwcfccaptaic-ja/</t>
  </si>
  <si>
    <t>https://rarejapanesenfts.com/ja/nft/fwcfcancautc-ja/</t>
  </si>
  <si>
    <t>https://rarejapanesenfts.com/ja/nft/fwcfcalteanc-ja/</t>
  </si>
  <si>
    <t>https://rarejapanesenfts.com/ja/nft/fwcfctinyrec-ja/</t>
  </si>
  <si>
    <t>https://rarejapanesenfts.com/ja/nft/fwcfctigerlc-ja/</t>
  </si>
  <si>
    <t>https://rarejapanesenfts.com/ja/nft/fwcfctigercc-ja/</t>
  </si>
  <si>
    <t>https://rarejapanesenfts.com/ja/nft/fwcfctheoxkc-ja/</t>
  </si>
  <si>
    <t>https://rarejapanesenfts.com/ja/nft/fwcfcstalkic-ja/</t>
  </si>
  <si>
    <t>https://rarejapanesenfts.com/ja/nft/fwcfcspiritc-ja/</t>
  </si>
  <si>
    <t>https://rarejapanesenfts.com/ja/nft/fwcfcsacredc-ja/</t>
  </si>
  <si>
    <t>https://rarejapanesenfts.com/ja/nft/fwcfcmarsfoc-ja/</t>
  </si>
  <si>
    <t>https://rarejapanesenfts.com/ja/nft/fwcfcinvitac-ja/</t>
  </si>
  <si>
    <t>https://rarejapanesenfts.com/ja/nft/fwcfcintrosc-ja/</t>
  </si>
  <si>
    <t>https://rarejapanesenfts.com/ja/nft/fwcfcflamedc-ja/</t>
  </si>
  <si>
    <t>https://rarejapanesenfts.com/ja/nft/fwcfcfierycc-ja/</t>
  </si>
  <si>
    <t>https://rarejapanesenfts.com/ja/nft/fwcfcfairytc-ja/</t>
  </si>
  <si>
    <t>https://rarejapanesenfts.com/ja/nft/fwcfcdragonc-ja/</t>
  </si>
  <si>
    <t>https://rarejapanesenfts.com/ja/nft/fwcfcdemonoc-ja/</t>
  </si>
  <si>
    <t>https://rarejapanesenfts.com/ja/nft/fwcfccombatc-ja/</t>
  </si>
  <si>
    <t>https://rarejapanesenfts.com/ja/nft/fwcfcancienc-ja/</t>
  </si>
  <si>
    <t>https://rarejapanesenfts.com/ja/nft/fwcfczerosmc-ja/</t>
  </si>
  <si>
    <t>https://rarejapanesenfts.com/ja/nft/fwcfczerosfc-ja/</t>
  </si>
  <si>
    <t>https://rarejapanesenfts.com/ja/nft/fwcfczerosic-ja/</t>
  </si>
  <si>
    <t>https://rarejapanesenfts.com/ja/nft/fwcfcstorytc-ja/</t>
  </si>
  <si>
    <t>https://rarejapanesenfts.com/ja/nft/fwcfcsafeguc-ja/</t>
  </si>
  <si>
    <t>https://rarejapanesenfts.com/ja/nft/fwcfcretellc-ja/</t>
  </si>
  <si>
    <t>https://rarejapanesenfts.com/ja/nft/fwcfcpumpkic-ja/</t>
  </si>
  <si>
    <t>https://rarejapanesenfts.com/ja/nft/fwcfcpanmarc-ja/</t>
  </si>
  <si>
    <t>https://rarejapanesenfts.com/ja/nft/fwcfcpandorc-ja/</t>
  </si>
  <si>
    <t>https://rarejapanesenfts.com/ja/nft/fwcfcneverlc-ja/</t>
  </si>
  <si>
    <t>https://rarejapanesenfts.com/ja/nft/fwcfcglosumc-ja/</t>
  </si>
  <si>
    <t>https://rarejapanesenfts.com/ja/nft/fwcfcglothec-ja/</t>
  </si>
  <si>
    <t>https://rarejapanesenfts.com/ja/nft/fwcfcfairyoc-ja/</t>
  </si>
  <si>
    <t>https://rarejapanesenfts.com/ja/nft/fwcfceternac-ja/</t>
  </si>
  <si>
    <t>https://rarejapanesenfts.com/ja/nft/fwcfcescapec-ja/</t>
  </si>
  <si>
    <t>https://rarejapanesenfts.com/ja/nft/fwcfcdreamsc-ja/</t>
  </si>
  <si>
    <t>https://rarejapanesenfts.com/ja/nft/fwcfcdreamic-ja/</t>
  </si>
  <si>
    <t>https://rarejapanesenfts.com/ja/nft/kamatte-ja/</t>
  </si>
  <si>
    <t>https://rarejapanesenfts.com/ja/nft/oshikomare-ja/</t>
  </si>
  <si>
    <t>https://rarejapanesenfts.com/ja/nft/koedame-ja/</t>
  </si>
  <si>
    <t>https://rarejapanesenfts.com/ja/nft/nobunsan-ja/</t>
  </si>
  <si>
    <t>https://rarejapanesenfts.com/ja/nft/thegodtanu-ja/</t>
  </si>
  <si>
    <t>https://rarejapanesenfts.com/ja/nft/firstpen-ja/</t>
  </si>
  <si>
    <t>https://rarejapanesenfts.com/ja/nft/hagepepe-ja/</t>
  </si>
  <si>
    <t>https://rarejapanesenfts.com/ja/nft/idojawan-ja/</t>
  </si>
  <si>
    <t>https://rarejapanesenfts.com/ja/nft/lovenft-ja/</t>
  </si>
  <si>
    <t>https://rarejapanesenfts.com/ja/nft/hwfashion-ja/</t>
  </si>
  <si>
    <t>https://rarejapanesenfts.com/ja/nft/pepebazaar-ja/</t>
  </si>
  <si>
    <t>https://rarejapanesenfts.com/ja/nft/notsoon-ja/</t>
  </si>
  <si>
    <t>https://rarejapanesenfts.com/ja/nft/shibacoiner-ja/</t>
  </si>
  <si>
    <t>https://rarejapanesenfts.com/ja/nft/goxgirl-ja/</t>
  </si>
  <si>
    <t>https://rarejapanesenfts.com/ja/nft/dogemusk-ja/</t>
  </si>
  <si>
    <t>https://rarejapanesenfts.com/ja/nft/shitto-ja/</t>
  </si>
  <si>
    <t>https://rarejapanesenfts.com/ja/nft/wagupepe-ja/</t>
  </si>
  <si>
    <t>https://rarejapanesenfts.com/ja/nft/rogai-ja/</t>
  </si>
  <si>
    <t>https://rarejapanesenfts.com/ja/nft/bigstone-ja/</t>
  </si>
  <si>
    <t>https://rarejapanesenfts.com/ja/nft/defitest-ja/</t>
  </si>
  <si>
    <t>https://rarejapanesenfts.com/ja/nft/goxandthedao-ja/</t>
  </si>
  <si>
    <t>https://rarejapanesenfts.com/ja/nft/kojithecupid-ja/</t>
  </si>
  <si>
    <t>https://rarejapanesenfts.com/ja/nft/thedaodead-ja/</t>
  </si>
  <si>
    <t>https://rarejapanesenfts.com/ja/nft/xemurai-ja/</t>
  </si>
  <si>
    <t>https://rarejapanesenfts.com/ja/nft/bitcoingirl-ja/</t>
  </si>
  <si>
    <t>https://rarejapanesenfts.com/ja/nft/monacoingirl-ja/</t>
  </si>
  <si>
    <t>https://rarejapanesenfts.com/ja/nft/minerb-ja/</t>
  </si>
  <si>
    <t>https://rarejapanesenfts.com/ja/nft/mikehearnalt-ja/</t>
  </si>
  <si>
    <t>https://rarejapanesenfts.com/ja/nft/originofmc-ja/</t>
  </si>
  <si>
    <t>https://rarejapanesenfts.com/ja/nft/tothemooncd-ja/</t>
  </si>
  <si>
    <t>https://rarejapanesenfts.com/ja/nft/bigonestep-ja/</t>
  </si>
  <si>
    <t>https://rarejapanesenfts.com/ja/nft/xemandjapan-ja/</t>
  </si>
  <si>
    <t>https://rarejapanesenfts.com/ja/nft/monasegwit-ja/</t>
  </si>
  <si>
    <t>https://rarejapanesenfts.com/ja/nft/thefintech-ja/</t>
  </si>
  <si>
    <t>https://rarejapanesenfts.com/ja/nft/quantumpc-ja/</t>
  </si>
  <si>
    <t>https://rarejapanesenfts.com/ja/nft/monerogirl-ja/</t>
  </si>
  <si>
    <t>https://rarejapanesenfts.com/ja/nft/ethereumgirl-ja/</t>
  </si>
  <si>
    <t>https://rarejapanesenfts.com/ja/nft/ripplegirl-ja/</t>
  </si>
  <si>
    <t>https://rarejapanesenfts.com/ja/nft/xasicboost-ja/</t>
  </si>
  <si>
    <t>https://rarejapanesenfts.com/ja/nft/rejectedvix-ja/</t>
  </si>
  <si>
    <t>https://rarejapanesenfts.com/ja/nft/ramensog-ja/</t>
  </si>
  <si>
    <t>https://rarejapanesenfts.com/ja/nft/ecobitman-ja/</t>
  </si>
  <si>
    <t>https://rarejapanesenfts.com/ja/nft/etcchan-ja/</t>
  </si>
  <si>
    <t>https://rarejapanesenfts.com/ja/nft/zecfothemoon-ja/</t>
  </si>
  <si>
    <t>https://rarejapanesenfts.com/ja/nft/undercontrol-ja/</t>
  </si>
  <si>
    <t>https://rarejapanesenfts.com/ja/nft/uasfarmy-ja/</t>
  </si>
  <si>
    <t>https://rarejapanesenfts.com/ja/nft/dogethereum-ja/</t>
  </si>
  <si>
    <t>https://rarejapanesenfts.com/ja/nft/thetimes-ja/</t>
  </si>
  <si>
    <t>https://rarejapanesenfts.com/ja/nft/takarajpi-ja/</t>
  </si>
  <si>
    <t>https://rarejapanesenfts.com/ja/nft/satoshiclub-ja/</t>
  </si>
  <si>
    <t>https://rarejapanesenfts.com/ja/nft/nemgirl-ja/</t>
  </si>
  <si>
    <t>https://rarejapanesenfts.com/ja/nft/cryptogirls-ja/</t>
  </si>
  <si>
    <t>https://rarejapanesenfts.com/ja/nft/ethhomestead-ja/</t>
  </si>
  <si>
    <t>https://rarejapanesenfts.com/ja/nft/ethfrontier-ja/</t>
  </si>
  <si>
    <t>https://rarejapanesenfts.com/ja/nft/ecobitwoman-ja/</t>
  </si>
  <si>
    <t>https://rarejapanesenfts.com/ja/nft/bccard-ja/</t>
  </si>
  <si>
    <t>https://rarejapanesenfts.com/ja/nft/bmantbleed-ja/</t>
  </si>
  <si>
    <t>https://rarejapanesenfts.com/ja/nft/botcoiner-ja/</t>
  </si>
  <si>
    <t>https://rarejapanesenfts.com/ja/nft/btctattoo-ja/</t>
  </si>
  <si>
    <t>https://rarejapanesenfts.com/ja/nft/dogechan-ja/</t>
  </si>
  <si>
    <t>https://rarejapanesenfts.com/ja/nft/ecashpaper-ja/</t>
  </si>
  <si>
    <t>https://rarejapanesenfts.com/ja/nft/powmonster-ja/</t>
  </si>
  <si>
    <t>https://rarejapanesenfts.com/ja/nft/scamhazard-ja/</t>
  </si>
  <si>
    <t>https://rarejapanesenfts.com/ja/nft/garikuson-ja/</t>
  </si>
  <si>
    <t>https://rarejapanesenfts.com/ja/nft/hodlonme-ja/</t>
  </si>
  <si>
    <t>https://rarejapanesenfts.com/ja/nft/trezormylove-ja/</t>
  </si>
  <si>
    <t>https://rarejapanesenfts.com/ja/nft/sroadcamel-ja/</t>
  </si>
  <si>
    <t>https://rarejapanesenfts.com/ja/nft/theakanpany-ja/</t>
  </si>
  <si>
    <t>https://rarejapanesenfts.com/ja/nft/tlod-ja/</t>
  </si>
  <si>
    <t>https://rarejapanesenfts.com/ja/nft/wackwatanabe-ja/</t>
  </si>
  <si>
    <t>https://rarejapanesenfts.com/ja/nft/zaifgirls-ja/</t>
  </si>
  <si>
    <t>https://rarejapanesenfts.com/ja/nft/ccgannen-ja/</t>
  </si>
  <si>
    <t>https://rarejapanesenfts.com/ja/nft/yomegox-ja/</t>
  </si>
  <si>
    <t>https://rarejapanesenfts.com/ja/nft/cryptorpg-ja/</t>
  </si>
  <si>
    <t>https://rarejapanesenfts.com/ja/nft/foreverp-ja/</t>
  </si>
  <si>
    <t>https://rarejapanesenfts.com/ja/nft/mcharvesting-ja/</t>
  </si>
  <si>
    <t>https://rarejapanesenfts.com/ja/nft/mcripplenw-ja/</t>
  </si>
  <si>
    <t>https://rarejapanesenfts.com/ja/nft/monapepecard-ja/</t>
  </si>
  <si>
    <t>https://rarejapanesenfts.com/ja/nft/monatattoo-ja/</t>
  </si>
  <si>
    <t>https://rarejapanesenfts.com/ja/nft/xemtattoo-ja/</t>
  </si>
  <si>
    <t>https://rarejapanesenfts.com/ja/nft/originofsog-ja/</t>
  </si>
  <si>
    <t>https://rarejapanesenfts.com/ja/nft/potcoiner-ja/</t>
  </si>
  <si>
    <t>https://rarejapanesenfts.com/ja/nft/xcppeople-ja/</t>
  </si>
  <si>
    <t>https://rarejapanesenfts.com/ja/nft/theicodead-ja/</t>
  </si>
  <si>
    <t>https://rarejapanesenfts.com/ja/nft/nemangel-ja/</t>
  </si>
  <si>
    <t>https://rarejapanesenfts.com/ja/nft/segwitshi-ja/</t>
  </si>
  <si>
    <t>https://rarejapanesenfts.com/ja/nft/shitcoiner-ja/</t>
  </si>
  <si>
    <t>https://rarejapanesenfts.com/ja/nft/gripgirl-ja/</t>
  </si>
  <si>
    <t>https://rarejapanesenfts.com/ja/nft/bitzeny-ja/</t>
  </si>
  <si>
    <t>https://rarejapanesenfts.com/ja/nft/decentoracle-ja/</t>
  </si>
  <si>
    <t>https://rarejapanesenfts.com/ja/nft/masteringpc-ja/</t>
  </si>
  <si>
    <t>https://rarejapanesenfts.com/ja/nft/scamcoinshop-ja/</t>
  </si>
  <si>
    <t>https://rarejapanesenfts.com/ja/nft/hogehoge-ja/</t>
  </si>
  <si>
    <t>https://rarejapanesenfts.com/ja/nft/inago-ja/</t>
  </si>
  <si>
    <t>https://rarejapanesenfts.com/ja/nft/kingofcc-ja/</t>
  </si>
  <si>
    <t>https://rarejapanesenfts.com/ja/nft/meigen-ja/</t>
  </si>
  <si>
    <t>https://rarejapanesenfts.com/ja/nft/nharvest-ja/</t>
  </si>
  <si>
    <t>https://rarejapanesenfts.com/ja/nft/pepemodoki-ja/</t>
  </si>
  <si>
    <t>https://rarejapanesenfts.com/ja/nft/rappleboy-ja/</t>
  </si>
  <si>
    <t>https://rarejapanesenfts.com/ja/nft/smartdubai-ja/</t>
  </si>
  <si>
    <t>https://rarejapanesenfts.com/ja/nft/untraceable-ja/</t>
  </si>
  <si>
    <t>https://rarejapanesenfts.com/ja/nft/snwarmheart-ja/</t>
  </si>
  <si>
    <t>https://rarejapanesenfts.com/ja/nft/walletkun-ja/</t>
  </si>
  <si>
    <t>https://rarejapanesenfts.com/ja/nft/lordothemoon-ja/</t>
  </si>
  <si>
    <t>https://rarejapanesenfts.com/ja/nft/memepartners-ja/</t>
  </si>
  <si>
    <t>https://rarejapanesenfts.com/ja/nft/theniagara-ja/</t>
  </si>
  <si>
    <t>https://rarejapanesenfts.com/ja/nft/maidsafechan-ja/</t>
  </si>
  <si>
    <t>https://rarejapanesenfts.com/ja/nft/nempizzaday-ja/</t>
  </si>
  <si>
    <t>https://rarejapanesenfts.com/ja/nft/sarutobiisl-ja/</t>
  </si>
  <si>
    <t>https://rarejapanesenfts.com/ja/nft/birthofthbtc-ja/</t>
  </si>
  <si>
    <t>https://rarejapanesenfts.com/ja/nft/bitisban-ja/</t>
  </si>
  <si>
    <t>https://rarejapanesenfts.com/ja/nft/bunretsu-ja/</t>
  </si>
  <si>
    <t>https://rarejapanesenfts.com/ja/nft/ccmc-ja/</t>
  </si>
  <si>
    <t>https://rarejapanesenfts.com/ja/nft/estopia-ja/</t>
  </si>
  <si>
    <t>https://rarejapanesenfts.com/ja/nft/ficoa-ja/</t>
  </si>
  <si>
    <t>https://rarejapanesenfts.com/ja/nft/ficob-ja/</t>
  </si>
  <si>
    <t>https://rarejapanesenfts.com/ja/nft/mcseven-ja/</t>
  </si>
  <si>
    <t>https://rarejapanesenfts.com/ja/nft/gara-ja/</t>
  </si>
  <si>
    <t>https://rarejapanesenfts.com/ja/nft/goddessnem-ja/</t>
  </si>
  <si>
    <t>https://rarejapanesenfts.com/ja/nft/halving-ja/</t>
  </si>
  <si>
    <t>https://rarejapanesenfts.com/ja/nft/hige-ja/</t>
  </si>
  <si>
    <t>https://rarejapanesenfts.com/ja/nft/kakugalee-ja/</t>
  </si>
  <si>
    <t>https://rarejapanesenfts.com/ja/nft/kusacoin-ja/</t>
  </si>
  <si>
    <t>https://rarejapanesenfts.com/ja/nft/maidchan-ja/</t>
  </si>
  <si>
    <t>https://rarejapanesenfts.com/ja/nft/mccomer-ja/</t>
  </si>
  <si>
    <t>https://rarejapanesenfts.com/ja/nft/momejinja-ja/</t>
  </si>
  <si>
    <t>https://rarejapanesenfts.com/ja/nft/mpmegashock-ja/</t>
  </si>
  <si>
    <t>https://rarejapanesenfts.com/ja/nft/nemberbecool-ja/</t>
  </si>
  <si>
    <t>https://rarejapanesenfts.com/ja/nft/numeraiai-ja/</t>
  </si>
  <si>
    <t>https://rarejapanesenfts.com/ja/nft/omatsuri-ja/</t>
  </si>
  <si>
    <t>https://rarejapanesenfts.com/ja/nft/pumpepe-ja/</t>
  </si>
  <si>
    <t>https://rarejapanesenfts.com/ja/nft/sograid-ja/</t>
  </si>
  <si>
    <t>https://rarejapanesenfts.com/ja/nft/statusico-ja/</t>
  </si>
  <si>
    <t>https://rarejapanesenfts.com/ja/nft/takane-ja/</t>
  </si>
  <si>
    <t>https://rarejapanesenfts.com/ja/nft/takaragps-ja/</t>
  </si>
  <si>
    <t>https://rarejapanesenfts.com/ja/nft/thearukamo-ja/</t>
  </si>
  <si>
    <t>https://rarejapanesenfts.com/ja/nft/wacksog-ja/</t>
  </si>
  <si>
    <t>https://rarejapanesenfts.com/ja/nft/bipbard-ja/</t>
  </si>
  <si>
    <t>https://rarejapanesenfts.com/ja/nft/couplegox-ja/</t>
  </si>
  <si>
    <t>https://rarejapanesenfts.com/ja/nft/ecnuko-ja/</t>
  </si>
  <si>
    <t>https://rarejapanesenfts.com/ja/nft/ecobitrefund-ja/</t>
  </si>
  <si>
    <t>https://rarejapanesenfts.com/ja/nft/ethchan-ja/</t>
  </si>
  <si>
    <t>https://rarejapanesenfts.com/ja/nft/foresightman-ja/</t>
  </si>
  <si>
    <t>https://rarejapanesenfts.com/ja/nft/icovacation-ja/</t>
  </si>
  <si>
    <t>https://rarejapanesenfts.com/ja/nft/monasummer-ja/</t>
  </si>
  <si>
    <t>https://rarejapanesenfts.com/ja/nft/mrhangenki-ja/</t>
  </si>
  <si>
    <t>https://rarejapanesenfts.com/ja/nft/mtgday-ja/</t>
  </si>
  <si>
    <t>https://rarejapanesenfts.com/ja/nft/pickupkusa-ja/</t>
  </si>
  <si>
    <t>https://rarejapanesenfts.com/ja/nft/soooooooooon-ja/</t>
  </si>
  <si>
    <t>https://rarejapanesenfts.com/ja/nft/tform-ja/</t>
  </si>
  <si>
    <t>https://rarejapanesenfts.com/ja/nft/thebyzantine-ja/</t>
  </si>
  <si>
    <t>https://rarejapanesenfts.com/ja/nft/ttrustcard-ja/</t>
  </si>
  <si>
    <t>https://rarejapanesenfts.com/ja/nft/thecemetery-ja/</t>
  </si>
  <si>
    <t>https://rarejapanesenfts.com/ja/nft/mcwashoy-ja/</t>
  </si>
  <si>
    <t>https://rarejapanesenfts.com/ja/nft/wannacry-ja/</t>
  </si>
  <si>
    <t>https://rarejapanesenfts.com/ja/nft/willsplit-ja/</t>
  </si>
  <si>
    <t>https://rarejapanesenfts.com/ja/nft/bitcoiners-ja/</t>
  </si>
  <si>
    <t>https://rarejapanesenfts.com/ja/nft/jbws-ja/</t>
  </si>
  <si>
    <t>https://rarejapanesenfts.com/ja/nft/gamestart-ja/</t>
  </si>
  <si>
    <t>https://rarejapanesenfts.com/ja/nft/mgoinvader-ja/</t>
  </si>
  <si>
    <t>https://rarejapanesenfts.com/ja/nft/sisumaistart-ja/</t>
  </si>
  <si>
    <t>https://rarejapanesenfts.com/ja/nft/selfgox-ja/</t>
  </si>
  <si>
    <t>https://rarejapanesenfts.com/ja/nft/eatsushi-ja/</t>
  </si>
  <si>
    <t>https://rarejapanesenfts.com/ja/nft/cryptoholic-ja/</t>
  </si>
  <si>
    <t>https://rarejapanesenfts.com/ja/nft/neochan-ja/</t>
  </si>
  <si>
    <t>https://rarejapanesenfts.com/ja/nft/btcfork-ja/</t>
  </si>
  <si>
    <t>https://rarejapanesenfts.com/ja/nft/takabcoin-ja/</t>
  </si>
  <si>
    <t>https://rarejapanesenfts.com/ja/nft/tanukj-ja/</t>
  </si>
  <si>
    <t>https://rarejapanesenfts.com/ja/nft/penpenbtc-ja/</t>
  </si>
  <si>
    <t>https://rarejapanesenfts.com/ja/nft/oahf-ja/</t>
  </si>
  <si>
    <t>https://rarejapanesenfts.com/ja/nft/bigman-ja/</t>
  </si>
  <si>
    <t>https://rarejapanesenfts.com/ja/nft/bitsennin-ja/</t>
  </si>
  <si>
    <t>https://rarejapanesenfts.com/ja/nft/bouya-ja/</t>
  </si>
  <si>
    <t>https://rarejapanesenfts.com/ja/nft/ccloversbtc-ja/</t>
  </si>
  <si>
    <t>https://rarejapanesenfts.com/ja/nft/chaoo-ja/</t>
  </si>
  <si>
    <t>https://rarejapanesenfts.com/ja/nft/ethereumon-ja/</t>
  </si>
  <si>
    <t>https://rarejapanesenfts.com/ja/nft/ethtattoo-ja/</t>
  </si>
  <si>
    <t>https://rarejapanesenfts.com/ja/nft/golemnet-ja/</t>
  </si>
  <si>
    <t>https://rarejapanesenfts.com/ja/nft/idolnemone-ja/</t>
  </si>
  <si>
    <t>https://rarejapanesenfts.com/ja/nft/ltcdog-ja/</t>
  </si>
  <si>
    <t>https://rarejapanesenfts.com/ja/nft/monaplatinum-ja/</t>
  </si>
  <si>
    <t>https://rarejapanesenfts.com/ja/nft/nembae-ja/</t>
  </si>
  <si>
    <t>https://rarejapanesenfts.com/ja/nft/nemcatapult-ja/</t>
  </si>
  <si>
    <t>https://rarejapanesenfts.com/ja/nft/numeraires-ja/</t>
  </si>
  <si>
    <t>https://rarejapanesenfts.com/ja/nft/pepeeyes-ja/</t>
  </si>
  <si>
    <t>https://rarejapanesenfts.com/ja/nft/princessnem-ja/</t>
  </si>
  <si>
    <t>https://rarejapanesenfts.com/ja/nft/rlockup-ja/</t>
  </si>
  <si>
    <t>https://rarejapanesenfts.com/ja/nft/sarutobigif-ja/</t>
  </si>
  <si>
    <t>https://rarejapanesenfts.com/ja/nft/sncoldheartb-ja/</t>
  </si>
  <si>
    <t>https://rarejapanesenfts.com/ja/nft/tezoscard-ja/</t>
  </si>
  <si>
    <t>https://rarejapanesenfts.com/ja/nft/theyoubun-ja/</t>
  </si>
  <si>
    <t>https://rarejapanesenfts.com/ja/nft/xaorangerb-ja/</t>
  </si>
  <si>
    <t>https://rarejapanesenfts.com/ja/nft/xrpbaachan-ja/</t>
  </si>
  <si>
    <t>https://rarejapanesenfts.com/ja/nft/xrplockup-ja/</t>
  </si>
  <si>
    <t>https://rarejapanesenfts.com/ja/nft/blacksmiths-ja/</t>
  </si>
  <si>
    <t>https://rarejapanesenfts.com/ja/nft/btcvipcard-ja/</t>
  </si>
  <si>
    <t>https://rarejapanesenfts.com/ja/nft/bullbear-ja/</t>
  </si>
  <si>
    <t>https://rarejapanesenfts.com/ja/nft/ccgallone-ja/</t>
  </si>
  <si>
    <t>https://rarejapanesenfts.com/ja/nft/ccgbtcone-ja/</t>
  </si>
  <si>
    <t>https://rarejapanesenfts.com/ja/nft/ccloverseth-ja/</t>
  </si>
  <si>
    <t>https://rarejapanesenfts.com/ja/nft/ccloversnem-ja/</t>
  </si>
  <si>
    <t>https://rarejapanesenfts.com/ja/nft/civiccard-ja/</t>
  </si>
  <si>
    <t>https://rarejapanesenfts.com/ja/nft/codeislaw-ja/</t>
  </si>
  <si>
    <t>https://rarejapanesenfts.com/ja/nft/darkcoingirl-ja/</t>
  </si>
  <si>
    <t>https://rarejapanesenfts.com/ja/nft/ehardfork-ja/</t>
  </si>
  <si>
    <t>https://rarejapanesenfts.com/ja/nft/gohatto-ja/</t>
  </si>
  <si>
    <t>https://rarejapanesenfts.com/ja/nft/forecasting-ja/</t>
  </si>
  <si>
    <t>https://rarejapanesenfts.com/ja/nft/gnosiswoman-ja/</t>
  </si>
  <si>
    <t>https://rarejapanesenfts.com/ja/nft/idolripplea-ja/</t>
  </si>
  <si>
    <t>https://rarejapanesenfts.com/ja/nft/ininchan-ja/</t>
  </si>
  <si>
    <t>https://rarejapanesenfts.com/ja/nft/islandsaru-ja/</t>
  </si>
  <si>
    <t>https://rarejapanesenfts.com/ja/nft/monabaachan-ja/</t>
  </si>
  <si>
    <t>https://rarejapanesenfts.com/ja/nft/nembaachan-ja/</t>
  </si>
  <si>
    <t>https://rarejapanesenfts.com/ja/nft/newsapp-ja/</t>
  </si>
  <si>
    <t>https://rarejapanesenfts.com/ja/nft/nomona-ja/</t>
  </si>
  <si>
    <t>https://rarejapanesenfts.com/ja/nft/sbitcoiner-ja/</t>
  </si>
  <si>
    <t>https://rarejapanesenfts.com/ja/nft/singulardtv-ja/</t>
  </si>
  <si>
    <t>https://rarejapanesenfts.com/ja/nft/waragoncard-ja/</t>
  </si>
  <si>
    <t>https://rarejapanesenfts.com/ja/nft/xaorangerg-ja/</t>
  </si>
  <si>
    <t>https://rarejapanesenfts.com/ja/nft/xrptattoo-ja/</t>
  </si>
  <si>
    <t>https://rarejapanesenfts.com/ja/nft/bchwasborn-ja/</t>
  </si>
  <si>
    <t>https://rarejapanesenfts.com/ja/nft/bobbywave-ja/</t>
  </si>
  <si>
    <t>https://rarejapanesenfts.com/ja/nft/ccgetcone-ja/</t>
  </si>
  <si>
    <t>https://rarejapanesenfts.com/ja/nft/dashman-ja/</t>
  </si>
  <si>
    <t>https://rarejapanesenfts.com/ja/nft/gachiho-ja/</t>
  </si>
  <si>
    <t>https://rarejapanesenfts.com/ja/nft/icotcoin-ja/</t>
  </si>
  <si>
    <t>https://rarejapanesenfts.com/ja/nft/lovemona-ja/</t>
  </si>
  <si>
    <t>https://rarejapanesenfts.com/ja/nft/nemballoon-ja/</t>
  </si>
  <si>
    <t>https://rarejapanesenfts.com/ja/nft/neochans-ja/</t>
  </si>
  <si>
    <t>https://rarejapanesenfts.com/ja/nft/oishikunai-ja/</t>
  </si>
  <si>
    <t>https://rarejapanesenfts.com/ja/nft/penpencomsa-ja/</t>
  </si>
  <si>
    <t>https://rarejapanesenfts.com/ja/nft/ripule-ja/</t>
  </si>
  <si>
    <t>https://rarejapanesenfts.com/ja/nft/surfwaves-ja/</t>
  </si>
  <si>
    <t>https://rarejapanesenfts.com/ja/nft/thetebasaki-ja/</t>
  </si>
  <si>
    <t>https://rarejapanesenfts.com/ja/nft/whoissatoshi-ja/</t>
  </si>
  <si>
    <t>https://rarejapanesenfts.com/ja/nft/pepejapan-ja/</t>
  </si>
  <si>
    <t>https://rarejapanesenfts.com/ja/nft/longnosepepe-ja/</t>
  </si>
  <si>
    <t>https://rarejapanesenfts.com/ja/nft/pepegreen-ja/</t>
  </si>
  <si>
    <t>https://rarejapanesenfts.com/ja/nft/pepecamo-ja/</t>
  </si>
  <si>
    <t>https://rarejapanesenfts.com/ja/nft/peperaccoon-ja/</t>
  </si>
  <si>
    <t>https://rarejapanesenfts.com/ja/nft/comedypepe-ja/</t>
  </si>
  <si>
    <t>https://rarejapanesenfts.com/ja/nft/sixtysixpepe-ja/</t>
  </si>
  <si>
    <t>https://rarejapanesenfts.com/ja/nft/pepetodamoon-ja/</t>
  </si>
  <si>
    <t>https://rarejapanesenfts.com/ja/nft/drillpepe-ja/</t>
  </si>
  <si>
    <t>https://rarejapanesenfts.com/ja/nft/samuraipepe-ja/</t>
  </si>
  <si>
    <t>https://rarejapanesenfts.com/ja/nft/zzzzpepe-ja/</t>
  </si>
  <si>
    <t>https://rarejapanesenfts.com/ja/nft/pepenuma-ja/</t>
  </si>
  <si>
    <t>https://rarejapanesenfts.com/ja/nft/xmasantapepe-ja/</t>
  </si>
  <si>
    <t>https://rarejapanesenfts.com/ja/nft/newyearpepe-ja/</t>
  </si>
  <si>
    <t>https://rarejapanesenfts.com/ja/nft/friendspepe-ja/</t>
  </si>
  <si>
    <t>https://rarejapanesenfts.com/ja/nft/secretpepe-ja/</t>
  </si>
  <si>
    <t>https://rarejapanesenfts.com/ja/nft/peperich-ja/</t>
  </si>
  <si>
    <t>https://rarejapanesenfts.com/ja/nft/thepepe-ja/</t>
  </si>
  <si>
    <t>https://rarejapanesenfts.com/ja/nft/pepepoor-ja/</t>
  </si>
  <si>
    <t>https://rarejapanesenfts.com/ja/nft/dronepepe-ja/</t>
  </si>
  <si>
    <t>https://rarejapanesenfts.com/ja/nft/proofofpepe-ja/</t>
  </si>
  <si>
    <t>https://rarejapanesenfts.com/ja/nft/earthpepe-ja/</t>
  </si>
  <si>
    <t>https://rarejapanesenfts.com/ja/nft/hanginpepe-ja/</t>
  </si>
  <si>
    <t>https://rarejapanesenfts.com/ja/nft/kappapepe-ja/</t>
  </si>
  <si>
    <t>https://rarejapanesenfts.com/ja/nft/venuspepe-ja/</t>
  </si>
  <si>
    <t>https://rarejapanesenfts.com/ja/nft/guesswhatpep-ja/</t>
  </si>
  <si>
    <t>https://rarejapanesenfts.com/ja/nft/kabukipepe-ja/</t>
  </si>
  <si>
    <t>https://rarejapanesenfts.com/ja/nft/tadpolepepe-ja/</t>
  </si>
  <si>
    <t>https://rarejapanesenfts.com/ja/nft/pepexecutive-ja/</t>
  </si>
  <si>
    <t>https://rarejapanesenfts.com/ja/nft/pepetrek-ja/</t>
  </si>
  <si>
    <t>https://rarejapanesenfts.com/ja/nft/gnitepepe-ja/</t>
  </si>
  <si>
    <t>https://rarejapanesenfts.com/ja/nft/haikupepe-ja/</t>
  </si>
  <si>
    <t>https://rarejapanesenfts.com/ja/nft/claypepe-ja/</t>
  </si>
  <si>
    <t>https://rarejapanesenfts.com/ja/nft/nohpepe-ja/</t>
  </si>
  <si>
    <t>https://rarejapanesenfts.com/ja/nft/happyrainy-ja/</t>
  </si>
  <si>
    <t>https://rarejapanesenfts.com/ja/nft/peperoncino-ja/</t>
  </si>
  <si>
    <t>https://rarejapanesenfts.com/ja/nft/ungaisouten-ja/</t>
  </si>
  <si>
    <t>https://rarejapanesenfts.com/ja/nft/flowerpepe-ja/</t>
  </si>
  <si>
    <t>https://rarejapanesenfts.com/ja/nft/pepeon-ja/</t>
  </si>
  <si>
    <t>https://rarejapanesenfts.com/ja/nft/lonelypepe-ja/</t>
  </si>
  <si>
    <t>https://rarejapanesenfts.com/ja/nft/pepecaffe-ja/</t>
  </si>
  <si>
    <t>https://rarejapanesenfts.com/ja/nft/pepereme-ja/</t>
  </si>
  <si>
    <t>https://rarejapanesenfts.com/ja/nft/bitcornect-ja/</t>
  </si>
  <si>
    <t>https://rarejapanesenfts.com/ja/nft/goghcorn-ja/</t>
  </si>
  <si>
    <t>https://rarejapanesenfts.com/ja/nft/corntest-ja/</t>
  </si>
  <si>
    <t>https://rarejapanesenfts.com/ja/nft/cornrock-ja/</t>
  </si>
  <si>
    <t>https://rarejapanesenfts.com/ja/nft/nfcorn-ja/</t>
  </si>
  <si>
    <t>https://rarejapanesenfts.com/ja/nft/vividcorn-ja/</t>
  </si>
  <si>
    <t>https://rarejapanesenfts.com/ja/nft/mondriancorn-ja/</t>
  </si>
  <si>
    <t>https://rarejapanesenfts.com/ja/nft/dotcorn-ja/</t>
  </si>
  <si>
    <t>https://rarejapanesenfts.com/ja/nft/lastcorn-ja/</t>
  </si>
  <si>
    <t>https://rarejapanesenfts.com/ja/nft/comebackcorn-ja/</t>
  </si>
  <si>
    <t>https://rarejapanesenfts.com/ja/nft/cornpatrol-ja/</t>
  </si>
  <si>
    <t>https://rarejapanesenfts.com/ja/nft/cornpedia-ja/</t>
  </si>
  <si>
    <t>https://rarejapanesenfts.com/ja/nft/cornsakamoto-ja/</t>
  </si>
  <si>
    <t>https://rarejapanesenfts.com/ja/nft/cornkabuki-ja/</t>
  </si>
  <si>
    <t>https://rarejapanesenfts.com/ja/nft/onsencorn-ja/</t>
  </si>
  <si>
    <t>https://rarejapanesenfts.com/ja/nft/penpenpopcor-ja/</t>
  </si>
  <si>
    <t>https://rarejapanesenfts.com/ja/nft/nobordercorn-ja/</t>
  </si>
  <si>
    <t>https://rarejapanesenfts.com/ja/nft/cornroom-ja/</t>
  </si>
  <si>
    <t>https://rarejapanesenfts.com/ja/nft/batcorn-ja/</t>
  </si>
  <si>
    <t>https://rarejapanesenfts.com/ja/nft/lilycorn-ja/</t>
  </si>
  <si>
    <t>https://rarejapanesenfts.com/ja/nft/cornteeth-ja/</t>
  </si>
  <si>
    <t>https://rarejapanesenfts.com/ja/nft/cornflag-ja/</t>
  </si>
  <si>
    <t>https://rarejapanesenfts.com/ja/nft/cornsquiggle-ja/</t>
  </si>
  <si>
    <t>https://rarejapanesenfts.com/ja/nft/endracismpe-ja/</t>
  </si>
  <si>
    <t>https://rarejapanesenfts.com/ja/nft/pepejiraiya-ja/</t>
  </si>
  <si>
    <t>https://rarejapanesenfts.com/ja/nft/pepetunade-ja/</t>
  </si>
  <si>
    <t>https://rarejapanesenfts.com/ja/nft/pepeorochi-ja/</t>
  </si>
  <si>
    <t>https://rarejapanesenfts.com/ja/nft/pepemaone-ja/</t>
  </si>
  <si>
    <t>https://rarejapanesenfts.com/ja/nft/flyingacepep-ja/</t>
  </si>
  <si>
    <t>https://rarejapanesenfts.com/ja/nft/zaifcard-ja/</t>
  </si>
  <si>
    <t>https://rarejapanesenfts.com/ja/nft/hairpepe-ja/</t>
  </si>
  <si>
    <t>https://rarejapanesenfts.com/ja/nft/shumaicard-ja/</t>
  </si>
  <si>
    <t>https://rarejapanesenfts.com/ja/nft/cnpcard-ja/</t>
  </si>
  <si>
    <t>https://rarejapanesenfts.com/ja/nft/ccmcard-ja/</t>
  </si>
  <si>
    <t>https://rarejapanesenfts.com/ja/nft/blowpepe-ja/</t>
  </si>
  <si>
    <t>https://rarejapanesenfts.com/ja/nft/breathedpepe-ja/</t>
  </si>
  <si>
    <t>https://rarejapanesenfts.com/ja/nft/mermaidpepe-ja/</t>
  </si>
  <si>
    <t>https://rarejapanesenfts.com/ja/nft/murasakipepe-ja/</t>
  </si>
  <si>
    <t>https://rarejapanesenfts.com/ja/nft/harakiripepe-ja/</t>
  </si>
  <si>
    <t>https://rarejapanesenfts.com/ja/nft/nobushipepe-ja/</t>
  </si>
  <si>
    <t>https://rarejapanesenfts.com/ja/nft/onsenpepe-ja/</t>
  </si>
  <si>
    <t>https://rarejapanesenfts.com/ja/nft/rainypepe-ja/</t>
  </si>
  <si>
    <t>https://rarejapanesenfts.com/ja/nft/hanseipepe-ja/</t>
  </si>
  <si>
    <t>https://rarejapanesenfts.com/ja/nft/cnpepe-ja/</t>
  </si>
  <si>
    <t>https://rarejapanesenfts.com/ja/nft/crystalpepe-ja/</t>
  </si>
  <si>
    <t>https://rarejapanesenfts.com/ja/nft/pepemorphs-ja/</t>
  </si>
  <si>
    <t>https://rarejapanesenfts.com/ja/nft/pepegiga-ja/</t>
  </si>
  <si>
    <t>https://rarejapanesenfts.com/ja/nft/pppglobal-ja/</t>
  </si>
  <si>
    <t>https://rarejapanesenfts.com/ja/nft/yanaginipepe-ja/</t>
  </si>
  <si>
    <t>https://rarejapanesenfts.com/ja/nft/matsunipepe-ja/</t>
  </si>
  <si>
    <t>https://rarejapanesenfts.com/ja/nft/susukinipepe-ja/</t>
  </si>
  <si>
    <t>https://rarejapanesenfts.com/ja/nft/sakuranipepe-ja/</t>
  </si>
  <si>
    <t>https://rarejapanesenfts.com/ja/nft/umenipepe-ja/</t>
  </si>
  <si>
    <t>https://rarejapanesenfts.com/ja/nft/pepesurf-ja/</t>
  </si>
  <si>
    <t>https://rarejapanesenfts.com/ja/nft/pokerpepe-ja/</t>
  </si>
  <si>
    <t>https://rarejapanesenfts.com/ja/nft/pepedj-2/</t>
  </si>
  <si>
    <t>https://rarejapanesenfts.com/ja/nft/pepemom-ja/</t>
  </si>
  <si>
    <t>https://rarejapanesenfts.com/ja/nft/cupidpepe-ja/</t>
  </si>
  <si>
    <t>https://rarejapanesenfts.com/ja/nft/gangpepe-ja/</t>
  </si>
  <si>
    <t>https://rarejapanesenfts.com/ja/nft/mupepets-ja/</t>
  </si>
  <si>
    <t>https://rarejapanesenfts.com/ja/nft/coinportalcd-ja/</t>
  </si>
  <si>
    <t>https://rarejapanesenfts.com/ja/nft/wherebcycard-ja/</t>
  </si>
  <si>
    <t>https://rarejapanesenfts.com/ja/nft/sarutobicard-ja/</t>
  </si>
  <si>
    <t>https://rarejapanesenfts.com/ja/nft/goxcard-ja/</t>
  </si>
  <si>
    <t>https://rarejapanesenfts.com/ja/nft/dogecoincard-ja/</t>
  </si>
  <si>
    <t>https://rarejapanesenfts.com/ja/nft/fwcfcfierycc-sog-ja/</t>
  </si>
  <si>
    <t>https://rarejapanesenfts.com/ja/nft/fwcfcumrattc-sog-ja/</t>
  </si>
  <si>
    <t>https://rarejapanesenfts.com/ja/nft/fwsdlicedrac-sog-ja/</t>
  </si>
  <si>
    <t>https://rarejapanesenfts.com/ja/nft/fwsdlfiethsc-sog-ja/</t>
  </si>
  <si>
    <t>https://rarejapanesenfts.com/ja/nft/fwcfcthemonc-sog-ja/</t>
  </si>
  <si>
    <t>https://rarejapanesenfts.com/ja/nft/moisteringbc-ja/</t>
  </si>
  <si>
    <t>データ未入力or修正必要</t>
  </si>
  <si>
    <t>Opensea</t>
  </si>
  <si>
    <t>CPアドレス</t>
  </si>
  <si>
    <t>Website</t>
  </si>
  <si>
    <t>アーティスト紹介文（外注し、英訳する予定です。）</t>
  </si>
  <si>
    <t>その他何かあれば</t>
  </si>
  <si>
    <t>https://xchain.io/address/15MDXC3YkR5sHL34c41YMonkxJP7RKeLK1</t>
  </si>
  <si>
    <t>https://dhpkww12.hatenablog.com/archive</t>
  </si>
  <si>
    <t>2016年ごろRAREPEPEやBitGirlsの存在を知り、Counterpartyトークン、いわゆるビンテージNFTを用いた活動を楽しんでいました。中でも、Memorychainでの思い出は深く、WACKシリーズ3作品を作成、たくさんの作品をコレクションしていました。2017年～2018年までは、Spells of Genesisの日本語翻訳、コミュニティマネジメントといったお手伝いもしていました。</t>
  </si>
  <si>
    <t>特定のカードを売る気がない、秘密鍵が紛失した、アーティスト名を変更したいなど。
ーーーー
サイトに下記の4項目を設定・表示させる予定です。
作者アクティブ：作者は秘密鍵をまだ保有し、売買可能
作者非アクティブ：作者は長期間動きがなく、秘密鍵を失った可能性もある
運営アクティブ：運営会社が活発に売買している
運営非アクティブ：運営会社は積極的に売買をしていない（将来的に配布されたり、市場で売りに出される可能性がある）</t>
  </si>
  <si>
    <t>1BRB38LNN1CNWeQngKeeZFF7osBpmyieKa
1Q2Vgxpvx6L9nf9evy2FHjAZWKG2J3TuaQ</t>
  </si>
  <si>
    <t>https://kojihigashi.info</t>
  </si>
  <si>
    <t>メモチェンドリームを実現させたい人です</t>
  </si>
  <si>
    <t>1E3kn4VBfAsjamEpq84o6WVUwno2B2nRBu</t>
  </si>
  <si>
    <t>メモチェン・オアシスマイニング・レアぺぺで、３名のクリエーターをサポートしました。
ごめんなさい。わたし自身は一切絵心ありません。
takaraでメモチェンカードを落としたり拾ったりしてた頃が一番楽しかったです。
takara帰ってこないかな。</t>
  </si>
  <si>
    <t>1AanCo9CJSomhUEy2YrhfXrU1PboBhFaBq</t>
  </si>
  <si>
    <t>仮想通貨に出会い,RAREPEPEと出会い、落書き画力を駆使してNFTアーティストとして活動中。
2018年当時からPEPECASHWATCH（腕時計）を作成し ChunriPEPE（RAREPEPEカード）とセットで仮想通貨を使った販売するなど、現物商品と仮想通貨をつなげる活動も行っていた。
XCPトークンをベースとするNFTアート製作を中心に活動を続けていきます。</t>
  </si>
  <si>
    <t>https://opensea.io/BBSea</t>
  </si>
  <si>
    <t>1AoAkpQo7p2jSAW5raa3MbUtXqvFq3SRvU</t>
  </si>
  <si>
    <t>https://opensea.io/Pom779</t>
  </si>
  <si>
    <t>1A3iBZcfzUvMUXo7LZExMLApgkRacpfXms</t>
  </si>
  <si>
    <t>私はモナカードアーティストです。2017年にビットコインに注目し、その後すぐRAREPEPEやMemorychainを見つけました。当時はそれらのたくさんのカードを眺めながら、世界で何が起こっているのかよく分からない！と思いました。そして今は常識的な社会から見たら狂気のクリプト界で出来事をイラストにしています。今回はBadger Cupsule Cardの企画でMemorychainアーティストの人達と一緒に活動できてとても嬉しいです。</t>
  </si>
  <si>
    <t>私は作品がBadger capsuleシリーズのみですが、「作者アクティブ」状態です。</t>
  </si>
  <si>
    <t>匿名アーティスト達</t>
  </si>
  <si>
    <t>https://opensea.io/TKY</t>
  </si>
  <si>
    <t>16xG9NoSKAbMhbAgnwhMv2iDx8RY9cf87X</t>
  </si>
  <si>
    <t>instagram.com/tky_nft</t>
  </si>
  <si>
    <t>2016年からの暗号資産民です。好きな言葉はメモチェンドリームです。</t>
  </si>
  <si>
    <t>https://opensea.io/NFTuberRecoveryAccount</t>
  </si>
  <si>
    <t>1HvhqnWsHnSijTSLRKVH79QEMDtiuExZYh</t>
  </si>
  <si>
    <t>https://nftuber.com/</t>
  </si>
  <si>
    <t>Memorychainの世界観が大好きで、アニメ系キャラをこよなく愛してます。OTAKUの一番上の兄と一緒に各国アーティストの方々と遊んでいます。作品を交換する文化も大好きです♪</t>
  </si>
  <si>
    <t>1GNQdAkP1zEToHbtZjqaQwqMU6Eg6Xu4Um</t>
  </si>
  <si>
    <t>1Q2Vgxpvx6L9nf9evy2FHjAZWKG2J3TuaQ</t>
  </si>
  <si>
    <t>13L4Jd92Mb8YwPCreEkjV422aWaZDVdkrQ</t>
  </si>
  <si>
    <t>12T6iEDNc42L9W8kgtDVBFMQo4JAdUKAkT</t>
  </si>
  <si>
    <t>https://opensea.io/sai33211</t>
  </si>
  <si>
    <t>187ToQV2FDTLbgiFKr2mxBm29qzEDPuo6P</t>
  </si>
  <si>
    <t>2016～2017年頃からRarepepeやMemorychainの製作活動をしていました。カードを集めたりもしてます。今は、メタバースのために3DNFTを模索中です。Soon...</t>
  </si>
  <si>
    <t>15DyT6GU5bwViSwhtKu7fGb1JGv5gdK5iL</t>
  </si>
  <si>
    <t>モナコイナー|エンジョイ勢|基本ゲームばっかやってます|うぇーい</t>
  </si>
  <si>
    <t>1NZy2TZyEiG1GGRs5ZDQLntC9FQup6uaQB</t>
  </si>
  <si>
    <t>13K4Gw6ZnStysneTeG1WN4FAJy5xARzL5M</t>
  </si>
  <si>
    <t>183EeDkhhEUHzygiAKcnJxui1LvvaK631u</t>
  </si>
  <si>
    <t>https://xchain.io/address/1NDLa9HG3WsBuzn1x6RyPBHNipUHLyaE2h</t>
  </si>
  <si>
    <t>kasaneate.starfree.jp/mc/artist/#kassy_nara</t>
  </si>
  <si>
    <t>私はRarepepe1作品、Memorychain7作品、Raredoge3作品(Rarereject2作品含む)を作成していますが、絵の描けない所謂なんちゃってクソコラアーティストです。</t>
  </si>
  <si>
    <t>1HPGQi58gwnRzUCgG7DMkZeNUN5ZmygxH</t>
  </si>
  <si>
    <t>1M9Spz7KDH2LwHsuCokBxnc9EvJ3dg11ZA</t>
  </si>
  <si>
    <t>1E8bCUjLUnwGDPxqbT1ZV58Nvw7e4yENCC</t>
  </si>
  <si>
    <t>https://xchain.io/address/18fXiDwiLAX2M3eUZqzRTcKvvAPiTTCiDK</t>
  </si>
  <si>
    <t>Twitter歴だけが長い暗号資産愛好者です。Memorychainを始めとしてOasismining、RAREPEPEのトークンを発行しています。トークンの画像は私のアイデアを元に友人の絵師に描いてもらっています。</t>
  </si>
  <si>
    <t>1CAGQNYiuxcPgAqM68Cj8uSYvHc1inc3sW</t>
  </si>
  <si>
    <t>1ANpJrYSRdeLnBYnfMp2gocR9RmXs5WNta</t>
  </si>
  <si>
    <t>1A2ES1YxYQUgxNGt1KKLUABz4da2QPoK8J</t>
  </si>
  <si>
    <t>メモチェンカード図鑑(http://kasaneate.starfree.jp/mc/)・レアペペディレクトリ(http://kasaneate.starfree.jp/pepe/)管理人</t>
  </si>
  <si>
    <t>1AKEuLtnq73BNQjHxU2BVoV4NQSEDDUATj</t>
  </si>
  <si>
    <t>ゆるいkojiフォロワーです。</t>
  </si>
  <si>
    <t>1GEqkXzCuz3uKmoSHj7gvMRP5PTTBBf2bn</t>
  </si>
  <si>
    <t>15S2QjogGf2S8TqmcuromRjmoAafhaoESw</t>
  </si>
  <si>
    <t>13FdXxyPmvMWBJ6izex2Vi7myYbLpMEPkf</t>
  </si>
  <si>
    <t>19NhxkJtRBJa1RwHuv6vYGdTQeaegHQYYj</t>
  </si>
  <si>
    <t>14Zw9Ro5aMAzQZu4GkjvV6uj3sEP59FzzL</t>
  </si>
  <si>
    <t>14BERVmcqCfCsoEPT328JcDN5FPs6YZYtw</t>
  </si>
  <si>
    <t>1CSBaZDaS6i8yb9uvHiYe53Xca4NRnzLQc</t>
  </si>
  <si>
    <t>1QL9cXujxjw6Utd662mr668mDh7cCjbHe8</t>
  </si>
  <si>
    <t>16LcCPzKMzfpG7oMtkfAxKyraZU32vdtzB</t>
  </si>
  <si>
    <t>198E2iHGb1kYWVpKaZcno2de7aK2s3ibfA</t>
  </si>
  <si>
    <t>1JAuET9GmkADQarX5ZsgHXuHjJzwesfAKg</t>
  </si>
  <si>
    <t>1BH8XL4PGzevkZk7g2UEwem2Tw5VMVXxR2</t>
  </si>
  <si>
    <t>1Nh4tPtQjHZSoYdToTF7T3xbaKrTNKM3wP</t>
  </si>
  <si>
    <t>1MupdofmXC8vrRLLJQBKq6NLAp1sRmfAqt</t>
  </si>
  <si>
    <t>https://ocknamo.com/</t>
  </si>
  <si>
    <t>レアペペやメモリーチェーンのコレクターをしていて、たまに自分でも発行していました。最近はモナカードばかり収集しています。</t>
  </si>
  <si>
    <t>1HTh7C88ZzAUbCSri5qjLGW6oeCRMZWEyq</t>
  </si>
  <si>
    <t>1N9Em9vXPuW1ZaZ8mutgH7qgzLj12t6ZmE</t>
  </si>
  <si>
    <t>19i4DZiNSNjWjF9f7zUhR1D9C7LYNSgfiC</t>
  </si>
  <si>
    <t>1Pq7HXD5i9ZXXfnt71xPmtEkyATWc57bRw</t>
  </si>
  <si>
    <t>1J4rAWpWZjmUguAf7puEt8Y7QVpSWsMDYG</t>
  </si>
  <si>
    <t>1LgZkGmx8B6dDoiowVS4n8zTpfsua3VZDM</t>
  </si>
  <si>
    <t>1LgL6o843iiyVUgNAYe7R4TTmsjychuMoE</t>
  </si>
  <si>
    <t>17383qeec4ZhyHx9AYDX8aYW17ZPn1tb2D</t>
  </si>
  <si>
    <t>1BtY2QdZ5URR84D84KD3wxUfYyU16QkNi5</t>
  </si>
  <si>
    <t>https://opensea.io/collection/tinypenpen</t>
  </si>
  <si>
    <t>14dj7PDKxjJMzrQdP6dE8nxSV8GcrkSubq</t>
  </si>
  <si>
    <t>https://twitter.com/penguin259</t>
  </si>
  <si>
    <t>本アカは皇帝ペンギンのペンペン
@penguin259です。
RarePepe11枚、メモチェン1枚、シスマイ1枚を発行しました。
当時はBTCってなぁにってところから始めて、いい思い出となりました。
それをきっかけにモナカードにも興味を持ちたくさんのカードを発行していきました。
今ではFake Rare、Wojak、Dank Rareなどの海外のカードも発行しています。
今はOpenSeaで、私のオリジナルキャラクターのPenpenを世に広めていくことを目標にがんばっています。
https://opensea.io/collection/tinypenpen</t>
  </si>
  <si>
    <t>1Ls5Z6cp45CjH64R13zXrXZSbBajMB6WzZ</t>
  </si>
  <si>
    <t>16cynGdzSL71oEgRJjD2zJecY2yUyL6NQz</t>
  </si>
  <si>
    <t>16jU28uqXkKr198Fsquv9Y21UXY1prKBiD</t>
  </si>
  <si>
    <t>13qqdg17DL98V9YD8BcrdkvUEMnKGsscfy</t>
  </si>
  <si>
    <t>1G3odDqQGCJKueGFXqLvTSqwHFD1wU88vK</t>
  </si>
  <si>
    <t>1EjzqZqwosLukyPsuLxfyJGkdQ37Bdf4rg</t>
  </si>
  <si>
    <t>秘密鍵紛失https://twitter.com/crypto_M_esi/status/1450762458516242437?s=20&amp;t=XpEGh32Nwiuc1ig4DBEAuA</t>
  </si>
  <si>
    <t>13xXfxHM7E9viHShoye9Vbdis8LZ6AV7NG</t>
  </si>
  <si>
    <t>16sqshhn74qsKpq1iFwWFeoJpU1KdDgjT</t>
  </si>
  <si>
    <t>https://opensea.io/_emma_</t>
  </si>
  <si>
    <t>18uEHyQwTwXNtcoCUZEqu8nXyYZDW4x5i8</t>
  </si>
  <si>
    <t>https://lit.link/emmanft</t>
  </si>
  <si>
    <t>2017年よりRarepepe、Oasisminingなどを発行しました。当時Book of Orbsを夜な夜なみては楽しんでいました。自分でもレアペペやオアシスマイニングに参加できて良かったし、時を経て色んな方に自分の絵をみてもらえて幸せです。</t>
  </si>
  <si>
    <t>13WrCY82frY8DE3jZLNwJAn8kHsbWjZ4Eh</t>
  </si>
  <si>
    <t>1NCekApbsEyKpLc6Gj9rLdJCLaeqgrR5ef</t>
  </si>
  <si>
    <t>183gUAzuvaMUCFv9DtcUQ2oDgT5JtHdBux</t>
  </si>
  <si>
    <t>17kHHJf6DAKNXMEQhT93Ju4a6ynGaCgdFo</t>
  </si>
  <si>
    <t>2016〜2017年当時はイラストが描けなかったのでRarepepeなどにアーティストとしては参加できず、ひたすらカードを集めるかSarutobiIslandとSpellsOfGenesisで遊んでいました。2021年からはアーティストとしても参加したいと思いBadgerInnovationZoneとRareDogeでカードを発行しています。</t>
  </si>
  <si>
    <t>https://opensea.io/tomotomo9696</t>
  </si>
  <si>
    <t>1CciTqjGGS4tfzuikxrMuRxJD9iD5faPGv</t>
  </si>
  <si>
    <t>https://tomotomo9696.xyz/</t>
  </si>
  <si>
    <t>Koji 氏のクソコラを作るだけの人です</t>
  </si>
  <si>
    <t xml:space="preserve">
1EgkMa1d79BXGjU9eZbuuiZu4uYQVuRsPe</t>
  </si>
  <si>
    <t>https://www.behance.net/ayaLAN</t>
  </si>
  <si>
    <t>1MjgVva8CLqkjS9mw3Mhddcci6sYwP2Gqc</t>
  </si>
  <si>
    <t>https://opensea.io/NoraMyao</t>
  </si>
  <si>
    <t>1J88rK2cTLjWQQYbVkRtPpHsSAfqeFyz8P</t>
  </si>
  <si>
    <t>https://linktr.ee/NoraMyao</t>
  </si>
  <si>
    <t>https://opensea.io/tomocici</t>
  </si>
  <si>
    <t>17MqYfRkQd3TiQDQqka3fYguLsJcBhfraT</t>
  </si>
  <si>
    <t>13MjaVFXNnJNE6XqfZfpWuMp3W6twjUpGc</t>
  </si>
  <si>
    <t>1G97zmf5NnrBEPm5mvQ8pdrcbjKpDUaJ1z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</si>
</sst>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年m月"/>
  </numFmts>
  <fonts count="14">
    <font>
      <sz val="10.0"/>
      <color rgb="FF000000"/>
      <name val="Arial"/>
      <scheme val="minor"/>
    </font>
    <font>
      <color theme="1"/>
      <name val="Arial"/>
      <scheme val="minor"/>
    </font>
    <font>
      <color rgb="FF000000"/>
      <name val="Arial"/>
    </font>
    <font>
      <u/>
      <color rgb="FF0000FF"/>
    </font>
    <font>
      <u/>
      <color rgb="FF0000FF"/>
    </font>
    <font>
      <u/>
      <color rgb="FFD9D9D9"/>
    </font>
    <font>
      <color rgb="FFD9D9D9"/>
      <name val="Arial"/>
      <scheme val="minor"/>
    </font>
    <font>
      <u/>
      <color rgb="FFD9D9D9"/>
      <name val="Arial"/>
      <scheme val="minor"/>
    </font>
    <font>
      <color rgb="FF000000"/>
      <name val="Arial"/>
      <scheme val="minor"/>
    </font>
    <font>
      <u/>
      <color rgb="FFD9D9D9"/>
      <name val="Arial"/>
    </font>
    <font>
      <u/>
      <color rgb="FF000000"/>
      <name val="Arial"/>
      <scheme val="minor"/>
    </font>
    <font>
      <u/>
      <color rgb="FF000000"/>
    </font>
    <font>
      <u/>
      <color rgb="FF1155CC"/>
    </font>
    <font>
      <sz val="11.0"/>
      <color rgb="FFD9D9D9"/>
      <name val="Roboto"/>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left" readingOrder="0"/>
    </xf>
    <xf borderId="0" fillId="0" fontId="3"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0" xfId="0" applyFont="1"/>
    <xf borderId="0" fillId="0" fontId="4" numFmtId="0" xfId="0" applyAlignment="1" applyFont="1">
      <alignment readingOrder="0"/>
    </xf>
    <xf borderId="0" fillId="3" fontId="1" numFmtId="0" xfId="0" applyAlignment="1" applyFill="1" applyFont="1">
      <alignment readingOrder="0"/>
    </xf>
    <xf borderId="0" fillId="3" fontId="1" numFmtId="0" xfId="0" applyAlignment="1" applyFont="1">
      <alignment readingOrder="0" shrinkToFit="0" wrapText="1"/>
    </xf>
    <xf borderId="0" fillId="0" fontId="5" numFmtId="0" xfId="0" applyAlignment="1" applyFont="1">
      <alignment readingOrder="0"/>
    </xf>
    <xf borderId="0" fillId="0" fontId="6" numFmtId="0" xfId="0" applyAlignment="1" applyFont="1">
      <alignment readingOrder="0" shrinkToFit="0" wrapText="1"/>
    </xf>
    <xf borderId="0" fillId="0" fontId="1" numFmtId="0" xfId="0" applyAlignment="1" applyFont="1">
      <alignment readingOrder="0" shrinkToFit="0" wrapText="1"/>
    </xf>
    <xf borderId="0" fillId="0" fontId="7" numFmtId="0" xfId="0" applyAlignment="1" applyFont="1">
      <alignment readingOrder="0"/>
    </xf>
    <xf borderId="0" fillId="0" fontId="8" numFmtId="0" xfId="0" applyAlignment="1" applyFont="1">
      <alignment readingOrder="0"/>
    </xf>
    <xf borderId="0" fillId="0" fontId="6" numFmtId="0" xfId="0" applyAlignment="1" applyFont="1">
      <alignment readingOrder="0"/>
    </xf>
    <xf borderId="0" fillId="0" fontId="8" numFmtId="0" xfId="0" applyFont="1"/>
    <xf borderId="0" fillId="0" fontId="8" numFmtId="0" xfId="0" applyAlignment="1" applyFont="1">
      <alignment readingOrder="0" shrinkToFit="0" wrapText="1"/>
    </xf>
    <xf borderId="0" fillId="0" fontId="8" numFmtId="0" xfId="0" applyAlignment="1" applyFont="1">
      <alignment shrinkToFit="0" wrapText="1"/>
    </xf>
    <xf borderId="0" fillId="0" fontId="9" numFmtId="0" xfId="0" applyAlignment="1" applyFont="1">
      <alignment horizontal="left" readingOrder="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6" numFmtId="0" xfId="0" applyAlignment="1" applyFont="1">
      <alignment readingOrder="0" shrinkToFit="0" wrapText="1"/>
    </xf>
    <xf borderId="0" fillId="2" fontId="13" numFmtId="0" xfId="0" applyAlignment="1" applyFont="1">
      <alignment readingOrder="0"/>
    </xf>
    <xf borderId="0" fillId="0" fontId="1" numFmtId="0" xfId="0" applyAlignment="1" applyFont="1">
      <alignment shrinkToFit="0" wrapText="1"/>
    </xf>
  </cellXfs>
  <cellStyles count="1">
    <cellStyle xfId="0" name="Normal" builtinId="0"/>
  </cellStyles>
  <dxfs count="1">
    <dxf>
      <font>
        <color rgb="FF000000"/>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rarejapanesenfts.com/nft/theyoubun/" TargetMode="External"/><Relationship Id="rId194" Type="http://schemas.openxmlformats.org/officeDocument/2006/relationships/hyperlink" Target="https://rarejapanesenfts.com/nft/blacksmiths/" TargetMode="External"/><Relationship Id="rId193" Type="http://schemas.openxmlformats.org/officeDocument/2006/relationships/hyperlink" Target="https://rarejapanesenfts.com/nft/xrplockup/" TargetMode="External"/><Relationship Id="rId192" Type="http://schemas.openxmlformats.org/officeDocument/2006/relationships/hyperlink" Target="https://rarejapanesenfts.com/nft/xrpbaachan/" TargetMode="External"/><Relationship Id="rId191" Type="http://schemas.openxmlformats.org/officeDocument/2006/relationships/hyperlink" Target="https://rarejapanesenfts.com/nft/xaorangerb/" TargetMode="External"/><Relationship Id="rId187" Type="http://schemas.openxmlformats.org/officeDocument/2006/relationships/hyperlink" Target="https://rarejapanesenfts.com/nft/sarutobigif/" TargetMode="External"/><Relationship Id="rId186" Type="http://schemas.openxmlformats.org/officeDocument/2006/relationships/hyperlink" Target="https://rarejapanesenfts.com/nft/rlockup/" TargetMode="External"/><Relationship Id="rId185" Type="http://schemas.openxmlformats.org/officeDocument/2006/relationships/hyperlink" Target="https://rarejapanesenfts.com/nft/princessnem/" TargetMode="External"/><Relationship Id="rId184" Type="http://schemas.openxmlformats.org/officeDocument/2006/relationships/hyperlink" Target="https://rarejapanesenfts.com/nft/pepeeyes/" TargetMode="External"/><Relationship Id="rId189" Type="http://schemas.openxmlformats.org/officeDocument/2006/relationships/hyperlink" Target="https://rarejapanesenfts.com/nft/tezoscard/" TargetMode="External"/><Relationship Id="rId188" Type="http://schemas.openxmlformats.org/officeDocument/2006/relationships/hyperlink" Target="https://rarejapanesenfts.com/nft/sncoldheartb/" TargetMode="External"/><Relationship Id="rId183" Type="http://schemas.openxmlformats.org/officeDocument/2006/relationships/hyperlink" Target="https://rarejapanesenfts.com/nft/numeraires/" TargetMode="External"/><Relationship Id="rId182" Type="http://schemas.openxmlformats.org/officeDocument/2006/relationships/hyperlink" Target="https://rarejapanesenfts.com/nft/nemcatapult/" TargetMode="External"/><Relationship Id="rId181" Type="http://schemas.openxmlformats.org/officeDocument/2006/relationships/hyperlink" Target="https://rarejapanesenfts.com/nft/nembae/" TargetMode="External"/><Relationship Id="rId180" Type="http://schemas.openxmlformats.org/officeDocument/2006/relationships/hyperlink" Target="https://rarejapanesenfts.com/nft/monaplatinum/" TargetMode="External"/><Relationship Id="rId176" Type="http://schemas.openxmlformats.org/officeDocument/2006/relationships/hyperlink" Target="https://rarejapanesenfts.com/nft/ethtattoo/" TargetMode="External"/><Relationship Id="rId297" Type="http://schemas.openxmlformats.org/officeDocument/2006/relationships/hyperlink" Target="https://rarejapanesenfts.com/nft/shirahoshibg/" TargetMode="External"/><Relationship Id="rId175" Type="http://schemas.openxmlformats.org/officeDocument/2006/relationships/hyperlink" Target="https://rarejapanesenfts.com/nft/ethereumon/" TargetMode="External"/><Relationship Id="rId296" Type="http://schemas.openxmlformats.org/officeDocument/2006/relationships/hyperlink" Target="https://rarejapanesenfts.com/nft/mizukibg/" TargetMode="External"/><Relationship Id="rId174" Type="http://schemas.openxmlformats.org/officeDocument/2006/relationships/hyperlink" Target="https://rarejapanesenfts.com/nft/chaoo/" TargetMode="External"/><Relationship Id="rId295" Type="http://schemas.openxmlformats.org/officeDocument/2006/relationships/hyperlink" Target="https://rarejapanesenfts.com/nft/tsukasabg/" TargetMode="External"/><Relationship Id="rId173" Type="http://schemas.openxmlformats.org/officeDocument/2006/relationships/hyperlink" Target="https://rarejapanesenfts.com/nft/ccloversbtc/" TargetMode="External"/><Relationship Id="rId294" Type="http://schemas.openxmlformats.org/officeDocument/2006/relationships/hyperlink" Target="https://rarejapanesenfts.com/nft/djasanyanbg/" TargetMode="External"/><Relationship Id="rId179" Type="http://schemas.openxmlformats.org/officeDocument/2006/relationships/hyperlink" Target="https://rarejapanesenfts.com/nft/ltcdog/" TargetMode="External"/><Relationship Id="rId178" Type="http://schemas.openxmlformats.org/officeDocument/2006/relationships/hyperlink" Target="https://rarejapanesenfts.com/nft/idolnemone/" TargetMode="External"/><Relationship Id="rId299" Type="http://schemas.openxmlformats.org/officeDocument/2006/relationships/hyperlink" Target="https://rarejapanesenfts.com/nft/mamichanbg/" TargetMode="External"/><Relationship Id="rId177" Type="http://schemas.openxmlformats.org/officeDocument/2006/relationships/hyperlink" Target="https://rarejapanesenfts.com/nft/golemnet/" TargetMode="External"/><Relationship Id="rId298" Type="http://schemas.openxmlformats.org/officeDocument/2006/relationships/hyperlink" Target="https://rarejapanesenfts.com/nft/icharlottebg/" TargetMode="External"/><Relationship Id="rId198" Type="http://schemas.openxmlformats.org/officeDocument/2006/relationships/hyperlink" Target="https://rarejapanesenfts.com/nft/ccgbtcone/" TargetMode="External"/><Relationship Id="rId197" Type="http://schemas.openxmlformats.org/officeDocument/2006/relationships/hyperlink" Target="https://rarejapanesenfts.com/nft/ccgallone/" TargetMode="External"/><Relationship Id="rId196" Type="http://schemas.openxmlformats.org/officeDocument/2006/relationships/hyperlink" Target="https://rarejapanesenfts.com/nft/bullbear/" TargetMode="External"/><Relationship Id="rId195" Type="http://schemas.openxmlformats.org/officeDocument/2006/relationships/hyperlink" Target="https://rarejapanesenfts.com/nft/btcvipcard/" TargetMode="External"/><Relationship Id="rId199" Type="http://schemas.openxmlformats.org/officeDocument/2006/relationships/hyperlink" Target="https://rarejapanesenfts.com/nft/ccloverseth/" TargetMode="External"/><Relationship Id="rId150" Type="http://schemas.openxmlformats.org/officeDocument/2006/relationships/hyperlink" Target="https://rarejapanesenfts.com/nft/ttrustcard/" TargetMode="External"/><Relationship Id="rId271" Type="http://schemas.openxmlformats.org/officeDocument/2006/relationships/hyperlink" Target="https://rarejapanesenfts.com/nft/venuspepe/" TargetMode="External"/><Relationship Id="rId392" Type="http://schemas.openxmlformats.org/officeDocument/2006/relationships/hyperlink" Target="https://rarejapanesenfts.com/nft/penpen/" TargetMode="External"/><Relationship Id="rId270" Type="http://schemas.openxmlformats.org/officeDocument/2006/relationships/hyperlink" Target="https://rarejapanesenfts.com/nft/hanginpepe/" TargetMode="External"/><Relationship Id="rId391" Type="http://schemas.openxmlformats.org/officeDocument/2006/relationships/hyperlink" Target="https://rarejapanesenfts.com/nft/pepepenpen/" TargetMode="External"/><Relationship Id="rId390" Type="http://schemas.openxmlformats.org/officeDocument/2006/relationships/hyperlink" Target="https://rarejapanesenfts.com/nft/pepetsamurai/" TargetMode="External"/><Relationship Id="rId1" Type="http://schemas.openxmlformats.org/officeDocument/2006/relationships/hyperlink" Target="https://rarejapanesenfts.com/nft/pepebazaar/" TargetMode="External"/><Relationship Id="rId2" Type="http://schemas.openxmlformats.org/officeDocument/2006/relationships/hyperlink" Target="https://rarejapanesenfts.com/nft/idojawan/" TargetMode="External"/><Relationship Id="rId3" Type="http://schemas.openxmlformats.org/officeDocument/2006/relationships/hyperlink" Target="https://rarejapanesenfts.com/nft/lovenft/" TargetMode="External"/><Relationship Id="rId149" Type="http://schemas.openxmlformats.org/officeDocument/2006/relationships/hyperlink" Target="https://rarejapanesenfts.com/nft/thebyzantine/" TargetMode="External"/><Relationship Id="rId4" Type="http://schemas.openxmlformats.org/officeDocument/2006/relationships/hyperlink" Target="https://rarejapanesenfts.com/nft/nomoredefi/" TargetMode="External"/><Relationship Id="rId148" Type="http://schemas.openxmlformats.org/officeDocument/2006/relationships/hyperlink" Target="https://rarejapanesenfts.com/nft/tform/" TargetMode="External"/><Relationship Id="rId269" Type="http://schemas.openxmlformats.org/officeDocument/2006/relationships/hyperlink" Target="https://rarejapanesenfts.com/nft/earthpepe/" TargetMode="External"/><Relationship Id="rId9" Type="http://schemas.openxmlformats.org/officeDocument/2006/relationships/hyperlink" Target="https://rarejapanesenfts.com/nft/koedame/" TargetMode="External"/><Relationship Id="rId143" Type="http://schemas.openxmlformats.org/officeDocument/2006/relationships/hyperlink" Target="https://rarejapanesenfts.com/nft/monasummer/" TargetMode="External"/><Relationship Id="rId264" Type="http://schemas.openxmlformats.org/officeDocument/2006/relationships/hyperlink" Target="https://rarejapanesenfts.com/nft/newyearpepe/" TargetMode="External"/><Relationship Id="rId385" Type="http://schemas.openxmlformats.org/officeDocument/2006/relationships/hyperlink" Target="https://rarejapanesenfts.com/nft/zazenpepe/" TargetMode="External"/><Relationship Id="rId142" Type="http://schemas.openxmlformats.org/officeDocument/2006/relationships/hyperlink" Target="https://rarejapanesenfts.com/nft/icovacation/" TargetMode="External"/><Relationship Id="rId263" Type="http://schemas.openxmlformats.org/officeDocument/2006/relationships/hyperlink" Target="https://rarejapanesenfts.com/nft/xmasantapepe/" TargetMode="External"/><Relationship Id="rId384" Type="http://schemas.openxmlformats.org/officeDocument/2006/relationships/hyperlink" Target="https://rarejapanesenfts.com/nft/prisonerpepe/" TargetMode="External"/><Relationship Id="rId141" Type="http://schemas.openxmlformats.org/officeDocument/2006/relationships/hyperlink" Target="https://rarejapanesenfts.com/nft/foresightman/" TargetMode="External"/><Relationship Id="rId262" Type="http://schemas.openxmlformats.org/officeDocument/2006/relationships/hyperlink" Target="https://rarejapanesenfts.com/nft/zzzzpepe/" TargetMode="External"/><Relationship Id="rId383" Type="http://schemas.openxmlformats.org/officeDocument/2006/relationships/hyperlink" Target="https://rarejapanesenfts.com/nft/pepesgym/" TargetMode="External"/><Relationship Id="rId140" Type="http://schemas.openxmlformats.org/officeDocument/2006/relationships/hyperlink" Target="https://rarejapanesenfts.com/nft/ethchan/" TargetMode="External"/><Relationship Id="rId261" Type="http://schemas.openxmlformats.org/officeDocument/2006/relationships/hyperlink" Target="https://rarejapanesenfts.com/nft/drillpepe/" TargetMode="External"/><Relationship Id="rId382" Type="http://schemas.openxmlformats.org/officeDocument/2006/relationships/hyperlink" Target="https://rarejapanesenfts.com/nft/pepemerman/" TargetMode="External"/><Relationship Id="rId5" Type="http://schemas.openxmlformats.org/officeDocument/2006/relationships/hyperlink" Target="https://rarejapanesenfts.com/nft/hwfashion/" TargetMode="External"/><Relationship Id="rId147" Type="http://schemas.openxmlformats.org/officeDocument/2006/relationships/hyperlink" Target="https://rarejapanesenfts.com/nft/soooooooooon/" TargetMode="External"/><Relationship Id="rId268" Type="http://schemas.openxmlformats.org/officeDocument/2006/relationships/hyperlink" Target="https://rarejapanesenfts.com/nft/dronepepe/" TargetMode="External"/><Relationship Id="rId389" Type="http://schemas.openxmlformats.org/officeDocument/2006/relationships/hyperlink" Target="https://rarejapanesenfts.com/nft/peperikishi/" TargetMode="External"/><Relationship Id="rId6" Type="http://schemas.openxmlformats.org/officeDocument/2006/relationships/hyperlink" Target="https://rarejapanesenfts.com/nft/kamatte/" TargetMode="External"/><Relationship Id="rId146" Type="http://schemas.openxmlformats.org/officeDocument/2006/relationships/hyperlink" Target="https://rarejapanesenfts.com/nft/pickupkusa/" TargetMode="External"/><Relationship Id="rId267" Type="http://schemas.openxmlformats.org/officeDocument/2006/relationships/hyperlink" Target="https://rarejapanesenfts.com/nft/thepepe/" TargetMode="External"/><Relationship Id="rId388" Type="http://schemas.openxmlformats.org/officeDocument/2006/relationships/hyperlink" Target="https://rarejapanesenfts.com/nft/nativepepeth/" TargetMode="External"/><Relationship Id="rId7" Type="http://schemas.openxmlformats.org/officeDocument/2006/relationships/hyperlink" Target="https://rarejapanesenfts.com/nft/firstpen/" TargetMode="External"/><Relationship Id="rId145" Type="http://schemas.openxmlformats.org/officeDocument/2006/relationships/hyperlink" Target="https://rarejapanesenfts.com/nft/mtgday/" TargetMode="External"/><Relationship Id="rId266" Type="http://schemas.openxmlformats.org/officeDocument/2006/relationships/hyperlink" Target="https://rarejapanesenfts.com/nft/secretpepe/" TargetMode="External"/><Relationship Id="rId387" Type="http://schemas.openxmlformats.org/officeDocument/2006/relationships/hyperlink" Target="https://rarejapanesenfts.com/nft/yummypepe/" TargetMode="External"/><Relationship Id="rId8" Type="http://schemas.openxmlformats.org/officeDocument/2006/relationships/hyperlink" Target="https://rarejapanesenfts.com/nft/hagepepe/" TargetMode="External"/><Relationship Id="rId144" Type="http://schemas.openxmlformats.org/officeDocument/2006/relationships/hyperlink" Target="https://rarejapanesenfts.com/nft/mrhangenki/" TargetMode="External"/><Relationship Id="rId265" Type="http://schemas.openxmlformats.org/officeDocument/2006/relationships/hyperlink" Target="https://rarejapanesenfts.com/nft/friendspepe/" TargetMode="External"/><Relationship Id="rId386" Type="http://schemas.openxmlformats.org/officeDocument/2006/relationships/hyperlink" Target="https://rarejapanesenfts.com/nft/pepesplanet/" TargetMode="External"/><Relationship Id="rId260" Type="http://schemas.openxmlformats.org/officeDocument/2006/relationships/hyperlink" Target="https://rarejapanesenfts.com/nft/sixtysixpepe/" TargetMode="External"/><Relationship Id="rId381" Type="http://schemas.openxmlformats.org/officeDocument/2006/relationships/hyperlink" Target="https://rarejapanesenfts.com/nft/pepeflies/" TargetMode="External"/><Relationship Id="rId380" Type="http://schemas.openxmlformats.org/officeDocument/2006/relationships/hyperlink" Target="https://rarejapanesenfts.com/nft/pepebriefs/" TargetMode="External"/><Relationship Id="rId139" Type="http://schemas.openxmlformats.org/officeDocument/2006/relationships/hyperlink" Target="https://rarejapanesenfts.com/nft/ecobitrefund/" TargetMode="External"/><Relationship Id="rId138" Type="http://schemas.openxmlformats.org/officeDocument/2006/relationships/hyperlink" Target="https://rarejapanesenfts.com/nft/ecnuko/" TargetMode="External"/><Relationship Id="rId259" Type="http://schemas.openxmlformats.org/officeDocument/2006/relationships/hyperlink" Target="https://rarejapanesenfts.com/nft/comedypepe/" TargetMode="External"/><Relationship Id="rId137" Type="http://schemas.openxmlformats.org/officeDocument/2006/relationships/hyperlink" Target="https://rarejapanesenfts.com/nft/couplegox/" TargetMode="External"/><Relationship Id="rId258" Type="http://schemas.openxmlformats.org/officeDocument/2006/relationships/hyperlink" Target="https://rarejapanesenfts.com/nft/longnosepepe/" TargetMode="External"/><Relationship Id="rId379" Type="http://schemas.openxmlformats.org/officeDocument/2006/relationships/hyperlink" Target="https://rarejapanesenfts.com/nft/pepetter/" TargetMode="External"/><Relationship Id="rId132" Type="http://schemas.openxmlformats.org/officeDocument/2006/relationships/hyperlink" Target="https://rarejapanesenfts.com/nft/takaragps/" TargetMode="External"/><Relationship Id="rId253" Type="http://schemas.openxmlformats.org/officeDocument/2006/relationships/hyperlink" Target="https://rarejapanesenfts.com/nft/peperich/" TargetMode="External"/><Relationship Id="rId374" Type="http://schemas.openxmlformats.org/officeDocument/2006/relationships/hyperlink" Target="https://rarejapanesenfts.com/nft/sarutobipepe/" TargetMode="External"/><Relationship Id="rId495" Type="http://schemas.openxmlformats.org/officeDocument/2006/relationships/hyperlink" Target="https://rarejapanesenfts.com/nft/fwcfconigovc/" TargetMode="External"/><Relationship Id="rId131" Type="http://schemas.openxmlformats.org/officeDocument/2006/relationships/hyperlink" Target="https://rarejapanesenfts.com/nft/takane/" TargetMode="External"/><Relationship Id="rId252" Type="http://schemas.openxmlformats.org/officeDocument/2006/relationships/hyperlink" Target="https://rarejapanesenfts.com/nft/pepenuma/" TargetMode="External"/><Relationship Id="rId373" Type="http://schemas.openxmlformats.org/officeDocument/2006/relationships/hyperlink" Target="https://rarejapanesenfts.com/nft/pepearrow/" TargetMode="External"/><Relationship Id="rId494" Type="http://schemas.openxmlformats.org/officeDocument/2006/relationships/hyperlink" Target="https://rarejapanesenfts.com/nft/fwcfcpriestc/" TargetMode="External"/><Relationship Id="rId130" Type="http://schemas.openxmlformats.org/officeDocument/2006/relationships/hyperlink" Target="https://rarejapanesenfts.com/nft/statusico/" TargetMode="External"/><Relationship Id="rId251" Type="http://schemas.openxmlformats.org/officeDocument/2006/relationships/hyperlink" Target="https://rarejapanesenfts.com/nft/samuraipepe/" TargetMode="External"/><Relationship Id="rId372" Type="http://schemas.openxmlformats.org/officeDocument/2006/relationships/hyperlink" Target="https://rarejapanesenfts.com/nft/pepezaalbino/" TargetMode="External"/><Relationship Id="rId493" Type="http://schemas.openxmlformats.org/officeDocument/2006/relationships/hyperlink" Target="https://rarejapanesenfts.com/nft/fwcfcprincec/" TargetMode="External"/><Relationship Id="rId250" Type="http://schemas.openxmlformats.org/officeDocument/2006/relationships/hyperlink" Target="https://rarejapanesenfts.com/nft/pepetodamoon/" TargetMode="External"/><Relationship Id="rId371" Type="http://schemas.openxmlformats.org/officeDocument/2006/relationships/hyperlink" Target="https://rarejapanesenfts.com/nft/pepedarkside/" TargetMode="External"/><Relationship Id="rId492" Type="http://schemas.openxmlformats.org/officeDocument/2006/relationships/hyperlink" Target="https://rarejapanesenfts.com/nft/fwcfcresonac/" TargetMode="External"/><Relationship Id="rId136" Type="http://schemas.openxmlformats.org/officeDocument/2006/relationships/hyperlink" Target="https://rarejapanesenfts.com/nft/bipbard/" TargetMode="External"/><Relationship Id="rId257" Type="http://schemas.openxmlformats.org/officeDocument/2006/relationships/hyperlink" Target="https://rarejapanesenfts.com/nft/peekaboopepe/" TargetMode="External"/><Relationship Id="rId378" Type="http://schemas.openxmlformats.org/officeDocument/2006/relationships/hyperlink" Target="https://rarejapanesenfts.com/nft/pepescream/" TargetMode="External"/><Relationship Id="rId499" Type="http://schemas.openxmlformats.org/officeDocument/2006/relationships/hyperlink" Target="https://rarejapanesenfts.com/nft/fwcfcazathoc/" TargetMode="External"/><Relationship Id="rId135" Type="http://schemas.openxmlformats.org/officeDocument/2006/relationships/hyperlink" Target="https://rarejapanesenfts.com/nft/goddessnem/" TargetMode="External"/><Relationship Id="rId256" Type="http://schemas.openxmlformats.org/officeDocument/2006/relationships/hyperlink" Target="https://rarejapanesenfts.com/nft/snotpepe/" TargetMode="External"/><Relationship Id="rId377" Type="http://schemas.openxmlformats.org/officeDocument/2006/relationships/hyperlink" Target="https://rarejapanesenfts.com/nft/pepetie/" TargetMode="External"/><Relationship Id="rId498" Type="http://schemas.openxmlformats.org/officeDocument/2006/relationships/hyperlink" Target="https://rarejapanesenfts.com/nft/fwcfccreatuc/" TargetMode="External"/><Relationship Id="rId134" Type="http://schemas.openxmlformats.org/officeDocument/2006/relationships/hyperlink" Target="https://rarejapanesenfts.com/nft/wacksog/" TargetMode="External"/><Relationship Id="rId255" Type="http://schemas.openxmlformats.org/officeDocument/2006/relationships/hyperlink" Target="https://rarejapanesenfts.com/nft/proofofpepe/" TargetMode="External"/><Relationship Id="rId376" Type="http://schemas.openxmlformats.org/officeDocument/2006/relationships/hyperlink" Target="https://rarejapanesenfts.com/nft/pepezoncard/" TargetMode="External"/><Relationship Id="rId497" Type="http://schemas.openxmlformats.org/officeDocument/2006/relationships/hyperlink" Target="https://rarejapanesenfts.com/nft/fwcfceterecc/" TargetMode="External"/><Relationship Id="rId133" Type="http://schemas.openxmlformats.org/officeDocument/2006/relationships/hyperlink" Target="https://rarejapanesenfts.com/nft/thearukamo/" TargetMode="External"/><Relationship Id="rId254" Type="http://schemas.openxmlformats.org/officeDocument/2006/relationships/hyperlink" Target="https://rarejapanesenfts.com/nft/pepepoor/" TargetMode="External"/><Relationship Id="rId375" Type="http://schemas.openxmlformats.org/officeDocument/2006/relationships/hyperlink" Target="https://rarejapanesenfts.com/nft/pepesearch/" TargetMode="External"/><Relationship Id="rId496" Type="http://schemas.openxmlformats.org/officeDocument/2006/relationships/hyperlink" Target="https://rarejapanesenfts.com/nft/fwcfcmadonic/" TargetMode="External"/><Relationship Id="rId172" Type="http://schemas.openxmlformats.org/officeDocument/2006/relationships/hyperlink" Target="https://rarejapanesenfts.com/nft/bouya/" TargetMode="External"/><Relationship Id="rId293" Type="http://schemas.openxmlformats.org/officeDocument/2006/relationships/hyperlink" Target="https://rarejapanesenfts.com/nft/satoayakabg/" TargetMode="External"/><Relationship Id="rId171" Type="http://schemas.openxmlformats.org/officeDocument/2006/relationships/hyperlink" Target="https://rarejapanesenfts.com/nft/bitsennin/" TargetMode="External"/><Relationship Id="rId292" Type="http://schemas.openxmlformats.org/officeDocument/2006/relationships/hyperlink" Target="https://rarejapanesenfts.com/nft/sanomayabg/" TargetMode="External"/><Relationship Id="rId170" Type="http://schemas.openxmlformats.org/officeDocument/2006/relationships/hyperlink" Target="https://rarejapanesenfts.com/nft/bigman/" TargetMode="External"/><Relationship Id="rId291" Type="http://schemas.openxmlformats.org/officeDocument/2006/relationships/hyperlink" Target="https://rarejapanesenfts.com/nft/chikarinbg/" TargetMode="External"/><Relationship Id="rId290" Type="http://schemas.openxmlformats.org/officeDocument/2006/relationships/hyperlink" Target="https://rarejapanesenfts.com/nft/kaoribg/" TargetMode="External"/><Relationship Id="rId165" Type="http://schemas.openxmlformats.org/officeDocument/2006/relationships/hyperlink" Target="https://rarejapanesenfts.com/nft/takabcoin/" TargetMode="External"/><Relationship Id="rId286" Type="http://schemas.openxmlformats.org/officeDocument/2006/relationships/hyperlink" Target="https://rarejapanesenfts.com/nft/takanelaser/" TargetMode="External"/><Relationship Id="rId164" Type="http://schemas.openxmlformats.org/officeDocument/2006/relationships/hyperlink" Target="https://rarejapanesenfts.com/nft/btcfork/" TargetMode="External"/><Relationship Id="rId285" Type="http://schemas.openxmlformats.org/officeDocument/2006/relationships/hyperlink" Target="https://rarejapanesenfts.com/nft/nftzukami/" TargetMode="External"/><Relationship Id="rId163" Type="http://schemas.openxmlformats.org/officeDocument/2006/relationships/hyperlink" Target="https://rarejapanesenfts.com/nft/neochan/" TargetMode="External"/><Relationship Id="rId284" Type="http://schemas.openxmlformats.org/officeDocument/2006/relationships/hyperlink" Target="https://rarejapanesenfts.com/nft/makai/" TargetMode="External"/><Relationship Id="rId162" Type="http://schemas.openxmlformats.org/officeDocument/2006/relationships/hyperlink" Target="https://rarejapanesenfts.com/nft/cryptoholic/" TargetMode="External"/><Relationship Id="rId283" Type="http://schemas.openxmlformats.org/officeDocument/2006/relationships/hyperlink" Target="https://rarejapanesenfts.com/nft/inucoiner/" TargetMode="External"/><Relationship Id="rId169" Type="http://schemas.openxmlformats.org/officeDocument/2006/relationships/hyperlink" Target="https://rarejapanesenfts.com/nft/mcdumping/" TargetMode="External"/><Relationship Id="rId168" Type="http://schemas.openxmlformats.org/officeDocument/2006/relationships/hyperlink" Target="https://rarejapanesenfts.com/nft/oahf/" TargetMode="External"/><Relationship Id="rId289" Type="http://schemas.openxmlformats.org/officeDocument/2006/relationships/hyperlink" Target="https://rarejapanesenfts.com/nft/yamaguchiabg/" TargetMode="External"/><Relationship Id="rId167" Type="http://schemas.openxmlformats.org/officeDocument/2006/relationships/hyperlink" Target="https://rarejapanesenfts.com/nft/penpenbtc/" TargetMode="External"/><Relationship Id="rId288" Type="http://schemas.openxmlformats.org/officeDocument/2006/relationships/hyperlink" Target="https://rarejapanesenfts.com/nft/pepetaro/" TargetMode="External"/><Relationship Id="rId166" Type="http://schemas.openxmlformats.org/officeDocument/2006/relationships/hyperlink" Target="https://rarejapanesenfts.com/nft/tanukj/" TargetMode="External"/><Relationship Id="rId287" Type="http://schemas.openxmlformats.org/officeDocument/2006/relationships/hyperlink" Target="https://rarejapanesenfts.com/nft/takanezukami/" TargetMode="External"/><Relationship Id="rId161" Type="http://schemas.openxmlformats.org/officeDocument/2006/relationships/hyperlink" Target="https://rarejapanesenfts.com/nft/eatsushi/" TargetMode="External"/><Relationship Id="rId282" Type="http://schemas.openxmlformats.org/officeDocument/2006/relationships/hyperlink" Target="https://rarejapanesenfts.com/nft/metakitsune/" TargetMode="External"/><Relationship Id="rId160" Type="http://schemas.openxmlformats.org/officeDocument/2006/relationships/hyperlink" Target="https://rarejapanesenfts.com/nft/selfgox/" TargetMode="External"/><Relationship Id="rId281" Type="http://schemas.openxmlformats.org/officeDocument/2006/relationships/hyperlink" Target="https://rarejapanesenfts.com/nft/damenft/" TargetMode="External"/><Relationship Id="rId280" Type="http://schemas.openxmlformats.org/officeDocument/2006/relationships/hyperlink" Target="https://rarejapanesenfts.com/nft/scamway/" TargetMode="External"/><Relationship Id="rId159" Type="http://schemas.openxmlformats.org/officeDocument/2006/relationships/hyperlink" Target="https://rarejapanesenfts.com/nft/sisumaistart/" TargetMode="External"/><Relationship Id="rId154" Type="http://schemas.openxmlformats.org/officeDocument/2006/relationships/hyperlink" Target="https://rarejapanesenfts.com/nft/willsplit/" TargetMode="External"/><Relationship Id="rId275" Type="http://schemas.openxmlformats.org/officeDocument/2006/relationships/hyperlink" Target="https://rarejapanesenfts.com/nft/wagupepe/" TargetMode="External"/><Relationship Id="rId396" Type="http://schemas.openxmlformats.org/officeDocument/2006/relationships/hyperlink" Target="https://rarejapanesenfts.com/nft/pepesurfing/" TargetMode="External"/><Relationship Id="rId153" Type="http://schemas.openxmlformats.org/officeDocument/2006/relationships/hyperlink" Target="https://rarejapanesenfts.com/nft/wannacry/" TargetMode="External"/><Relationship Id="rId274" Type="http://schemas.openxmlformats.org/officeDocument/2006/relationships/hyperlink" Target="https://rarejapanesenfts.com/nft/gnitepepe/" TargetMode="External"/><Relationship Id="rId395" Type="http://schemas.openxmlformats.org/officeDocument/2006/relationships/hyperlink" Target="https://rarejapanesenfts.com/nft/tempurapepe/" TargetMode="External"/><Relationship Id="rId152" Type="http://schemas.openxmlformats.org/officeDocument/2006/relationships/hyperlink" Target="https://rarejapanesenfts.com/nft/mcwashoy/" TargetMode="External"/><Relationship Id="rId273" Type="http://schemas.openxmlformats.org/officeDocument/2006/relationships/hyperlink" Target="https://rarejapanesenfts.com/nft/pepexecutive/" TargetMode="External"/><Relationship Id="rId394" Type="http://schemas.openxmlformats.org/officeDocument/2006/relationships/hyperlink" Target="https://rarejapanesenfts.com/nft/japanesepepe/" TargetMode="External"/><Relationship Id="rId151" Type="http://schemas.openxmlformats.org/officeDocument/2006/relationships/hyperlink" Target="https://rarejapanesenfts.com/nft/thecemetery/" TargetMode="External"/><Relationship Id="rId272" Type="http://schemas.openxmlformats.org/officeDocument/2006/relationships/hyperlink" Target="https://rarejapanesenfts.com/nft/guesswhatpep/" TargetMode="External"/><Relationship Id="rId393" Type="http://schemas.openxmlformats.org/officeDocument/2006/relationships/hyperlink" Target="https://rarejapanesenfts.com/nft/noborderpepe/" TargetMode="External"/><Relationship Id="rId158" Type="http://schemas.openxmlformats.org/officeDocument/2006/relationships/hyperlink" Target="https://rarejapanesenfts.com/nft/mgoinvader/" TargetMode="External"/><Relationship Id="rId279" Type="http://schemas.openxmlformats.org/officeDocument/2006/relationships/hyperlink" Target="https://rarejapanesenfts.com/nft/joshiki/" TargetMode="External"/><Relationship Id="rId157" Type="http://schemas.openxmlformats.org/officeDocument/2006/relationships/hyperlink" Target="https://rarejapanesenfts.com/nft/gamestart/" TargetMode="External"/><Relationship Id="rId278" Type="http://schemas.openxmlformats.org/officeDocument/2006/relationships/hyperlink" Target="https://rarejapanesenfts.com/nft/defitest/" TargetMode="External"/><Relationship Id="rId399" Type="http://schemas.openxmlformats.org/officeDocument/2006/relationships/hyperlink" Target="https://rarejapanesenfts.com/nft/pepeakiba/" TargetMode="External"/><Relationship Id="rId156" Type="http://schemas.openxmlformats.org/officeDocument/2006/relationships/hyperlink" Target="https://rarejapanesenfts.com/nft/jbws/" TargetMode="External"/><Relationship Id="rId277" Type="http://schemas.openxmlformats.org/officeDocument/2006/relationships/hyperlink" Target="https://rarejapanesenfts.com/nft/bigstone/" TargetMode="External"/><Relationship Id="rId398" Type="http://schemas.openxmlformats.org/officeDocument/2006/relationships/hyperlink" Target="https://rarejapanesenfts.com/nft/pepepeace/" TargetMode="External"/><Relationship Id="rId155" Type="http://schemas.openxmlformats.org/officeDocument/2006/relationships/hyperlink" Target="https://rarejapanesenfts.com/nft/bitcoiners/" TargetMode="External"/><Relationship Id="rId276" Type="http://schemas.openxmlformats.org/officeDocument/2006/relationships/hyperlink" Target="https://rarejapanesenfts.com/nft/rogai/" TargetMode="External"/><Relationship Id="rId397" Type="http://schemas.openxmlformats.org/officeDocument/2006/relationships/hyperlink" Target="https://rarejapanesenfts.com/nft/pepejpn/" TargetMode="External"/><Relationship Id="rId40" Type="http://schemas.openxmlformats.org/officeDocument/2006/relationships/hyperlink" Target="https://rarejapanesenfts.com/nft/ecobitman/" TargetMode="External"/><Relationship Id="rId42" Type="http://schemas.openxmlformats.org/officeDocument/2006/relationships/hyperlink" Target="https://rarejapanesenfts.com/nft/zecfothemoon/" TargetMode="External"/><Relationship Id="rId41" Type="http://schemas.openxmlformats.org/officeDocument/2006/relationships/hyperlink" Target="https://rarejapanesenfts.com/nft/etcchan/" TargetMode="External"/><Relationship Id="rId44" Type="http://schemas.openxmlformats.org/officeDocument/2006/relationships/hyperlink" Target="https://rarejapanesenfts.com/nft/uasfarmy/" TargetMode="External"/><Relationship Id="rId43" Type="http://schemas.openxmlformats.org/officeDocument/2006/relationships/hyperlink" Target="https://rarejapanesenfts.com/nft/undercontrol/" TargetMode="External"/><Relationship Id="rId46" Type="http://schemas.openxmlformats.org/officeDocument/2006/relationships/hyperlink" Target="https://rarejapanesenfts.com/nft/thetimes/" TargetMode="External"/><Relationship Id="rId45" Type="http://schemas.openxmlformats.org/officeDocument/2006/relationships/hyperlink" Target="https://rarejapanesenfts.com/nft/dogethereum/" TargetMode="External"/><Relationship Id="rId509" Type="http://schemas.openxmlformats.org/officeDocument/2006/relationships/hyperlink" Target="https://rarejapanesenfts.com/nft/fwcfcprotecc/" TargetMode="External"/><Relationship Id="rId508" Type="http://schemas.openxmlformats.org/officeDocument/2006/relationships/hyperlink" Target="https://rarejapanesenfts.com/nft/fwcfcredridc/" TargetMode="External"/><Relationship Id="rId629" Type="http://schemas.openxmlformats.org/officeDocument/2006/relationships/hyperlink" Target="https://rarejapanesenfts.com/nft/umenipepe/" TargetMode="External"/><Relationship Id="rId503" Type="http://schemas.openxmlformats.org/officeDocument/2006/relationships/hyperlink" Target="https://rarejapanesenfts.com/nft/fwcfcwisemac/" TargetMode="External"/><Relationship Id="rId624" Type="http://schemas.openxmlformats.org/officeDocument/2006/relationships/hyperlink" Target="https://rarejapanesenfts.com/nft/pppglobal/" TargetMode="External"/><Relationship Id="rId502" Type="http://schemas.openxmlformats.org/officeDocument/2006/relationships/hyperlink" Target="https://rarejapanesenfts.com/nft/fwcfczhubajc/" TargetMode="External"/><Relationship Id="rId623" Type="http://schemas.openxmlformats.org/officeDocument/2006/relationships/hyperlink" Target="https://rarejapanesenfts.com/nft/pepegiga/" TargetMode="External"/><Relationship Id="rId501" Type="http://schemas.openxmlformats.org/officeDocument/2006/relationships/hyperlink" Target="https://rarejapanesenfts.com/nft/fwcfcalhazrc/" TargetMode="External"/><Relationship Id="rId622" Type="http://schemas.openxmlformats.org/officeDocument/2006/relationships/hyperlink" Target="https://rarejapanesenfts.com/nft/pepemorphs/" TargetMode="External"/><Relationship Id="rId500" Type="http://schemas.openxmlformats.org/officeDocument/2006/relationships/hyperlink" Target="https://rarejapanesenfts.com/nft/fwcfcanencoc/" TargetMode="External"/><Relationship Id="rId621" Type="http://schemas.openxmlformats.org/officeDocument/2006/relationships/hyperlink" Target="https://rarejapanesenfts.com/nft/crystalpepe/" TargetMode="External"/><Relationship Id="rId507" Type="http://schemas.openxmlformats.org/officeDocument/2006/relationships/hyperlink" Target="https://rarejapanesenfts.com/nft/fwcfcsecludc/" TargetMode="External"/><Relationship Id="rId628" Type="http://schemas.openxmlformats.org/officeDocument/2006/relationships/hyperlink" Target="https://rarejapanesenfts.com/nft/sakuranipepe/" TargetMode="External"/><Relationship Id="rId506" Type="http://schemas.openxmlformats.org/officeDocument/2006/relationships/hyperlink" Target="https://rarejapanesenfts.com/nft/fwcfcshawujc/" TargetMode="External"/><Relationship Id="rId627" Type="http://schemas.openxmlformats.org/officeDocument/2006/relationships/hyperlink" Target="https://rarejapanesenfts.com/nft/susukinipepe/" TargetMode="External"/><Relationship Id="rId505" Type="http://schemas.openxmlformats.org/officeDocument/2006/relationships/hyperlink" Target="https://rarejapanesenfts.com/nft/fwcfcsorcerc/" TargetMode="External"/><Relationship Id="rId626" Type="http://schemas.openxmlformats.org/officeDocument/2006/relationships/hyperlink" Target="https://rarejapanesenfts.com/nft/matsunipepe/" TargetMode="External"/><Relationship Id="rId504" Type="http://schemas.openxmlformats.org/officeDocument/2006/relationships/hyperlink" Target="https://rarejapanesenfts.com/nft/fwcfcthemonc/" TargetMode="External"/><Relationship Id="rId625" Type="http://schemas.openxmlformats.org/officeDocument/2006/relationships/hyperlink" Target="https://rarejapanesenfts.com/nft/yanaginipepe/" TargetMode="External"/><Relationship Id="rId48" Type="http://schemas.openxmlformats.org/officeDocument/2006/relationships/hyperlink" Target="https://rarejapanesenfts.com/nft/satoshiclub/" TargetMode="External"/><Relationship Id="rId47" Type="http://schemas.openxmlformats.org/officeDocument/2006/relationships/hyperlink" Target="https://rarejapanesenfts.com/nft/takarajpi/" TargetMode="External"/><Relationship Id="rId49" Type="http://schemas.openxmlformats.org/officeDocument/2006/relationships/hyperlink" Target="https://rarejapanesenfts.com/nft/nemgirl/" TargetMode="External"/><Relationship Id="rId620" Type="http://schemas.openxmlformats.org/officeDocument/2006/relationships/hyperlink" Target="https://rarejapanesenfts.com/nft/cnpepe/" TargetMode="External"/><Relationship Id="rId31" Type="http://schemas.openxmlformats.org/officeDocument/2006/relationships/hyperlink" Target="https://rarejapanesenfts.com/nft/monasegwit/" TargetMode="External"/><Relationship Id="rId30" Type="http://schemas.openxmlformats.org/officeDocument/2006/relationships/hyperlink" Target="https://rarejapanesenfts.com/nft/xemandjapan/" TargetMode="External"/><Relationship Id="rId33" Type="http://schemas.openxmlformats.org/officeDocument/2006/relationships/hyperlink" Target="https://rarejapanesenfts.com/nft/quantumpc/" TargetMode="External"/><Relationship Id="rId32" Type="http://schemas.openxmlformats.org/officeDocument/2006/relationships/hyperlink" Target="https://rarejapanesenfts.com/nft/thefintech/" TargetMode="External"/><Relationship Id="rId35" Type="http://schemas.openxmlformats.org/officeDocument/2006/relationships/hyperlink" Target="https://rarejapanesenfts.com/nft/ethereumgirl/" TargetMode="External"/><Relationship Id="rId34" Type="http://schemas.openxmlformats.org/officeDocument/2006/relationships/hyperlink" Target="https://rarejapanesenfts.com/nft/monerogirl/" TargetMode="External"/><Relationship Id="rId619" Type="http://schemas.openxmlformats.org/officeDocument/2006/relationships/hyperlink" Target="https://rarejapanesenfts.com/nft/hanseipepe/" TargetMode="External"/><Relationship Id="rId618" Type="http://schemas.openxmlformats.org/officeDocument/2006/relationships/hyperlink" Target="https://rarejapanesenfts.com/nft/rainypepe/" TargetMode="External"/><Relationship Id="rId613" Type="http://schemas.openxmlformats.org/officeDocument/2006/relationships/hyperlink" Target="https://rarejapanesenfts.com/nft/mermaidpepe/" TargetMode="External"/><Relationship Id="rId612" Type="http://schemas.openxmlformats.org/officeDocument/2006/relationships/hyperlink" Target="https://rarejapanesenfts.com/nft/breathedpepe/" TargetMode="External"/><Relationship Id="rId611" Type="http://schemas.openxmlformats.org/officeDocument/2006/relationships/hyperlink" Target="https://rarejapanesenfts.com/nft/blowpepe/" TargetMode="External"/><Relationship Id="rId610" Type="http://schemas.openxmlformats.org/officeDocument/2006/relationships/hyperlink" Target="https://rarejapanesenfts.com/nft/coinportalcd/" TargetMode="External"/><Relationship Id="rId617" Type="http://schemas.openxmlformats.org/officeDocument/2006/relationships/hyperlink" Target="https://rarejapanesenfts.com/nft/onsenpepe/" TargetMode="External"/><Relationship Id="rId616" Type="http://schemas.openxmlformats.org/officeDocument/2006/relationships/hyperlink" Target="https://rarejapanesenfts.com/nft/nobushipepe/" TargetMode="External"/><Relationship Id="rId615" Type="http://schemas.openxmlformats.org/officeDocument/2006/relationships/hyperlink" Target="https://rarejapanesenfts.com/nft/harakiripepe/" TargetMode="External"/><Relationship Id="rId614" Type="http://schemas.openxmlformats.org/officeDocument/2006/relationships/hyperlink" Target="https://rarejapanesenfts.com/nft/murasakipepe/" TargetMode="External"/><Relationship Id="rId37" Type="http://schemas.openxmlformats.org/officeDocument/2006/relationships/hyperlink" Target="https://rarejapanesenfts.com/nft/xasicboost/" TargetMode="External"/><Relationship Id="rId36" Type="http://schemas.openxmlformats.org/officeDocument/2006/relationships/hyperlink" Target="https://rarejapanesenfts.com/nft/ripplegirl/" TargetMode="External"/><Relationship Id="rId39" Type="http://schemas.openxmlformats.org/officeDocument/2006/relationships/hyperlink" Target="https://rarejapanesenfts.com/nft/ramensog/" TargetMode="External"/><Relationship Id="rId38" Type="http://schemas.openxmlformats.org/officeDocument/2006/relationships/hyperlink" Target="https://rarejapanesenfts.com/nft/rejectedvix/" TargetMode="External"/><Relationship Id="rId20" Type="http://schemas.openxmlformats.org/officeDocument/2006/relationships/hyperlink" Target="https://rarejapanesenfts.com/nft/kojithecupid/" TargetMode="External"/><Relationship Id="rId22" Type="http://schemas.openxmlformats.org/officeDocument/2006/relationships/hyperlink" Target="https://rarejapanesenfts.com/nft/thedaodead/" TargetMode="External"/><Relationship Id="rId21" Type="http://schemas.openxmlformats.org/officeDocument/2006/relationships/hyperlink" Target="https://rarejapanesenfts.com/nft/xemurai/" TargetMode="External"/><Relationship Id="rId24" Type="http://schemas.openxmlformats.org/officeDocument/2006/relationships/hyperlink" Target="https://rarejapanesenfts.com/nft/monacoingirl/" TargetMode="External"/><Relationship Id="rId23" Type="http://schemas.openxmlformats.org/officeDocument/2006/relationships/hyperlink" Target="https://rarejapanesenfts.com/nft/bitcoingirl/" TargetMode="External"/><Relationship Id="rId409" Type="http://schemas.openxmlformats.org/officeDocument/2006/relationships/hyperlink" Target="https://rarejapanesenfts.com/nft/leenabg/" TargetMode="External"/><Relationship Id="rId404" Type="http://schemas.openxmlformats.org/officeDocument/2006/relationships/hyperlink" Target="https://rarejapanesenfts.com/nft/bitgirlsii/" TargetMode="External"/><Relationship Id="rId525" Type="http://schemas.openxmlformats.org/officeDocument/2006/relationships/hyperlink" Target="https://rarejapanesenfts.com/nft/fwcfcmermaic/" TargetMode="External"/><Relationship Id="rId646" Type="http://schemas.openxmlformats.org/officeDocument/2006/relationships/hyperlink" Target="https://rarejapanesenfts.com/nft/moisteringbc/" TargetMode="External"/><Relationship Id="rId403" Type="http://schemas.openxmlformats.org/officeDocument/2006/relationships/hyperlink" Target="https://rarejapanesenfts.com/nft/bitgirlsi/" TargetMode="External"/><Relationship Id="rId524" Type="http://schemas.openxmlformats.org/officeDocument/2006/relationships/hyperlink" Target="https://rarejapanesenfts.com/nft/fwcfcrabbitc/" TargetMode="External"/><Relationship Id="rId645" Type="http://schemas.openxmlformats.org/officeDocument/2006/relationships/hyperlink" Target="https://rarejapanesenfts.com/nft/fwsdlfiethsc-sog/" TargetMode="External"/><Relationship Id="rId402" Type="http://schemas.openxmlformats.org/officeDocument/2006/relationships/hyperlink" Target="https://rarejapanesenfts.com/nft/risavix/" TargetMode="External"/><Relationship Id="rId523" Type="http://schemas.openxmlformats.org/officeDocument/2006/relationships/hyperlink" Target="https://rarejapanesenfts.com/nft/fwcfcreturnc/" TargetMode="External"/><Relationship Id="rId644" Type="http://schemas.openxmlformats.org/officeDocument/2006/relationships/hyperlink" Target="https://rarejapanesenfts.com/nft/fwsdlicedrac-sog/" TargetMode="External"/><Relationship Id="rId401" Type="http://schemas.openxmlformats.org/officeDocument/2006/relationships/hyperlink" Target="https://rarejapanesenfts.com/nft/hinamatsuri/" TargetMode="External"/><Relationship Id="rId522" Type="http://schemas.openxmlformats.org/officeDocument/2006/relationships/hyperlink" Target="https://rarejapanesenfts.com/nft/fwcfcrisingc/" TargetMode="External"/><Relationship Id="rId643" Type="http://schemas.openxmlformats.org/officeDocument/2006/relationships/hyperlink" Target="https://rarejapanesenfts.com/nft/fwcfcthemonc-sog/" TargetMode="External"/><Relationship Id="rId408" Type="http://schemas.openxmlformats.org/officeDocument/2006/relationships/hyperlink" Target="https://rarejapanesenfts.com/nft/itsukibg/" TargetMode="External"/><Relationship Id="rId529" Type="http://schemas.openxmlformats.org/officeDocument/2006/relationships/hyperlink" Target="https://rarejapanesenfts.com/nft/fwcfccheshic/" TargetMode="External"/><Relationship Id="rId407" Type="http://schemas.openxmlformats.org/officeDocument/2006/relationships/hyperlink" Target="https://rarejapanesenfts.com/nft/rumirumibg/" TargetMode="External"/><Relationship Id="rId528" Type="http://schemas.openxmlformats.org/officeDocument/2006/relationships/hyperlink" Target="https://rarejapanesenfts.com/nft/fwcfcguidetc/" TargetMode="External"/><Relationship Id="rId406" Type="http://schemas.openxmlformats.org/officeDocument/2006/relationships/hyperlink" Target="https://rarejapanesenfts.com/nft/shimarenabg/" TargetMode="External"/><Relationship Id="rId527" Type="http://schemas.openxmlformats.org/officeDocument/2006/relationships/hyperlink" Target="https://rarejapanesenfts.com/nft/fwcfclumiasc/" TargetMode="External"/><Relationship Id="rId405" Type="http://schemas.openxmlformats.org/officeDocument/2006/relationships/hyperlink" Target="https://rarejapanesenfts.com/nft/kinobg/" TargetMode="External"/><Relationship Id="rId526" Type="http://schemas.openxmlformats.org/officeDocument/2006/relationships/hyperlink" Target="https://rarejapanesenfts.com/nft/fwcfcmelttoc/" TargetMode="External"/><Relationship Id="rId647" Type="http://schemas.openxmlformats.org/officeDocument/2006/relationships/drawing" Target="../drawings/drawing1.xml"/><Relationship Id="rId26" Type="http://schemas.openxmlformats.org/officeDocument/2006/relationships/hyperlink" Target="https://rarejapanesenfts.com/nft/mikehearnalt/" TargetMode="External"/><Relationship Id="rId25" Type="http://schemas.openxmlformats.org/officeDocument/2006/relationships/hyperlink" Target="https://rarejapanesenfts.com/nft/minerb/" TargetMode="External"/><Relationship Id="rId28" Type="http://schemas.openxmlformats.org/officeDocument/2006/relationships/hyperlink" Target="https://rarejapanesenfts.com/nft/tothemooncd/" TargetMode="External"/><Relationship Id="rId27" Type="http://schemas.openxmlformats.org/officeDocument/2006/relationships/hyperlink" Target="https://rarejapanesenfts.com/nft/originofmc/" TargetMode="External"/><Relationship Id="rId400" Type="http://schemas.openxmlformats.org/officeDocument/2006/relationships/hyperlink" Target="https://rarejapanesenfts.com/nft/sakurapenpen/" TargetMode="External"/><Relationship Id="rId521" Type="http://schemas.openxmlformats.org/officeDocument/2006/relationships/hyperlink" Target="https://rarejapanesenfts.com/nft/fwcfcshacklc/" TargetMode="External"/><Relationship Id="rId642" Type="http://schemas.openxmlformats.org/officeDocument/2006/relationships/hyperlink" Target="https://rarejapanesenfts.com/nft/fwcfcumrattc-sog/" TargetMode="External"/><Relationship Id="rId29" Type="http://schemas.openxmlformats.org/officeDocument/2006/relationships/hyperlink" Target="https://rarejapanesenfts.com/nft/bigonestep/" TargetMode="External"/><Relationship Id="rId520" Type="http://schemas.openxmlformats.org/officeDocument/2006/relationships/hyperlink" Target="https://rarejapanesenfts.com/nft/fwcfcstargac/" TargetMode="External"/><Relationship Id="rId641" Type="http://schemas.openxmlformats.org/officeDocument/2006/relationships/hyperlink" Target="https://rarejapanesenfts.com/nft/fwcfcfierycc-sog/" TargetMode="External"/><Relationship Id="rId640" Type="http://schemas.openxmlformats.org/officeDocument/2006/relationships/hyperlink" Target="https://rarejapanesenfts.com/nft/dogecoincard/" TargetMode="External"/><Relationship Id="rId11" Type="http://schemas.openxmlformats.org/officeDocument/2006/relationships/hyperlink" Target="https://rarejapanesenfts.com/nft/oshikomare/" TargetMode="External"/><Relationship Id="rId10" Type="http://schemas.openxmlformats.org/officeDocument/2006/relationships/hyperlink" Target="https://rarejapanesenfts.com/nft/nobunsan/" TargetMode="External"/><Relationship Id="rId13" Type="http://schemas.openxmlformats.org/officeDocument/2006/relationships/hyperlink" Target="https://rarejapanesenfts.com/nft/shibacoiner/" TargetMode="External"/><Relationship Id="rId12" Type="http://schemas.openxmlformats.org/officeDocument/2006/relationships/hyperlink" Target="https://rarejapanesenfts.com/nft/notsoon/" TargetMode="External"/><Relationship Id="rId519" Type="http://schemas.openxmlformats.org/officeDocument/2006/relationships/hyperlink" Target="https://rarejapanesenfts.com/nft/fwcfcsummonc/" TargetMode="External"/><Relationship Id="rId514" Type="http://schemas.openxmlformats.org/officeDocument/2006/relationships/hyperlink" Target="https://rarejapanesenfts.com/nft/fwcfcfavorac/" TargetMode="External"/><Relationship Id="rId635" Type="http://schemas.openxmlformats.org/officeDocument/2006/relationships/hyperlink" Target="https://rarejapanesenfts.com/nft/gangpepe/" TargetMode="External"/><Relationship Id="rId513" Type="http://schemas.openxmlformats.org/officeDocument/2006/relationships/hyperlink" Target="https://rarejapanesenfts.com/nft/fwcfcflyingc/" TargetMode="External"/><Relationship Id="rId634" Type="http://schemas.openxmlformats.org/officeDocument/2006/relationships/hyperlink" Target="https://rarejapanesenfts.com/nft/cupidpepe/" TargetMode="External"/><Relationship Id="rId512" Type="http://schemas.openxmlformats.org/officeDocument/2006/relationships/hyperlink" Target="https://rarejapanesenfts.com/nft/fwcfcheavenc/" TargetMode="External"/><Relationship Id="rId633" Type="http://schemas.openxmlformats.org/officeDocument/2006/relationships/hyperlink" Target="https://rarejapanesenfts.com/nft/pepemom/" TargetMode="External"/><Relationship Id="rId511" Type="http://schemas.openxmlformats.org/officeDocument/2006/relationships/hyperlink" Target="https://rarejapanesenfts.com/nft/fwcfcmagicbc/" TargetMode="External"/><Relationship Id="rId632" Type="http://schemas.openxmlformats.org/officeDocument/2006/relationships/hyperlink" Target="https://rarejapanesenfts.com/nft/pepedj/" TargetMode="External"/><Relationship Id="rId518" Type="http://schemas.openxmlformats.org/officeDocument/2006/relationships/hyperlink" Target="https://rarejapanesenfts.com/nft/fwcfcbirdofc/" TargetMode="External"/><Relationship Id="rId639" Type="http://schemas.openxmlformats.org/officeDocument/2006/relationships/hyperlink" Target="https://rarejapanesenfts.com/nft/goxcard/" TargetMode="External"/><Relationship Id="rId517" Type="http://schemas.openxmlformats.org/officeDocument/2006/relationships/hyperlink" Target="https://rarejapanesenfts.com/nft/fwcfccloninc/" TargetMode="External"/><Relationship Id="rId638" Type="http://schemas.openxmlformats.org/officeDocument/2006/relationships/hyperlink" Target="https://rarejapanesenfts.com/nft/sarutobicard/" TargetMode="External"/><Relationship Id="rId516" Type="http://schemas.openxmlformats.org/officeDocument/2006/relationships/hyperlink" Target="https://rarejapanesenfts.com/nft/fwcfccreamuc/" TargetMode="External"/><Relationship Id="rId637" Type="http://schemas.openxmlformats.org/officeDocument/2006/relationships/hyperlink" Target="https://rarejapanesenfts.com/nft/wherebcycard/" TargetMode="External"/><Relationship Id="rId515" Type="http://schemas.openxmlformats.org/officeDocument/2006/relationships/hyperlink" Target="https://rarejapanesenfts.com/nft/fwcfcelfoftc/" TargetMode="External"/><Relationship Id="rId636" Type="http://schemas.openxmlformats.org/officeDocument/2006/relationships/hyperlink" Target="https://rarejapanesenfts.com/nft/mupepets/" TargetMode="External"/><Relationship Id="rId15" Type="http://schemas.openxmlformats.org/officeDocument/2006/relationships/hyperlink" Target="https://rarejapanesenfts.com/nft/shitto/" TargetMode="External"/><Relationship Id="rId14" Type="http://schemas.openxmlformats.org/officeDocument/2006/relationships/hyperlink" Target="https://rarejapanesenfts.com/nft/goxgirl/" TargetMode="External"/><Relationship Id="rId17" Type="http://schemas.openxmlformats.org/officeDocument/2006/relationships/hyperlink" Target="https://rarejapanesenfts.com/nft/wacknakamoto/" TargetMode="External"/><Relationship Id="rId16" Type="http://schemas.openxmlformats.org/officeDocument/2006/relationships/hyperlink" Target="https://rarejapanesenfts.com/nft/dogemusk/" TargetMode="External"/><Relationship Id="rId19" Type="http://schemas.openxmlformats.org/officeDocument/2006/relationships/hyperlink" Target="https://rarejapanesenfts.com/nft/goxandthedao/" TargetMode="External"/><Relationship Id="rId510" Type="http://schemas.openxmlformats.org/officeDocument/2006/relationships/hyperlink" Target="https://rarejapanesenfts.com/nft/fwcfcmagicsc/" TargetMode="External"/><Relationship Id="rId631" Type="http://schemas.openxmlformats.org/officeDocument/2006/relationships/hyperlink" Target="https://rarejapanesenfts.com/nft/pokerpepe/" TargetMode="External"/><Relationship Id="rId18" Type="http://schemas.openxmlformats.org/officeDocument/2006/relationships/hyperlink" Target="https://rarejapanesenfts.com/nft/thegodtanu/" TargetMode="External"/><Relationship Id="rId630" Type="http://schemas.openxmlformats.org/officeDocument/2006/relationships/hyperlink" Target="https://rarejapanesenfts.com/nft/pepesurf/" TargetMode="External"/><Relationship Id="rId84" Type="http://schemas.openxmlformats.org/officeDocument/2006/relationships/hyperlink" Target="https://rarejapanesenfts.com/nft/segwitshi/" TargetMode="External"/><Relationship Id="rId83" Type="http://schemas.openxmlformats.org/officeDocument/2006/relationships/hyperlink" Target="https://rarejapanesenfts.com/nft/nemangel/" TargetMode="External"/><Relationship Id="rId86" Type="http://schemas.openxmlformats.org/officeDocument/2006/relationships/hyperlink" Target="https://rarejapanesenfts.com/nft/gripgirl/" TargetMode="External"/><Relationship Id="rId85" Type="http://schemas.openxmlformats.org/officeDocument/2006/relationships/hyperlink" Target="https://rarejapanesenfts.com/nft/shitcoiner/" TargetMode="External"/><Relationship Id="rId88" Type="http://schemas.openxmlformats.org/officeDocument/2006/relationships/hyperlink" Target="https://rarejapanesenfts.com/nft/decentoracle/" TargetMode="External"/><Relationship Id="rId87" Type="http://schemas.openxmlformats.org/officeDocument/2006/relationships/hyperlink" Target="https://rarejapanesenfts.com/nft/bitzeny/" TargetMode="External"/><Relationship Id="rId89" Type="http://schemas.openxmlformats.org/officeDocument/2006/relationships/hyperlink" Target="https://rarejapanesenfts.com/nft/masteringpc/" TargetMode="External"/><Relationship Id="rId80" Type="http://schemas.openxmlformats.org/officeDocument/2006/relationships/hyperlink" Target="https://rarejapanesenfts.com/nft/potcoiner/" TargetMode="External"/><Relationship Id="rId82" Type="http://schemas.openxmlformats.org/officeDocument/2006/relationships/hyperlink" Target="https://rarejapanesenfts.com/nft/theicodead/" TargetMode="External"/><Relationship Id="rId81" Type="http://schemas.openxmlformats.org/officeDocument/2006/relationships/hyperlink" Target="https://rarejapanesenfts.com/nft/xcppeople/" TargetMode="External"/><Relationship Id="rId73" Type="http://schemas.openxmlformats.org/officeDocument/2006/relationships/hyperlink" Target="https://rarejapanesenfts.com/nft/foreverp/" TargetMode="External"/><Relationship Id="rId72" Type="http://schemas.openxmlformats.org/officeDocument/2006/relationships/hyperlink" Target="https://rarejapanesenfts.com/nft/cryptorpg/" TargetMode="External"/><Relationship Id="rId75" Type="http://schemas.openxmlformats.org/officeDocument/2006/relationships/hyperlink" Target="https://rarejapanesenfts.com/nft/mcripplenw/" TargetMode="External"/><Relationship Id="rId74" Type="http://schemas.openxmlformats.org/officeDocument/2006/relationships/hyperlink" Target="https://rarejapanesenfts.com/nft/mcharvesting/" TargetMode="External"/><Relationship Id="rId77" Type="http://schemas.openxmlformats.org/officeDocument/2006/relationships/hyperlink" Target="https://rarejapanesenfts.com/nft/monatattoo/" TargetMode="External"/><Relationship Id="rId76" Type="http://schemas.openxmlformats.org/officeDocument/2006/relationships/hyperlink" Target="https://rarejapanesenfts.com/nft/monapepecard/" TargetMode="External"/><Relationship Id="rId79" Type="http://schemas.openxmlformats.org/officeDocument/2006/relationships/hyperlink" Target="https://rarejapanesenfts.com/nft/originofsog/" TargetMode="External"/><Relationship Id="rId78" Type="http://schemas.openxmlformats.org/officeDocument/2006/relationships/hyperlink" Target="https://rarejapanesenfts.com/nft/xemtattoo/" TargetMode="External"/><Relationship Id="rId71" Type="http://schemas.openxmlformats.org/officeDocument/2006/relationships/hyperlink" Target="https://rarejapanesenfts.com/nft/yomegox/" TargetMode="External"/><Relationship Id="rId70" Type="http://schemas.openxmlformats.org/officeDocument/2006/relationships/hyperlink" Target="https://rarejapanesenfts.com/nft/ccgannen/" TargetMode="External"/><Relationship Id="rId62" Type="http://schemas.openxmlformats.org/officeDocument/2006/relationships/hyperlink" Target="https://rarejapanesenfts.com/nft/garikuson/" TargetMode="External"/><Relationship Id="rId61" Type="http://schemas.openxmlformats.org/officeDocument/2006/relationships/hyperlink" Target="https://rarejapanesenfts.com/nft/scamhazard/" TargetMode="External"/><Relationship Id="rId64" Type="http://schemas.openxmlformats.org/officeDocument/2006/relationships/hyperlink" Target="https://rarejapanesenfts.com/nft/trezormylove/" TargetMode="External"/><Relationship Id="rId63" Type="http://schemas.openxmlformats.org/officeDocument/2006/relationships/hyperlink" Target="https://rarejapanesenfts.com/nft/hodlonme/" TargetMode="External"/><Relationship Id="rId66" Type="http://schemas.openxmlformats.org/officeDocument/2006/relationships/hyperlink" Target="https://rarejapanesenfts.com/nft/theakanpany/" TargetMode="External"/><Relationship Id="rId65" Type="http://schemas.openxmlformats.org/officeDocument/2006/relationships/hyperlink" Target="https://rarejapanesenfts.com/nft/sroadcamel/" TargetMode="External"/><Relationship Id="rId68" Type="http://schemas.openxmlformats.org/officeDocument/2006/relationships/hyperlink" Target="https://rarejapanesenfts.com/nft/wackwatanabe/" TargetMode="External"/><Relationship Id="rId67" Type="http://schemas.openxmlformats.org/officeDocument/2006/relationships/hyperlink" Target="https://rarejapanesenfts.com/nft/tlod/" TargetMode="External"/><Relationship Id="rId609" Type="http://schemas.openxmlformats.org/officeDocument/2006/relationships/hyperlink" Target="https://rarejapanesenfts.com/nft/ccmcard/" TargetMode="External"/><Relationship Id="rId608" Type="http://schemas.openxmlformats.org/officeDocument/2006/relationships/hyperlink" Target="https://rarejapanesenfts.com/nft/cnpcard/" TargetMode="External"/><Relationship Id="rId607" Type="http://schemas.openxmlformats.org/officeDocument/2006/relationships/hyperlink" Target="https://rarejapanesenfts.com/nft/shumaicard/" TargetMode="External"/><Relationship Id="rId60" Type="http://schemas.openxmlformats.org/officeDocument/2006/relationships/hyperlink" Target="https://rarejapanesenfts.com/nft/powmonster/" TargetMode="External"/><Relationship Id="rId602" Type="http://schemas.openxmlformats.org/officeDocument/2006/relationships/hyperlink" Target="https://rarejapanesenfts.com/nft/pepeorochi/" TargetMode="External"/><Relationship Id="rId601" Type="http://schemas.openxmlformats.org/officeDocument/2006/relationships/hyperlink" Target="https://rarejapanesenfts.com/nft/pepetunade/" TargetMode="External"/><Relationship Id="rId600" Type="http://schemas.openxmlformats.org/officeDocument/2006/relationships/hyperlink" Target="https://rarejapanesenfts.com/nft/pepejiraiya/" TargetMode="External"/><Relationship Id="rId606" Type="http://schemas.openxmlformats.org/officeDocument/2006/relationships/hyperlink" Target="https://rarejapanesenfts.com/nft/hairpepe/" TargetMode="External"/><Relationship Id="rId605" Type="http://schemas.openxmlformats.org/officeDocument/2006/relationships/hyperlink" Target="https://rarejapanesenfts.com/nft/zaifcard/" TargetMode="External"/><Relationship Id="rId604" Type="http://schemas.openxmlformats.org/officeDocument/2006/relationships/hyperlink" Target="https://rarejapanesenfts.com/nft/flyingacepep/" TargetMode="External"/><Relationship Id="rId603" Type="http://schemas.openxmlformats.org/officeDocument/2006/relationships/hyperlink" Target="https://rarejapanesenfts.com/nft/pepemaone/" TargetMode="External"/><Relationship Id="rId69" Type="http://schemas.openxmlformats.org/officeDocument/2006/relationships/hyperlink" Target="https://rarejapanesenfts.com/nft/zaifgirls/" TargetMode="External"/><Relationship Id="rId51" Type="http://schemas.openxmlformats.org/officeDocument/2006/relationships/hyperlink" Target="https://rarejapanesenfts.com/nft/ethhomestead/" TargetMode="External"/><Relationship Id="rId50" Type="http://schemas.openxmlformats.org/officeDocument/2006/relationships/hyperlink" Target="https://rarejapanesenfts.com/nft/cryptogirls/" TargetMode="External"/><Relationship Id="rId53" Type="http://schemas.openxmlformats.org/officeDocument/2006/relationships/hyperlink" Target="https://rarejapanesenfts.com/nft/ecobitwoman/" TargetMode="External"/><Relationship Id="rId52" Type="http://schemas.openxmlformats.org/officeDocument/2006/relationships/hyperlink" Target="https://rarejapanesenfts.com/nft/ethfrontier/" TargetMode="External"/><Relationship Id="rId55" Type="http://schemas.openxmlformats.org/officeDocument/2006/relationships/hyperlink" Target="https://rarejapanesenfts.com/nft/bmantbleed/" TargetMode="External"/><Relationship Id="rId54" Type="http://schemas.openxmlformats.org/officeDocument/2006/relationships/hyperlink" Target="https://rarejapanesenfts.com/nft/bccard/" TargetMode="External"/><Relationship Id="rId57" Type="http://schemas.openxmlformats.org/officeDocument/2006/relationships/hyperlink" Target="https://rarejapanesenfts.com/nft/btctattoo/" TargetMode="External"/><Relationship Id="rId56" Type="http://schemas.openxmlformats.org/officeDocument/2006/relationships/hyperlink" Target="https://rarejapanesenfts.com/nft/botcoiner/" TargetMode="External"/><Relationship Id="rId59" Type="http://schemas.openxmlformats.org/officeDocument/2006/relationships/hyperlink" Target="https://rarejapanesenfts.com/nft/ecashpaper/" TargetMode="External"/><Relationship Id="rId58" Type="http://schemas.openxmlformats.org/officeDocument/2006/relationships/hyperlink" Target="https://rarejapanesenfts.com/nft/dogechan/" TargetMode="External"/><Relationship Id="rId590" Type="http://schemas.openxmlformats.org/officeDocument/2006/relationships/hyperlink" Target="https://rarejapanesenfts.com/nft/onsencorn/" TargetMode="External"/><Relationship Id="rId107" Type="http://schemas.openxmlformats.org/officeDocument/2006/relationships/hyperlink" Target="https://rarejapanesenfts.com/nft/sarutobiisl/" TargetMode="External"/><Relationship Id="rId228" Type="http://schemas.openxmlformats.org/officeDocument/2006/relationships/hyperlink" Target="https://rarejapanesenfts.com/nft/neochans/" TargetMode="External"/><Relationship Id="rId349" Type="http://schemas.openxmlformats.org/officeDocument/2006/relationships/hyperlink" Target="https://rarejapanesenfts.com/nft/mikopepe/" TargetMode="External"/><Relationship Id="rId106" Type="http://schemas.openxmlformats.org/officeDocument/2006/relationships/hyperlink" Target="https://rarejapanesenfts.com/nft/nempizzaday/" TargetMode="External"/><Relationship Id="rId227" Type="http://schemas.openxmlformats.org/officeDocument/2006/relationships/hyperlink" Target="https://rarejapanesenfts.com/nft/nemballoon/" TargetMode="External"/><Relationship Id="rId348" Type="http://schemas.openxmlformats.org/officeDocument/2006/relationships/hyperlink" Target="https://rarejapanesenfts.com/nft/pepeforever/" TargetMode="External"/><Relationship Id="rId469" Type="http://schemas.openxmlformats.org/officeDocument/2006/relationships/hyperlink" Target="https://rarejapanesenfts.com/nft/fwsdlconfecc/" TargetMode="External"/><Relationship Id="rId105" Type="http://schemas.openxmlformats.org/officeDocument/2006/relationships/hyperlink" Target="https://rarejapanesenfts.com/nft/maidsafechan/" TargetMode="External"/><Relationship Id="rId226" Type="http://schemas.openxmlformats.org/officeDocument/2006/relationships/hyperlink" Target="https://rarejapanesenfts.com/nft/lovemona/" TargetMode="External"/><Relationship Id="rId347" Type="http://schemas.openxmlformats.org/officeDocument/2006/relationships/hyperlink" Target="https://rarejapanesenfts.com/nft/kingyopepe/" TargetMode="External"/><Relationship Id="rId468" Type="http://schemas.openxmlformats.org/officeDocument/2006/relationships/hyperlink" Target="https://rarejapanesenfts.com/nft/fwsdlfairytc/" TargetMode="External"/><Relationship Id="rId589" Type="http://schemas.openxmlformats.org/officeDocument/2006/relationships/hyperlink" Target="https://rarejapanesenfts.com/nft/cornkabuki/" TargetMode="External"/><Relationship Id="rId104" Type="http://schemas.openxmlformats.org/officeDocument/2006/relationships/hyperlink" Target="https://rarejapanesenfts.com/nft/theniagara/" TargetMode="External"/><Relationship Id="rId225" Type="http://schemas.openxmlformats.org/officeDocument/2006/relationships/hyperlink" Target="https://rarejapanesenfts.com/nft/icotcoin/" TargetMode="External"/><Relationship Id="rId346" Type="http://schemas.openxmlformats.org/officeDocument/2006/relationships/hyperlink" Target="https://rarejapanesenfts.com/nft/yugurepepe/" TargetMode="External"/><Relationship Id="rId467" Type="http://schemas.openxmlformats.org/officeDocument/2006/relationships/hyperlink" Target="https://rarejapanesenfts.com/nft/fwsdlgourmac/" TargetMode="External"/><Relationship Id="rId588" Type="http://schemas.openxmlformats.org/officeDocument/2006/relationships/hyperlink" Target="https://rarejapanesenfts.com/nft/cornsakamoto/" TargetMode="External"/><Relationship Id="rId109" Type="http://schemas.openxmlformats.org/officeDocument/2006/relationships/hyperlink" Target="https://rarejapanesenfts.com/nft/bitisban/" TargetMode="External"/><Relationship Id="rId108" Type="http://schemas.openxmlformats.org/officeDocument/2006/relationships/hyperlink" Target="https://rarejapanesenfts.com/nft/birthofthbtc/" TargetMode="External"/><Relationship Id="rId229" Type="http://schemas.openxmlformats.org/officeDocument/2006/relationships/hyperlink" Target="https://rarejapanesenfts.com/nft/oishikunai/" TargetMode="External"/><Relationship Id="rId220" Type="http://schemas.openxmlformats.org/officeDocument/2006/relationships/hyperlink" Target="https://rarejapanesenfts.com/nft/bchwasborn/" TargetMode="External"/><Relationship Id="rId341" Type="http://schemas.openxmlformats.org/officeDocument/2006/relationships/hyperlink" Target="https://rarejapanesenfts.com/nft/wnpepepepepe/" TargetMode="External"/><Relationship Id="rId462" Type="http://schemas.openxmlformats.org/officeDocument/2006/relationships/hyperlink" Target="https://rarejapanesenfts.com/nft/fwsdlmanifec/" TargetMode="External"/><Relationship Id="rId583" Type="http://schemas.openxmlformats.org/officeDocument/2006/relationships/hyperlink" Target="https://rarejapanesenfts.com/nft/dotcorn/" TargetMode="External"/><Relationship Id="rId340" Type="http://schemas.openxmlformats.org/officeDocument/2006/relationships/hyperlink" Target="https://rarejapanesenfts.com/nft/maozepepe/" TargetMode="External"/><Relationship Id="rId461" Type="http://schemas.openxmlformats.org/officeDocument/2006/relationships/hyperlink" Target="https://rarejapanesenfts.com/nft/fwsdlmilliuc/" TargetMode="External"/><Relationship Id="rId582" Type="http://schemas.openxmlformats.org/officeDocument/2006/relationships/hyperlink" Target="https://rarejapanesenfts.com/nft/mondriancorn/" TargetMode="External"/><Relationship Id="rId460" Type="http://schemas.openxmlformats.org/officeDocument/2006/relationships/hyperlink" Target="https://rarejapanesenfts.com/nft/fwsdlsummonc/" TargetMode="External"/><Relationship Id="rId581" Type="http://schemas.openxmlformats.org/officeDocument/2006/relationships/hyperlink" Target="https://rarejapanesenfts.com/nft/vividcorn/" TargetMode="External"/><Relationship Id="rId580" Type="http://schemas.openxmlformats.org/officeDocument/2006/relationships/hyperlink" Target="https://rarejapanesenfts.com/nft/nfcorn/" TargetMode="External"/><Relationship Id="rId103" Type="http://schemas.openxmlformats.org/officeDocument/2006/relationships/hyperlink" Target="https://rarejapanesenfts.com/nft/memepartners/" TargetMode="External"/><Relationship Id="rId224" Type="http://schemas.openxmlformats.org/officeDocument/2006/relationships/hyperlink" Target="https://rarejapanesenfts.com/nft/gachiho/" TargetMode="External"/><Relationship Id="rId345" Type="http://schemas.openxmlformats.org/officeDocument/2006/relationships/hyperlink" Target="https://rarejapanesenfts.com/nft/matsuripepe/" TargetMode="External"/><Relationship Id="rId466" Type="http://schemas.openxmlformats.org/officeDocument/2006/relationships/hyperlink" Target="https://rarejapanesenfts.com/nft/fwsdlgrimmkc/" TargetMode="External"/><Relationship Id="rId587" Type="http://schemas.openxmlformats.org/officeDocument/2006/relationships/hyperlink" Target="https://rarejapanesenfts.com/nft/cornpedia/" TargetMode="External"/><Relationship Id="rId102" Type="http://schemas.openxmlformats.org/officeDocument/2006/relationships/hyperlink" Target="https://rarejapanesenfts.com/nft/lordothemoon/" TargetMode="External"/><Relationship Id="rId223" Type="http://schemas.openxmlformats.org/officeDocument/2006/relationships/hyperlink" Target="https://rarejapanesenfts.com/nft/dashman/" TargetMode="External"/><Relationship Id="rId344" Type="http://schemas.openxmlformats.org/officeDocument/2006/relationships/hyperlink" Target="https://rarejapanesenfts.com/nft/cicacoinpepe/" TargetMode="External"/><Relationship Id="rId465" Type="http://schemas.openxmlformats.org/officeDocument/2006/relationships/hyperlink" Target="https://rarejapanesenfts.com/nft/fwsdlkidpusc/" TargetMode="External"/><Relationship Id="rId586" Type="http://schemas.openxmlformats.org/officeDocument/2006/relationships/hyperlink" Target="https://rarejapanesenfts.com/nft/cornpatrol/" TargetMode="External"/><Relationship Id="rId101" Type="http://schemas.openxmlformats.org/officeDocument/2006/relationships/hyperlink" Target="https://rarejapanesenfts.com/nft/walletkun/" TargetMode="External"/><Relationship Id="rId222" Type="http://schemas.openxmlformats.org/officeDocument/2006/relationships/hyperlink" Target="https://rarejapanesenfts.com/nft/ccgetcone/" TargetMode="External"/><Relationship Id="rId343" Type="http://schemas.openxmlformats.org/officeDocument/2006/relationships/hyperlink" Target="https://rarejapanesenfts.com/nft/pepebricco/" TargetMode="External"/><Relationship Id="rId464" Type="http://schemas.openxmlformats.org/officeDocument/2006/relationships/hyperlink" Target="https://rarejapanesenfts.com/nft/fwsdllightdc/" TargetMode="External"/><Relationship Id="rId585" Type="http://schemas.openxmlformats.org/officeDocument/2006/relationships/hyperlink" Target="https://rarejapanesenfts.com/nft/comebackcorn/" TargetMode="External"/><Relationship Id="rId100" Type="http://schemas.openxmlformats.org/officeDocument/2006/relationships/hyperlink" Target="https://rarejapanesenfts.com/nft/snwarmheart/" TargetMode="External"/><Relationship Id="rId221" Type="http://schemas.openxmlformats.org/officeDocument/2006/relationships/hyperlink" Target="https://rarejapanesenfts.com/nft/bobbywave/" TargetMode="External"/><Relationship Id="rId342" Type="http://schemas.openxmlformats.org/officeDocument/2006/relationships/hyperlink" Target="https://rarejapanesenfts.com/nft/chunripepe/" TargetMode="External"/><Relationship Id="rId463" Type="http://schemas.openxmlformats.org/officeDocument/2006/relationships/hyperlink" Target="https://rarejapanesenfts.com/nft/fwsdlmagicsc/" TargetMode="External"/><Relationship Id="rId584" Type="http://schemas.openxmlformats.org/officeDocument/2006/relationships/hyperlink" Target="https://rarejapanesenfts.com/nft/lastcorn/" TargetMode="External"/><Relationship Id="rId217" Type="http://schemas.openxmlformats.org/officeDocument/2006/relationships/hyperlink" Target="https://rarejapanesenfts.com/nft/waragoncard/" TargetMode="External"/><Relationship Id="rId338" Type="http://schemas.openxmlformats.org/officeDocument/2006/relationships/hyperlink" Target="https://rarejapanesenfts.com/nft/myriadmpepe/" TargetMode="External"/><Relationship Id="rId459" Type="http://schemas.openxmlformats.org/officeDocument/2006/relationships/hyperlink" Target="https://rarejapanesenfts.com/nft/fwsdltinkerc/" TargetMode="External"/><Relationship Id="rId216" Type="http://schemas.openxmlformats.org/officeDocument/2006/relationships/hyperlink" Target="https://rarejapanesenfts.com/nft/singulardtv/" TargetMode="External"/><Relationship Id="rId337" Type="http://schemas.openxmlformats.org/officeDocument/2006/relationships/hyperlink" Target="https://rarejapanesenfts.com/nft/maoismpepe/" TargetMode="External"/><Relationship Id="rId458" Type="http://schemas.openxmlformats.org/officeDocument/2006/relationships/hyperlink" Target="https://rarejapanesenfts.com/nft/fwsdllightmc/" TargetMode="External"/><Relationship Id="rId579" Type="http://schemas.openxmlformats.org/officeDocument/2006/relationships/hyperlink" Target="https://rarejapanesenfts.com/nft/cornrock/" TargetMode="External"/><Relationship Id="rId215" Type="http://schemas.openxmlformats.org/officeDocument/2006/relationships/hyperlink" Target="https://rarejapanesenfts.com/nft/sbitcoiner/" TargetMode="External"/><Relationship Id="rId336" Type="http://schemas.openxmlformats.org/officeDocument/2006/relationships/hyperlink" Target="https://rarejapanesenfts.com/nft/pepeballoon/" TargetMode="External"/><Relationship Id="rId457" Type="http://schemas.openxmlformats.org/officeDocument/2006/relationships/hyperlink" Target="https://rarejapanesenfts.com/nft/fwsdlcharlac/" TargetMode="External"/><Relationship Id="rId578" Type="http://schemas.openxmlformats.org/officeDocument/2006/relationships/hyperlink" Target="https://rarejapanesenfts.com/nft/corntest/" TargetMode="External"/><Relationship Id="rId214" Type="http://schemas.openxmlformats.org/officeDocument/2006/relationships/hyperlink" Target="https://rarejapanesenfts.com/nft/nomona/" TargetMode="External"/><Relationship Id="rId335" Type="http://schemas.openxmlformats.org/officeDocument/2006/relationships/hyperlink" Target="https://rarejapanesenfts.com/nft/pepeaddicts/" TargetMode="External"/><Relationship Id="rId456" Type="http://schemas.openxmlformats.org/officeDocument/2006/relationships/hyperlink" Target="https://rarejapanesenfts.com/nft/fwsdlemissac/" TargetMode="External"/><Relationship Id="rId577" Type="http://schemas.openxmlformats.org/officeDocument/2006/relationships/hyperlink" Target="https://rarejapanesenfts.com/nft/goghcorn/" TargetMode="External"/><Relationship Id="rId219" Type="http://schemas.openxmlformats.org/officeDocument/2006/relationships/hyperlink" Target="https://rarejapanesenfts.com/nft/xrptattoo/" TargetMode="External"/><Relationship Id="rId218" Type="http://schemas.openxmlformats.org/officeDocument/2006/relationships/hyperlink" Target="https://rarejapanesenfts.com/nft/xaorangerg/" TargetMode="External"/><Relationship Id="rId339" Type="http://schemas.openxmlformats.org/officeDocument/2006/relationships/hyperlink" Target="https://rarejapanesenfts.com/nft/mapepenemr/" TargetMode="External"/><Relationship Id="rId330" Type="http://schemas.openxmlformats.org/officeDocument/2006/relationships/hyperlink" Target="https://rarejapanesenfts.com/nft/featherspepe/" TargetMode="External"/><Relationship Id="rId451" Type="http://schemas.openxmlformats.org/officeDocument/2006/relationships/hyperlink" Target="https://rarejapanesenfts.com/nft/fwsdllunyatc/" TargetMode="External"/><Relationship Id="rId572" Type="http://schemas.openxmlformats.org/officeDocument/2006/relationships/hyperlink" Target="https://rarejapanesenfts.com/nft/pepeon/" TargetMode="External"/><Relationship Id="rId450" Type="http://schemas.openxmlformats.org/officeDocument/2006/relationships/hyperlink" Target="https://rarejapanesenfts.com/nft/fwsdllunyasc/" TargetMode="External"/><Relationship Id="rId571" Type="http://schemas.openxmlformats.org/officeDocument/2006/relationships/hyperlink" Target="https://rarejapanesenfts.com/nft/flowerpepe/" TargetMode="External"/><Relationship Id="rId570" Type="http://schemas.openxmlformats.org/officeDocument/2006/relationships/hyperlink" Target="https://rarejapanesenfts.com/nft/ungaisouten/" TargetMode="External"/><Relationship Id="rId213" Type="http://schemas.openxmlformats.org/officeDocument/2006/relationships/hyperlink" Target="https://rarejapanesenfts.com/nft/newsapp/" TargetMode="External"/><Relationship Id="rId334" Type="http://schemas.openxmlformats.org/officeDocument/2006/relationships/hyperlink" Target="https://rarejapanesenfts.com/nft/pepetobi/" TargetMode="External"/><Relationship Id="rId455" Type="http://schemas.openxmlformats.org/officeDocument/2006/relationships/hyperlink" Target="https://rarejapanesenfts.com/nft/fwsdlfaylitc/" TargetMode="External"/><Relationship Id="rId576" Type="http://schemas.openxmlformats.org/officeDocument/2006/relationships/hyperlink" Target="https://rarejapanesenfts.com/nft/bitcornect/" TargetMode="External"/><Relationship Id="rId212" Type="http://schemas.openxmlformats.org/officeDocument/2006/relationships/hyperlink" Target="https://rarejapanesenfts.com/nft/nembaachan/" TargetMode="External"/><Relationship Id="rId333" Type="http://schemas.openxmlformats.org/officeDocument/2006/relationships/hyperlink" Target="https://rarejapanesenfts.com/nft/pepecart/" TargetMode="External"/><Relationship Id="rId454" Type="http://schemas.openxmlformats.org/officeDocument/2006/relationships/hyperlink" Target="https://rarejapanesenfts.com/nft/fwsdlgentlec/" TargetMode="External"/><Relationship Id="rId575" Type="http://schemas.openxmlformats.org/officeDocument/2006/relationships/hyperlink" Target="https://rarejapanesenfts.com/nft/pepereme/" TargetMode="External"/><Relationship Id="rId211" Type="http://schemas.openxmlformats.org/officeDocument/2006/relationships/hyperlink" Target="https://rarejapanesenfts.com/nft/monabaachan/" TargetMode="External"/><Relationship Id="rId332" Type="http://schemas.openxmlformats.org/officeDocument/2006/relationships/hyperlink" Target="https://rarejapanesenfts.com/nft/rarepego/" TargetMode="External"/><Relationship Id="rId453" Type="http://schemas.openxmlformats.org/officeDocument/2006/relationships/hyperlink" Target="https://rarejapanesenfts.com/nft/fwsdlhasturc/" TargetMode="External"/><Relationship Id="rId574" Type="http://schemas.openxmlformats.org/officeDocument/2006/relationships/hyperlink" Target="https://rarejapanesenfts.com/nft/pepecaffe/" TargetMode="External"/><Relationship Id="rId210" Type="http://schemas.openxmlformats.org/officeDocument/2006/relationships/hyperlink" Target="https://rarejapanesenfts.com/nft/islandsaru/" TargetMode="External"/><Relationship Id="rId331" Type="http://schemas.openxmlformats.org/officeDocument/2006/relationships/hyperlink" Target="https://rarejapanesenfts.com/nft/swaropepe/" TargetMode="External"/><Relationship Id="rId452" Type="http://schemas.openxmlformats.org/officeDocument/2006/relationships/hyperlink" Target="https://rarejapanesenfts.com/nft/fwsdllightnc/" TargetMode="External"/><Relationship Id="rId573" Type="http://schemas.openxmlformats.org/officeDocument/2006/relationships/hyperlink" Target="https://rarejapanesenfts.com/nft/lonelypepe/" TargetMode="External"/><Relationship Id="rId370" Type="http://schemas.openxmlformats.org/officeDocument/2006/relationships/hyperlink" Target="https://rarejapanesenfts.com/nft/pepenin/" TargetMode="External"/><Relationship Id="rId491" Type="http://schemas.openxmlformats.org/officeDocument/2006/relationships/hyperlink" Target="https://rarejapanesenfts.com/nft/fwcfcrinkasc/" TargetMode="External"/><Relationship Id="rId490" Type="http://schemas.openxmlformats.org/officeDocument/2006/relationships/hyperlink" Target="https://rarejapanesenfts.com/nft/fwcfcservanc/" TargetMode="External"/><Relationship Id="rId129" Type="http://schemas.openxmlformats.org/officeDocument/2006/relationships/hyperlink" Target="https://rarejapanesenfts.com/nft/sograid/" TargetMode="External"/><Relationship Id="rId128" Type="http://schemas.openxmlformats.org/officeDocument/2006/relationships/hyperlink" Target="https://rarejapanesenfts.com/nft/pumpepe/" TargetMode="External"/><Relationship Id="rId249" Type="http://schemas.openxmlformats.org/officeDocument/2006/relationships/hyperlink" Target="https://rarejapanesenfts.com/nft/peperaccoon/" TargetMode="External"/><Relationship Id="rId127" Type="http://schemas.openxmlformats.org/officeDocument/2006/relationships/hyperlink" Target="https://rarejapanesenfts.com/nft/omatsuri/" TargetMode="External"/><Relationship Id="rId248" Type="http://schemas.openxmlformats.org/officeDocument/2006/relationships/hyperlink" Target="https://rarejapanesenfts.com/nft/pepecamo/" TargetMode="External"/><Relationship Id="rId369" Type="http://schemas.openxmlformats.org/officeDocument/2006/relationships/hyperlink" Target="https://rarejapanesenfts.com/nft/pepehand/" TargetMode="External"/><Relationship Id="rId126" Type="http://schemas.openxmlformats.org/officeDocument/2006/relationships/hyperlink" Target="https://rarejapanesenfts.com/nft/numeraiai/" TargetMode="External"/><Relationship Id="rId247" Type="http://schemas.openxmlformats.org/officeDocument/2006/relationships/hyperlink" Target="https://rarejapanesenfts.com/nft/pepegreen/" TargetMode="External"/><Relationship Id="rId368" Type="http://schemas.openxmlformats.org/officeDocument/2006/relationships/hyperlink" Target="https://rarejapanesenfts.com/nft/pepeevo/" TargetMode="External"/><Relationship Id="rId489" Type="http://schemas.openxmlformats.org/officeDocument/2006/relationships/hyperlink" Target="https://rarejapanesenfts.com/nft/fwcfctheblac/" TargetMode="External"/><Relationship Id="rId121" Type="http://schemas.openxmlformats.org/officeDocument/2006/relationships/hyperlink" Target="https://rarejapanesenfts.com/nft/maidchan/" TargetMode="External"/><Relationship Id="rId242" Type="http://schemas.openxmlformats.org/officeDocument/2006/relationships/hyperlink" Target="https://rarejapanesenfts.com/nft/pepetrek/" TargetMode="External"/><Relationship Id="rId363" Type="http://schemas.openxmlformats.org/officeDocument/2006/relationships/hyperlink" Target="https://rarejapanesenfts.com/nft/pepean/" TargetMode="External"/><Relationship Id="rId484" Type="http://schemas.openxmlformats.org/officeDocument/2006/relationships/hyperlink" Target="https://rarejapanesenfts.com/nft/fwcfcofblacc/" TargetMode="External"/><Relationship Id="rId120" Type="http://schemas.openxmlformats.org/officeDocument/2006/relationships/hyperlink" Target="https://rarejapanesenfts.com/nft/kusacoin/" TargetMode="External"/><Relationship Id="rId241" Type="http://schemas.openxmlformats.org/officeDocument/2006/relationships/hyperlink" Target="https://rarejapanesenfts.com/nft/happyrainy/" TargetMode="External"/><Relationship Id="rId362" Type="http://schemas.openxmlformats.org/officeDocument/2006/relationships/hyperlink" Target="https://rarejapanesenfts.com/nft/pepebass/" TargetMode="External"/><Relationship Id="rId483" Type="http://schemas.openxmlformats.org/officeDocument/2006/relationships/hyperlink" Target="https://rarejapanesenfts.com/nft/fwcfcofblasc/" TargetMode="External"/><Relationship Id="rId240" Type="http://schemas.openxmlformats.org/officeDocument/2006/relationships/hyperlink" Target="https://rarejapanesenfts.com/nft/claypepe/" TargetMode="External"/><Relationship Id="rId361" Type="http://schemas.openxmlformats.org/officeDocument/2006/relationships/hyperlink" Target="https://rarejapanesenfts.com/nft/pepepet/" TargetMode="External"/><Relationship Id="rId482" Type="http://schemas.openxmlformats.org/officeDocument/2006/relationships/hyperlink" Target="https://rarejapanesenfts.com/nft/fwcfcofdarkc/" TargetMode="External"/><Relationship Id="rId360" Type="http://schemas.openxmlformats.org/officeDocument/2006/relationships/hyperlink" Target="https://rarejapanesenfts.com/nft/pepesax/" TargetMode="External"/><Relationship Id="rId481" Type="http://schemas.openxmlformats.org/officeDocument/2006/relationships/hyperlink" Target="https://rarejapanesenfts.com/nft/fwcfcofdeepc/" TargetMode="External"/><Relationship Id="rId125" Type="http://schemas.openxmlformats.org/officeDocument/2006/relationships/hyperlink" Target="https://rarejapanesenfts.com/nft/nemberbecool/" TargetMode="External"/><Relationship Id="rId246" Type="http://schemas.openxmlformats.org/officeDocument/2006/relationships/hyperlink" Target="https://rarejapanesenfts.com/nft/pepejapan/" TargetMode="External"/><Relationship Id="rId367" Type="http://schemas.openxmlformats.org/officeDocument/2006/relationships/hyperlink" Target="https://rarejapanesenfts.com/nft/perochi/" TargetMode="External"/><Relationship Id="rId488" Type="http://schemas.openxmlformats.org/officeDocument/2006/relationships/hyperlink" Target="https://rarejapanesenfts.com/nft/fwcfcthegatc/" TargetMode="External"/><Relationship Id="rId124" Type="http://schemas.openxmlformats.org/officeDocument/2006/relationships/hyperlink" Target="https://rarejapanesenfts.com/nft/mpmegashock/" TargetMode="External"/><Relationship Id="rId245" Type="http://schemas.openxmlformats.org/officeDocument/2006/relationships/hyperlink" Target="https://rarejapanesenfts.com/nft/kojipepe/" TargetMode="External"/><Relationship Id="rId366" Type="http://schemas.openxmlformats.org/officeDocument/2006/relationships/hyperlink" Target="https://rarejapanesenfts.com/nft/pepenal/" TargetMode="External"/><Relationship Id="rId487" Type="http://schemas.openxmlformats.org/officeDocument/2006/relationships/hyperlink" Target="https://rarejapanesenfts.com/nft/fwcfcthenamc/" TargetMode="External"/><Relationship Id="rId123" Type="http://schemas.openxmlformats.org/officeDocument/2006/relationships/hyperlink" Target="https://rarejapanesenfts.com/nft/momejinja/" TargetMode="External"/><Relationship Id="rId244" Type="http://schemas.openxmlformats.org/officeDocument/2006/relationships/hyperlink" Target="https://rarejapanesenfts.com/nft/mandarapepe/" TargetMode="External"/><Relationship Id="rId365" Type="http://schemas.openxmlformats.org/officeDocument/2006/relationships/hyperlink" Target="https://rarejapanesenfts.com/nft/pepejiro/" TargetMode="External"/><Relationship Id="rId486" Type="http://schemas.openxmlformats.org/officeDocument/2006/relationships/hyperlink" Target="https://rarejapanesenfts.com/nft/fwcfcumrattc/" TargetMode="External"/><Relationship Id="rId122" Type="http://schemas.openxmlformats.org/officeDocument/2006/relationships/hyperlink" Target="https://rarejapanesenfts.com/nft/mccomer/" TargetMode="External"/><Relationship Id="rId243" Type="http://schemas.openxmlformats.org/officeDocument/2006/relationships/hyperlink" Target="https://rarejapanesenfts.com/nft/tadpolepepe/" TargetMode="External"/><Relationship Id="rId364" Type="http://schemas.openxmlformats.org/officeDocument/2006/relationships/hyperlink" Target="https://rarejapanesenfts.com/nft/pepeball/" TargetMode="External"/><Relationship Id="rId485" Type="http://schemas.openxmlformats.org/officeDocument/2006/relationships/hyperlink" Target="https://rarejapanesenfts.com/nft/fwcfcurashic/" TargetMode="External"/><Relationship Id="rId95" Type="http://schemas.openxmlformats.org/officeDocument/2006/relationships/hyperlink" Target="https://rarejapanesenfts.com/nft/nharvest/" TargetMode="External"/><Relationship Id="rId94" Type="http://schemas.openxmlformats.org/officeDocument/2006/relationships/hyperlink" Target="https://rarejapanesenfts.com/nft/meigen/" TargetMode="External"/><Relationship Id="rId97" Type="http://schemas.openxmlformats.org/officeDocument/2006/relationships/hyperlink" Target="https://rarejapanesenfts.com/nft/rappleboy/" TargetMode="External"/><Relationship Id="rId96" Type="http://schemas.openxmlformats.org/officeDocument/2006/relationships/hyperlink" Target="https://rarejapanesenfts.com/nft/pepemodoki/" TargetMode="External"/><Relationship Id="rId99" Type="http://schemas.openxmlformats.org/officeDocument/2006/relationships/hyperlink" Target="https://rarejapanesenfts.com/nft/untraceable/" TargetMode="External"/><Relationship Id="rId480" Type="http://schemas.openxmlformats.org/officeDocument/2006/relationships/hyperlink" Target="https://rarejapanesenfts.com/nft/fwcfcofgustc/" TargetMode="External"/><Relationship Id="rId98" Type="http://schemas.openxmlformats.org/officeDocument/2006/relationships/hyperlink" Target="https://rarejapanesenfts.com/nft/smartdubai/" TargetMode="External"/><Relationship Id="rId91" Type="http://schemas.openxmlformats.org/officeDocument/2006/relationships/hyperlink" Target="https://rarejapanesenfts.com/nft/hogehoge/" TargetMode="External"/><Relationship Id="rId90" Type="http://schemas.openxmlformats.org/officeDocument/2006/relationships/hyperlink" Target="https://rarejapanesenfts.com/nft/scamcoinshop/" TargetMode="External"/><Relationship Id="rId93" Type="http://schemas.openxmlformats.org/officeDocument/2006/relationships/hyperlink" Target="https://rarejapanesenfts.com/nft/kingofcc/" TargetMode="External"/><Relationship Id="rId92" Type="http://schemas.openxmlformats.org/officeDocument/2006/relationships/hyperlink" Target="https://rarejapanesenfts.com/nft/inago/" TargetMode="External"/><Relationship Id="rId118" Type="http://schemas.openxmlformats.org/officeDocument/2006/relationships/hyperlink" Target="https://rarejapanesenfts.com/nft/hige/" TargetMode="External"/><Relationship Id="rId239" Type="http://schemas.openxmlformats.org/officeDocument/2006/relationships/hyperlink" Target="https://rarejapanesenfts.com/nft/kappapepe/" TargetMode="External"/><Relationship Id="rId117" Type="http://schemas.openxmlformats.org/officeDocument/2006/relationships/hyperlink" Target="https://rarejapanesenfts.com/nft/halving/" TargetMode="External"/><Relationship Id="rId238" Type="http://schemas.openxmlformats.org/officeDocument/2006/relationships/hyperlink" Target="https://rarejapanesenfts.com/nft/peperoncino/" TargetMode="External"/><Relationship Id="rId359" Type="http://schemas.openxmlformats.org/officeDocument/2006/relationships/hyperlink" Target="https://rarejapanesenfts.com/nft/pepedol/" TargetMode="External"/><Relationship Id="rId116" Type="http://schemas.openxmlformats.org/officeDocument/2006/relationships/hyperlink" Target="https://rarejapanesenfts.com/nft/gara/" TargetMode="External"/><Relationship Id="rId237" Type="http://schemas.openxmlformats.org/officeDocument/2006/relationships/hyperlink" Target="https://rarejapanesenfts.com/nft/nohpepe/" TargetMode="External"/><Relationship Id="rId358" Type="http://schemas.openxmlformats.org/officeDocument/2006/relationships/hyperlink" Target="https://rarejapanesenfts.com/nft/senjupepe/" TargetMode="External"/><Relationship Id="rId479" Type="http://schemas.openxmlformats.org/officeDocument/2006/relationships/hyperlink" Target="https://rarejapanesenfts.com/nft/fwcfcofhearc/" TargetMode="External"/><Relationship Id="rId115" Type="http://schemas.openxmlformats.org/officeDocument/2006/relationships/hyperlink" Target="https://rarejapanesenfts.com/nft/mcseven/" TargetMode="External"/><Relationship Id="rId236" Type="http://schemas.openxmlformats.org/officeDocument/2006/relationships/hyperlink" Target="https://rarejapanesenfts.com/nft/haikupepe/" TargetMode="External"/><Relationship Id="rId357" Type="http://schemas.openxmlformats.org/officeDocument/2006/relationships/hyperlink" Target="https://rarejapanesenfts.com/nft/pepesummer/" TargetMode="External"/><Relationship Id="rId478" Type="http://schemas.openxmlformats.org/officeDocument/2006/relationships/hyperlink" Target="https://rarejapanesenfts.com/nft/fwcfcofheatc/" TargetMode="External"/><Relationship Id="rId599" Type="http://schemas.openxmlformats.org/officeDocument/2006/relationships/hyperlink" Target="https://rarejapanesenfts.com/nft/endracismpe/" TargetMode="External"/><Relationship Id="rId119" Type="http://schemas.openxmlformats.org/officeDocument/2006/relationships/hyperlink" Target="https://rarejapanesenfts.com/nft/kakugalee/" TargetMode="External"/><Relationship Id="rId110" Type="http://schemas.openxmlformats.org/officeDocument/2006/relationships/hyperlink" Target="https://rarejapanesenfts.com/nft/bunretsu/" TargetMode="External"/><Relationship Id="rId231" Type="http://schemas.openxmlformats.org/officeDocument/2006/relationships/hyperlink" Target="https://rarejapanesenfts.com/nft/ripule/" TargetMode="External"/><Relationship Id="rId352" Type="http://schemas.openxmlformats.org/officeDocument/2006/relationships/hyperlink" Target="https://rarejapanesenfts.com/nft/miyako/" TargetMode="External"/><Relationship Id="rId473" Type="http://schemas.openxmlformats.org/officeDocument/2006/relationships/hyperlink" Target="https://rarejapanesenfts.com/nft/fwcfcfiremac/" TargetMode="External"/><Relationship Id="rId594" Type="http://schemas.openxmlformats.org/officeDocument/2006/relationships/hyperlink" Target="https://rarejapanesenfts.com/nft/batcorn/" TargetMode="External"/><Relationship Id="rId230" Type="http://schemas.openxmlformats.org/officeDocument/2006/relationships/hyperlink" Target="https://rarejapanesenfts.com/nft/penpencomsa/" TargetMode="External"/><Relationship Id="rId351" Type="http://schemas.openxmlformats.org/officeDocument/2006/relationships/hyperlink" Target="https://rarejapanesenfts.com/nft/engelpepe/" TargetMode="External"/><Relationship Id="rId472" Type="http://schemas.openxmlformats.org/officeDocument/2006/relationships/hyperlink" Target="https://rarejapanesenfts.com/nft/fwcfclightmc/" TargetMode="External"/><Relationship Id="rId593" Type="http://schemas.openxmlformats.org/officeDocument/2006/relationships/hyperlink" Target="https://rarejapanesenfts.com/nft/cornroom/" TargetMode="External"/><Relationship Id="rId350" Type="http://schemas.openxmlformats.org/officeDocument/2006/relationships/hyperlink" Target="https://rarejapanesenfts.com/nft/kyudopepe/" TargetMode="External"/><Relationship Id="rId471" Type="http://schemas.openxmlformats.org/officeDocument/2006/relationships/hyperlink" Target="https://rarejapanesenfts.com/nft/fwcfcwatermc/" TargetMode="External"/><Relationship Id="rId592" Type="http://schemas.openxmlformats.org/officeDocument/2006/relationships/hyperlink" Target="https://rarejapanesenfts.com/nft/nobordercorn/" TargetMode="External"/><Relationship Id="rId470" Type="http://schemas.openxmlformats.org/officeDocument/2006/relationships/hyperlink" Target="https://rarejapanesenfts.com/nft/fwcfcwindmac/" TargetMode="External"/><Relationship Id="rId591" Type="http://schemas.openxmlformats.org/officeDocument/2006/relationships/hyperlink" Target="https://rarejapanesenfts.com/nft/penpenpopcor/" TargetMode="External"/><Relationship Id="rId114" Type="http://schemas.openxmlformats.org/officeDocument/2006/relationships/hyperlink" Target="https://rarejapanesenfts.com/nft/ficob/" TargetMode="External"/><Relationship Id="rId235" Type="http://schemas.openxmlformats.org/officeDocument/2006/relationships/hyperlink" Target="https://rarejapanesenfts.com/nft/kabukipepe/" TargetMode="External"/><Relationship Id="rId356" Type="http://schemas.openxmlformats.org/officeDocument/2006/relationships/hyperlink" Target="https://rarejapanesenfts.com/nft/pepefuyu/" TargetMode="External"/><Relationship Id="rId477" Type="http://schemas.openxmlformats.org/officeDocument/2006/relationships/hyperlink" Target="https://rarejapanesenfts.com/nft/fwcfcofheavc/" TargetMode="External"/><Relationship Id="rId598" Type="http://schemas.openxmlformats.org/officeDocument/2006/relationships/hyperlink" Target="https://rarejapanesenfts.com/nft/cornsquiggle/" TargetMode="External"/><Relationship Id="rId113" Type="http://schemas.openxmlformats.org/officeDocument/2006/relationships/hyperlink" Target="https://rarejapanesenfts.com/nft/ficoa/" TargetMode="External"/><Relationship Id="rId234" Type="http://schemas.openxmlformats.org/officeDocument/2006/relationships/hyperlink" Target="https://rarejapanesenfts.com/nft/whoissatoshi/" TargetMode="External"/><Relationship Id="rId355" Type="http://schemas.openxmlformats.org/officeDocument/2006/relationships/hyperlink" Target="https://rarejapanesenfts.com/nft/pepeaki/" TargetMode="External"/><Relationship Id="rId476" Type="http://schemas.openxmlformats.org/officeDocument/2006/relationships/hyperlink" Target="https://rarejapanesenfts.com/nft/fwcfcoflighc/" TargetMode="External"/><Relationship Id="rId597" Type="http://schemas.openxmlformats.org/officeDocument/2006/relationships/hyperlink" Target="https://rarejapanesenfts.com/nft/cornflag/" TargetMode="External"/><Relationship Id="rId112" Type="http://schemas.openxmlformats.org/officeDocument/2006/relationships/hyperlink" Target="https://rarejapanesenfts.com/nft/estopia/" TargetMode="External"/><Relationship Id="rId233" Type="http://schemas.openxmlformats.org/officeDocument/2006/relationships/hyperlink" Target="https://rarejapanesenfts.com/nft/thetebasaki/" TargetMode="External"/><Relationship Id="rId354" Type="http://schemas.openxmlformats.org/officeDocument/2006/relationships/hyperlink" Target="https://rarejapanesenfts.com/nft/pepeharu/" TargetMode="External"/><Relationship Id="rId475" Type="http://schemas.openxmlformats.org/officeDocument/2006/relationships/hyperlink" Target="https://rarejapanesenfts.com/nft/fwcfcofscorc/" TargetMode="External"/><Relationship Id="rId596" Type="http://schemas.openxmlformats.org/officeDocument/2006/relationships/hyperlink" Target="https://rarejapanesenfts.com/nft/cornteeth/" TargetMode="External"/><Relationship Id="rId111" Type="http://schemas.openxmlformats.org/officeDocument/2006/relationships/hyperlink" Target="https://rarejapanesenfts.com/nft/ccmc/" TargetMode="External"/><Relationship Id="rId232" Type="http://schemas.openxmlformats.org/officeDocument/2006/relationships/hyperlink" Target="https://rarejapanesenfts.com/nft/surfwaves/" TargetMode="External"/><Relationship Id="rId353" Type="http://schemas.openxmlformats.org/officeDocument/2006/relationships/hyperlink" Target="https://rarejapanesenfts.com/nft/sanpopepe/" TargetMode="External"/><Relationship Id="rId474" Type="http://schemas.openxmlformats.org/officeDocument/2006/relationships/hyperlink" Target="https://rarejapanesenfts.com/nft/fwcfcdarknec/" TargetMode="External"/><Relationship Id="rId595" Type="http://schemas.openxmlformats.org/officeDocument/2006/relationships/hyperlink" Target="https://rarejapanesenfts.com/nft/lilycorn/" TargetMode="External"/><Relationship Id="rId305" Type="http://schemas.openxmlformats.org/officeDocument/2006/relationships/hyperlink" Target="https://rarejapanesenfts.com/nft/chikarinvix/" TargetMode="External"/><Relationship Id="rId426" Type="http://schemas.openxmlformats.org/officeDocument/2006/relationships/hyperlink" Target="https://rarejapanesenfts.com/nft/fwsdltorrenc/" TargetMode="External"/><Relationship Id="rId547" Type="http://schemas.openxmlformats.org/officeDocument/2006/relationships/hyperlink" Target="https://rarejapanesenfts.com/nft/fwcfcfierycc/" TargetMode="External"/><Relationship Id="rId304" Type="http://schemas.openxmlformats.org/officeDocument/2006/relationships/hyperlink" Target="https://rarejapanesenfts.com/nft/mizukivix/" TargetMode="External"/><Relationship Id="rId425" Type="http://schemas.openxmlformats.org/officeDocument/2006/relationships/hyperlink" Target="https://rarejapanesenfts.com/nft/fwsdltwofolc/" TargetMode="External"/><Relationship Id="rId546" Type="http://schemas.openxmlformats.org/officeDocument/2006/relationships/hyperlink" Target="https://rarejapanesenfts.com/nft/fwcfcflamedc/" TargetMode="External"/><Relationship Id="rId303" Type="http://schemas.openxmlformats.org/officeDocument/2006/relationships/hyperlink" Target="https://rarejapanesenfts.com/nft/sirahosivix/" TargetMode="External"/><Relationship Id="rId424" Type="http://schemas.openxmlformats.org/officeDocument/2006/relationships/hyperlink" Target="https://rarejapanesenfts.com/nft/fwsdlvampirc/" TargetMode="External"/><Relationship Id="rId545" Type="http://schemas.openxmlformats.org/officeDocument/2006/relationships/hyperlink" Target="https://rarejapanesenfts.com/nft/fwcfcintrosc/" TargetMode="External"/><Relationship Id="rId302" Type="http://schemas.openxmlformats.org/officeDocument/2006/relationships/hyperlink" Target="https://rarejapanesenfts.com/nft/djasanyanvix/" TargetMode="External"/><Relationship Id="rId423" Type="http://schemas.openxmlformats.org/officeDocument/2006/relationships/hyperlink" Target="https://rarejapanesenfts.com/nft/fwsdlwhispec/" TargetMode="External"/><Relationship Id="rId544" Type="http://schemas.openxmlformats.org/officeDocument/2006/relationships/hyperlink" Target="https://rarejapanesenfts.com/nft/fwcfcinvitac/" TargetMode="External"/><Relationship Id="rId309" Type="http://schemas.openxmlformats.org/officeDocument/2006/relationships/hyperlink" Target="https://rarejapanesenfts.com/nft/pepekyrie/" TargetMode="External"/><Relationship Id="rId308" Type="http://schemas.openxmlformats.org/officeDocument/2006/relationships/hyperlink" Target="https://rarejapanesenfts.com/nft/bulbapepecrd/" TargetMode="External"/><Relationship Id="rId429" Type="http://schemas.openxmlformats.org/officeDocument/2006/relationships/hyperlink" Target="https://rarejapanesenfts.com/nft/fwsdlsacredc/" TargetMode="External"/><Relationship Id="rId307" Type="http://schemas.openxmlformats.org/officeDocument/2006/relationships/hyperlink" Target="https://rarejapanesenfts.com/nft/tsukasavix/" TargetMode="External"/><Relationship Id="rId428" Type="http://schemas.openxmlformats.org/officeDocument/2006/relationships/hyperlink" Target="https://rarejapanesenfts.com/nft/fwsdlspiwinc/" TargetMode="External"/><Relationship Id="rId549" Type="http://schemas.openxmlformats.org/officeDocument/2006/relationships/hyperlink" Target="https://rarejapanesenfts.com/nft/fwcfcdragonc/" TargetMode="External"/><Relationship Id="rId306" Type="http://schemas.openxmlformats.org/officeDocument/2006/relationships/hyperlink" Target="https://rarejapanesenfts.com/nft/sanomayavix/" TargetMode="External"/><Relationship Id="rId427" Type="http://schemas.openxmlformats.org/officeDocument/2006/relationships/hyperlink" Target="https://rarejapanesenfts.com/nft/fwsdltamafac/" TargetMode="External"/><Relationship Id="rId548" Type="http://schemas.openxmlformats.org/officeDocument/2006/relationships/hyperlink" Target="https://rarejapanesenfts.com/nft/fwcfcfairytc/" TargetMode="External"/><Relationship Id="rId301" Type="http://schemas.openxmlformats.org/officeDocument/2006/relationships/hyperlink" Target="https://rarejapanesenfts.com/nft/rurubg/" TargetMode="External"/><Relationship Id="rId422" Type="http://schemas.openxmlformats.org/officeDocument/2006/relationships/hyperlink" Target="https://rarejapanesenfts.com/nft/fwsdlwindmac/" TargetMode="External"/><Relationship Id="rId543" Type="http://schemas.openxmlformats.org/officeDocument/2006/relationships/hyperlink" Target="https://rarejapanesenfts.com/nft/fwcfcmarsfoc/" TargetMode="External"/><Relationship Id="rId300" Type="http://schemas.openxmlformats.org/officeDocument/2006/relationships/hyperlink" Target="https://rarejapanesenfts.com/nft/hinanomaibg/" TargetMode="External"/><Relationship Id="rId421" Type="http://schemas.openxmlformats.org/officeDocument/2006/relationships/hyperlink" Target="https://rarejapanesenfts.com/nft/fwsdlallyofc/" TargetMode="External"/><Relationship Id="rId542" Type="http://schemas.openxmlformats.org/officeDocument/2006/relationships/hyperlink" Target="https://rarejapanesenfts.com/nft/fwcfcsacredc/" TargetMode="External"/><Relationship Id="rId420" Type="http://schemas.openxmlformats.org/officeDocument/2006/relationships/hyperlink" Target="https://rarejapanesenfts.com/nft/fwsdlbloodoc/" TargetMode="External"/><Relationship Id="rId541" Type="http://schemas.openxmlformats.org/officeDocument/2006/relationships/hyperlink" Target="https://rarejapanesenfts.com/nft/fwcfcspiritc/" TargetMode="External"/><Relationship Id="rId540" Type="http://schemas.openxmlformats.org/officeDocument/2006/relationships/hyperlink" Target="https://rarejapanesenfts.com/nft/fwcfcstalkic/" TargetMode="External"/><Relationship Id="rId415" Type="http://schemas.openxmlformats.org/officeDocument/2006/relationships/hyperlink" Target="https://rarejapanesenfts.com/nft/fwsdlonistrc/" TargetMode="External"/><Relationship Id="rId536" Type="http://schemas.openxmlformats.org/officeDocument/2006/relationships/hyperlink" Target="https://rarejapanesenfts.com/nft/fwcfctinyrec/" TargetMode="External"/><Relationship Id="rId414" Type="http://schemas.openxmlformats.org/officeDocument/2006/relationships/hyperlink" Target="https://rarejapanesenfts.com/nft/fwsdlpowerac/" TargetMode="External"/><Relationship Id="rId535" Type="http://schemas.openxmlformats.org/officeDocument/2006/relationships/hyperlink" Target="https://rarejapanesenfts.com/nft/fwcfcalteanc/" TargetMode="External"/><Relationship Id="rId413" Type="http://schemas.openxmlformats.org/officeDocument/2006/relationships/hyperlink" Target="https://rarejapanesenfts.com/nft/fwsdlsharatc/" TargetMode="External"/><Relationship Id="rId534" Type="http://schemas.openxmlformats.org/officeDocument/2006/relationships/hyperlink" Target="https://rarejapanesenfts.com/nft/fwcfcancautc/" TargetMode="External"/><Relationship Id="rId412" Type="http://schemas.openxmlformats.org/officeDocument/2006/relationships/hyperlink" Target="https://rarejapanesenfts.com/nft/fwsdlthedruc/" TargetMode="External"/><Relationship Id="rId533" Type="http://schemas.openxmlformats.org/officeDocument/2006/relationships/hyperlink" Target="https://rarejapanesenfts.com/nft/fwcfccaptaic/" TargetMode="External"/><Relationship Id="rId419" Type="http://schemas.openxmlformats.org/officeDocument/2006/relationships/hyperlink" Target="https://rarejapanesenfts.com/nft/fwsdlcastlec/" TargetMode="External"/><Relationship Id="rId418" Type="http://schemas.openxmlformats.org/officeDocument/2006/relationships/hyperlink" Target="https://rarejapanesenfts.com/nft/fwsdlfaithfc/" TargetMode="External"/><Relationship Id="rId539" Type="http://schemas.openxmlformats.org/officeDocument/2006/relationships/hyperlink" Target="https://rarejapanesenfts.com/nft/fwcfctheoxkc/" TargetMode="External"/><Relationship Id="rId417" Type="http://schemas.openxmlformats.org/officeDocument/2006/relationships/hyperlink" Target="https://rarejapanesenfts.com/nft/fwsdlheavenc/" TargetMode="External"/><Relationship Id="rId538" Type="http://schemas.openxmlformats.org/officeDocument/2006/relationships/hyperlink" Target="https://rarejapanesenfts.com/nft/fwcfctigercc/" TargetMode="External"/><Relationship Id="rId416" Type="http://schemas.openxmlformats.org/officeDocument/2006/relationships/hyperlink" Target="https://rarejapanesenfts.com/nft/fwsdlmomotac/" TargetMode="External"/><Relationship Id="rId537" Type="http://schemas.openxmlformats.org/officeDocument/2006/relationships/hyperlink" Target="https://rarejapanesenfts.com/nft/fwcfctigerlc/" TargetMode="External"/><Relationship Id="rId411" Type="http://schemas.openxmlformats.org/officeDocument/2006/relationships/hyperlink" Target="https://rarejapanesenfts.com/nft/fwsdlthemonc/" TargetMode="External"/><Relationship Id="rId532" Type="http://schemas.openxmlformats.org/officeDocument/2006/relationships/hyperlink" Target="https://rarejapanesenfts.com/nft/fwcfccharloc/" TargetMode="External"/><Relationship Id="rId410" Type="http://schemas.openxmlformats.org/officeDocument/2006/relationships/hyperlink" Target="https://rarejapanesenfts.com/nft/fwsdldarknec/" TargetMode="External"/><Relationship Id="rId531" Type="http://schemas.openxmlformats.org/officeDocument/2006/relationships/hyperlink" Target="https://rarejapanesenfts.com/nft/fwcfcchaproc/" TargetMode="External"/><Relationship Id="rId530" Type="http://schemas.openxmlformats.org/officeDocument/2006/relationships/hyperlink" Target="https://rarejapanesenfts.com/nft/fwcfcchawatc/" TargetMode="External"/><Relationship Id="rId206" Type="http://schemas.openxmlformats.org/officeDocument/2006/relationships/hyperlink" Target="https://rarejapanesenfts.com/nft/gnosiswoman/" TargetMode="External"/><Relationship Id="rId327" Type="http://schemas.openxmlformats.org/officeDocument/2006/relationships/hyperlink" Target="https://rarejapanesenfts.com/nft/thispepe/" TargetMode="External"/><Relationship Id="rId448" Type="http://schemas.openxmlformats.org/officeDocument/2006/relationships/hyperlink" Target="https://rarejapanesenfts.com/nft/fwsdlnightmc/" TargetMode="External"/><Relationship Id="rId569" Type="http://schemas.openxmlformats.org/officeDocument/2006/relationships/hyperlink" Target="https://rarejapanesenfts.com/nft/fwcfcdreamic/" TargetMode="External"/><Relationship Id="rId205" Type="http://schemas.openxmlformats.org/officeDocument/2006/relationships/hyperlink" Target="https://rarejapanesenfts.com/nft/forecasting/" TargetMode="External"/><Relationship Id="rId326" Type="http://schemas.openxmlformats.org/officeDocument/2006/relationships/hyperlink" Target="https://rarejapanesenfts.com/nft/pepez/" TargetMode="External"/><Relationship Id="rId447" Type="http://schemas.openxmlformats.org/officeDocument/2006/relationships/hyperlink" Target="https://rarejapanesenfts.com/nft/fwsdlrlyehwc/" TargetMode="External"/><Relationship Id="rId568" Type="http://schemas.openxmlformats.org/officeDocument/2006/relationships/hyperlink" Target="https://rarejapanesenfts.com/nft/fwcfcdreamsc/" TargetMode="External"/><Relationship Id="rId204" Type="http://schemas.openxmlformats.org/officeDocument/2006/relationships/hyperlink" Target="https://rarejapanesenfts.com/nft/ehardfork/" TargetMode="External"/><Relationship Id="rId325" Type="http://schemas.openxmlformats.org/officeDocument/2006/relationships/hyperlink" Target="https://rarejapanesenfts.com/nft/pepeform/" TargetMode="External"/><Relationship Id="rId446" Type="http://schemas.openxmlformats.org/officeDocument/2006/relationships/hyperlink" Target="https://rarejapanesenfts.com/nft/fwsdlfiremac/" TargetMode="External"/><Relationship Id="rId567" Type="http://schemas.openxmlformats.org/officeDocument/2006/relationships/hyperlink" Target="https://rarejapanesenfts.com/nft/fwcfcescapec/" TargetMode="External"/><Relationship Id="rId203" Type="http://schemas.openxmlformats.org/officeDocument/2006/relationships/hyperlink" Target="https://rarejapanesenfts.com/nft/darkcoingirl/" TargetMode="External"/><Relationship Id="rId324" Type="http://schemas.openxmlformats.org/officeDocument/2006/relationships/hyperlink" Target="https://rarejapanesenfts.com/nft/kumadoripepe/" TargetMode="External"/><Relationship Id="rId445" Type="http://schemas.openxmlformats.org/officeDocument/2006/relationships/hyperlink" Target="https://rarejapanesenfts.com/nft/fwsdlancienc/" TargetMode="External"/><Relationship Id="rId566" Type="http://schemas.openxmlformats.org/officeDocument/2006/relationships/hyperlink" Target="https://rarejapanesenfts.com/nft/fwcfceternac/" TargetMode="External"/><Relationship Id="rId209" Type="http://schemas.openxmlformats.org/officeDocument/2006/relationships/hyperlink" Target="https://rarejapanesenfts.com/nft/ininchan/" TargetMode="External"/><Relationship Id="rId208" Type="http://schemas.openxmlformats.org/officeDocument/2006/relationships/hyperlink" Target="https://rarejapanesenfts.com/nft/idolripplea/" TargetMode="External"/><Relationship Id="rId329" Type="http://schemas.openxmlformats.org/officeDocument/2006/relationships/hyperlink" Target="https://rarejapanesenfts.com/nft/pepekaparker/" TargetMode="External"/><Relationship Id="rId207" Type="http://schemas.openxmlformats.org/officeDocument/2006/relationships/hyperlink" Target="https://rarejapanesenfts.com/nft/gohatto/" TargetMode="External"/><Relationship Id="rId328" Type="http://schemas.openxmlformats.org/officeDocument/2006/relationships/hyperlink" Target="https://rarejapanesenfts.com/nft/kigurumipepe/" TargetMode="External"/><Relationship Id="rId449" Type="http://schemas.openxmlformats.org/officeDocument/2006/relationships/hyperlink" Target="https://rarejapanesenfts.com/nft/fwsdlniggurc/" TargetMode="External"/><Relationship Id="rId440" Type="http://schemas.openxmlformats.org/officeDocument/2006/relationships/hyperlink" Target="https://rarejapanesenfts.com/nft/fwsdlmalefic/" TargetMode="External"/><Relationship Id="rId561" Type="http://schemas.openxmlformats.org/officeDocument/2006/relationships/hyperlink" Target="https://rarejapanesenfts.com/nft/fwcfcpandorc/" TargetMode="External"/><Relationship Id="rId560" Type="http://schemas.openxmlformats.org/officeDocument/2006/relationships/hyperlink" Target="https://rarejapanesenfts.com/nft/fwcfcpanmarc/" TargetMode="External"/><Relationship Id="rId202" Type="http://schemas.openxmlformats.org/officeDocument/2006/relationships/hyperlink" Target="https://rarejapanesenfts.com/nft/codeislaw/" TargetMode="External"/><Relationship Id="rId323" Type="http://schemas.openxmlformats.org/officeDocument/2006/relationships/hyperlink" Target="https://rarejapanesenfts.com/nft/pepefractal/" TargetMode="External"/><Relationship Id="rId444" Type="http://schemas.openxmlformats.org/officeDocument/2006/relationships/hyperlink" Target="https://rarejapanesenfts.com/nft/fwsdlancknoc/" TargetMode="External"/><Relationship Id="rId565" Type="http://schemas.openxmlformats.org/officeDocument/2006/relationships/hyperlink" Target="https://rarejapanesenfts.com/nft/fwcfcfairyoc/" TargetMode="External"/><Relationship Id="rId201" Type="http://schemas.openxmlformats.org/officeDocument/2006/relationships/hyperlink" Target="https://rarejapanesenfts.com/nft/civiccard/" TargetMode="External"/><Relationship Id="rId322" Type="http://schemas.openxmlformats.org/officeDocument/2006/relationships/hyperlink" Target="https://rarejapanesenfts.com/nft/uzumakipepe/" TargetMode="External"/><Relationship Id="rId443" Type="http://schemas.openxmlformats.org/officeDocument/2006/relationships/hyperlink" Target="https://rarejapanesenfts.com/nft/fwsdlastaroc/" TargetMode="External"/><Relationship Id="rId564" Type="http://schemas.openxmlformats.org/officeDocument/2006/relationships/hyperlink" Target="https://rarejapanesenfts.com/nft/fwcfcglothec/" TargetMode="External"/><Relationship Id="rId200" Type="http://schemas.openxmlformats.org/officeDocument/2006/relationships/hyperlink" Target="https://rarejapanesenfts.com/nft/ccloversnem/" TargetMode="External"/><Relationship Id="rId321" Type="http://schemas.openxmlformats.org/officeDocument/2006/relationships/hyperlink" Target="https://rarejapanesenfts.com/nft/spepectre/" TargetMode="External"/><Relationship Id="rId442" Type="http://schemas.openxmlformats.org/officeDocument/2006/relationships/hyperlink" Target="https://rarejapanesenfts.com/nft/fwsdlicedrac/" TargetMode="External"/><Relationship Id="rId563" Type="http://schemas.openxmlformats.org/officeDocument/2006/relationships/hyperlink" Target="https://rarejapanesenfts.com/nft/fwcfcglosumc/" TargetMode="External"/><Relationship Id="rId320" Type="http://schemas.openxmlformats.org/officeDocument/2006/relationships/hyperlink" Target="https://rarejapanesenfts.com/nft/pepegirl/" TargetMode="External"/><Relationship Id="rId441" Type="http://schemas.openxmlformats.org/officeDocument/2006/relationships/hyperlink" Target="https://rarejapanesenfts.com/nft/fwsdlkeeperc/" TargetMode="External"/><Relationship Id="rId562" Type="http://schemas.openxmlformats.org/officeDocument/2006/relationships/hyperlink" Target="https://rarejapanesenfts.com/nft/fwcfcneverlc/" TargetMode="External"/><Relationship Id="rId316" Type="http://schemas.openxmlformats.org/officeDocument/2006/relationships/hyperlink" Target="https://rarejapanesenfts.com/nft/dokuganpepe/" TargetMode="External"/><Relationship Id="rId437" Type="http://schemas.openxmlformats.org/officeDocument/2006/relationships/hyperlink" Target="https://rarejapanesenfts.com/nft/fwsdlmessenc/" TargetMode="External"/><Relationship Id="rId558" Type="http://schemas.openxmlformats.org/officeDocument/2006/relationships/hyperlink" Target="https://rarejapanesenfts.com/nft/fwcfcretellc/" TargetMode="External"/><Relationship Id="rId315" Type="http://schemas.openxmlformats.org/officeDocument/2006/relationships/hyperlink" Target="https://rarejapanesenfts.com/nft/servalpepe/" TargetMode="External"/><Relationship Id="rId436" Type="http://schemas.openxmlformats.org/officeDocument/2006/relationships/hyperlink" Target="https://rarejapanesenfts.com/nft/fwsdlservanc/" TargetMode="External"/><Relationship Id="rId557" Type="http://schemas.openxmlformats.org/officeDocument/2006/relationships/hyperlink" Target="https://rarejapanesenfts.com/nft/fwcfcsafeguc/" TargetMode="External"/><Relationship Id="rId314" Type="http://schemas.openxmlformats.org/officeDocument/2006/relationships/hyperlink" Target="https://rarejapanesenfts.com/nft/philanthrope/" TargetMode="External"/><Relationship Id="rId435" Type="http://schemas.openxmlformats.org/officeDocument/2006/relationships/hyperlink" Target="https://rarejapanesenfts.com/nft/fwsdlspiritc/" TargetMode="External"/><Relationship Id="rId556" Type="http://schemas.openxmlformats.org/officeDocument/2006/relationships/hyperlink" Target="https://rarejapanesenfts.com/nft/fwcfcstorytc/" TargetMode="External"/><Relationship Id="rId313" Type="http://schemas.openxmlformats.org/officeDocument/2006/relationships/hyperlink" Target="https://rarejapanesenfts.com/nft/pepelyn/" TargetMode="External"/><Relationship Id="rId434" Type="http://schemas.openxmlformats.org/officeDocument/2006/relationships/hyperlink" Target="https://rarejapanesenfts.com/nft/fwsdlwatermc/" TargetMode="External"/><Relationship Id="rId555" Type="http://schemas.openxmlformats.org/officeDocument/2006/relationships/hyperlink" Target="https://rarejapanesenfts.com/nft/fwcfczerosic/" TargetMode="External"/><Relationship Id="rId319" Type="http://schemas.openxmlformats.org/officeDocument/2006/relationships/hyperlink" Target="https://rarejapanesenfts.com/nft/pepeprakek/" TargetMode="External"/><Relationship Id="rId318" Type="http://schemas.openxmlformats.org/officeDocument/2006/relationships/hyperlink" Target="https://rarejapanesenfts.com/nft/ftertherain/" TargetMode="External"/><Relationship Id="rId439" Type="http://schemas.openxmlformats.org/officeDocument/2006/relationships/hyperlink" Target="https://rarejapanesenfts.com/nft/fwsdlmercurc/" TargetMode="External"/><Relationship Id="rId317" Type="http://schemas.openxmlformats.org/officeDocument/2006/relationships/hyperlink" Target="https://rarejapanesenfts.com/nft/icaruspepe/" TargetMode="External"/><Relationship Id="rId438" Type="http://schemas.openxmlformats.org/officeDocument/2006/relationships/hyperlink" Target="https://rarejapanesenfts.com/nft/fwsdlmericyc/" TargetMode="External"/><Relationship Id="rId559" Type="http://schemas.openxmlformats.org/officeDocument/2006/relationships/hyperlink" Target="https://rarejapanesenfts.com/nft/fwcfcpumpkic/" TargetMode="External"/><Relationship Id="rId550" Type="http://schemas.openxmlformats.org/officeDocument/2006/relationships/hyperlink" Target="https://rarejapanesenfts.com/nft/fwcfcdemonoc/" TargetMode="External"/><Relationship Id="rId312" Type="http://schemas.openxmlformats.org/officeDocument/2006/relationships/hyperlink" Target="https://rarejapanesenfts.com/nft/pplnmdntny/" TargetMode="External"/><Relationship Id="rId433" Type="http://schemas.openxmlformats.org/officeDocument/2006/relationships/hyperlink" Target="https://rarejapanesenfts.com/nft/fwsdlariafrc/" TargetMode="External"/><Relationship Id="rId554" Type="http://schemas.openxmlformats.org/officeDocument/2006/relationships/hyperlink" Target="https://rarejapanesenfts.com/nft/fwcfczerosfc/" TargetMode="External"/><Relationship Id="rId311" Type="http://schemas.openxmlformats.org/officeDocument/2006/relationships/hyperlink" Target="https://rarejapanesenfts.com/nft/pepetitan/" TargetMode="External"/><Relationship Id="rId432" Type="http://schemas.openxmlformats.org/officeDocument/2006/relationships/hyperlink" Target="https://rarejapanesenfts.com/nft/fwsdlfiethsc/" TargetMode="External"/><Relationship Id="rId553" Type="http://schemas.openxmlformats.org/officeDocument/2006/relationships/hyperlink" Target="https://rarejapanesenfts.com/nft/fwcfczerosmc/" TargetMode="External"/><Relationship Id="rId310" Type="http://schemas.openxmlformats.org/officeDocument/2006/relationships/hyperlink" Target="https://rarejapanesenfts.com/nft/pepedzilla/" TargetMode="External"/><Relationship Id="rId431" Type="http://schemas.openxmlformats.org/officeDocument/2006/relationships/hyperlink" Target="https://rarejapanesenfts.com/nft/fwsdlgreathc/" TargetMode="External"/><Relationship Id="rId552" Type="http://schemas.openxmlformats.org/officeDocument/2006/relationships/hyperlink" Target="https://rarejapanesenfts.com/nft/fwcfcancienc/" TargetMode="External"/><Relationship Id="rId430" Type="http://schemas.openxmlformats.org/officeDocument/2006/relationships/hyperlink" Target="https://rarejapanesenfts.com/nft/fwsdlhomeofc/" TargetMode="External"/><Relationship Id="rId551" Type="http://schemas.openxmlformats.org/officeDocument/2006/relationships/hyperlink" Target="https://rarejapanesenfts.com/nft/fwcfccombatc/"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witter.com/nemkd12" TargetMode="External"/><Relationship Id="rId2" Type="http://schemas.openxmlformats.org/officeDocument/2006/relationships/hyperlink" Target="https://mobile.twitter.com/aria_minase" TargetMode="External"/><Relationship Id="rId3" Type="http://schemas.openxmlformats.org/officeDocument/2006/relationships/hyperlink" Target="https://twitter.com/masia02"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rarejapanesenfts.com/nft/theyoubun/" TargetMode="External"/><Relationship Id="rId194" Type="http://schemas.openxmlformats.org/officeDocument/2006/relationships/hyperlink" Target="https://rarejapanesenfts.com/nft/blacksmiths/" TargetMode="External"/><Relationship Id="rId193" Type="http://schemas.openxmlformats.org/officeDocument/2006/relationships/hyperlink" Target="https://rarejapanesenfts.com/nft/xrplockup/" TargetMode="External"/><Relationship Id="rId192" Type="http://schemas.openxmlformats.org/officeDocument/2006/relationships/hyperlink" Target="https://rarejapanesenfts.com/nft/xrpbaachan/" TargetMode="External"/><Relationship Id="rId191" Type="http://schemas.openxmlformats.org/officeDocument/2006/relationships/hyperlink" Target="https://rarejapanesenfts.com/nft/xaorangerb/" TargetMode="External"/><Relationship Id="rId187" Type="http://schemas.openxmlformats.org/officeDocument/2006/relationships/hyperlink" Target="https://rarejapanesenfts.com/nft/sarutobigif/" TargetMode="External"/><Relationship Id="rId186" Type="http://schemas.openxmlformats.org/officeDocument/2006/relationships/hyperlink" Target="https://rarejapanesenfts.com/nft/rlockup/" TargetMode="External"/><Relationship Id="rId185" Type="http://schemas.openxmlformats.org/officeDocument/2006/relationships/hyperlink" Target="https://rarejapanesenfts.com/nft/princessnem/" TargetMode="External"/><Relationship Id="rId184" Type="http://schemas.openxmlformats.org/officeDocument/2006/relationships/hyperlink" Target="https://rarejapanesenfts.com/nft/pepeeyes/" TargetMode="External"/><Relationship Id="rId189" Type="http://schemas.openxmlformats.org/officeDocument/2006/relationships/hyperlink" Target="https://rarejapanesenfts.com/nft/tezoscard/" TargetMode="External"/><Relationship Id="rId188" Type="http://schemas.openxmlformats.org/officeDocument/2006/relationships/hyperlink" Target="https://rarejapanesenfts.com/nft/sncoldheartb/" TargetMode="External"/><Relationship Id="rId183" Type="http://schemas.openxmlformats.org/officeDocument/2006/relationships/hyperlink" Target="https://rarejapanesenfts.com/nft/numeraires/" TargetMode="External"/><Relationship Id="rId182" Type="http://schemas.openxmlformats.org/officeDocument/2006/relationships/hyperlink" Target="https://rarejapanesenfts.com/nft/nemcatapult/" TargetMode="External"/><Relationship Id="rId181" Type="http://schemas.openxmlformats.org/officeDocument/2006/relationships/hyperlink" Target="https://rarejapanesenfts.com/nft/nembae/" TargetMode="External"/><Relationship Id="rId180" Type="http://schemas.openxmlformats.org/officeDocument/2006/relationships/hyperlink" Target="https://rarejapanesenfts.com/nft/monaplatinum/" TargetMode="External"/><Relationship Id="rId176" Type="http://schemas.openxmlformats.org/officeDocument/2006/relationships/hyperlink" Target="https://rarejapanesenfts.com/nft/ethtattoo/" TargetMode="External"/><Relationship Id="rId175" Type="http://schemas.openxmlformats.org/officeDocument/2006/relationships/hyperlink" Target="https://rarejapanesenfts.com/nft/ethereumon/" TargetMode="External"/><Relationship Id="rId174" Type="http://schemas.openxmlformats.org/officeDocument/2006/relationships/hyperlink" Target="https://rarejapanesenfts.com/nft/chaoo/" TargetMode="External"/><Relationship Id="rId173" Type="http://schemas.openxmlformats.org/officeDocument/2006/relationships/hyperlink" Target="https://rarejapanesenfts.com/nft/ccloversbtc/" TargetMode="External"/><Relationship Id="rId179" Type="http://schemas.openxmlformats.org/officeDocument/2006/relationships/hyperlink" Target="https://rarejapanesenfts.com/nft/ltcdog/" TargetMode="External"/><Relationship Id="rId178" Type="http://schemas.openxmlformats.org/officeDocument/2006/relationships/hyperlink" Target="https://rarejapanesenfts.com/nft/idolnemone/" TargetMode="External"/><Relationship Id="rId177" Type="http://schemas.openxmlformats.org/officeDocument/2006/relationships/hyperlink" Target="https://rarejapanesenfts.com/nft/golemnet/" TargetMode="External"/><Relationship Id="rId198" Type="http://schemas.openxmlformats.org/officeDocument/2006/relationships/hyperlink" Target="https://rarejapanesenfts.com/nft/ccgbtcone/" TargetMode="External"/><Relationship Id="rId197" Type="http://schemas.openxmlformats.org/officeDocument/2006/relationships/hyperlink" Target="https://rarejapanesenfts.com/nft/ccgallone/" TargetMode="External"/><Relationship Id="rId196" Type="http://schemas.openxmlformats.org/officeDocument/2006/relationships/hyperlink" Target="https://rarejapanesenfts.com/nft/bullbear/" TargetMode="External"/><Relationship Id="rId195" Type="http://schemas.openxmlformats.org/officeDocument/2006/relationships/hyperlink" Target="https://rarejapanesenfts.com/nft/btcvipcard/" TargetMode="External"/><Relationship Id="rId199" Type="http://schemas.openxmlformats.org/officeDocument/2006/relationships/hyperlink" Target="https://rarejapanesenfts.com/nft/ccloverseth/" TargetMode="External"/><Relationship Id="rId150" Type="http://schemas.openxmlformats.org/officeDocument/2006/relationships/hyperlink" Target="https://rarejapanesenfts.com/nft/ttrustcard/" TargetMode="External"/><Relationship Id="rId392" Type="http://schemas.openxmlformats.org/officeDocument/2006/relationships/hyperlink" Target="https://rarejapanesenfts.com/ja/nft/pepecart-ja/" TargetMode="External"/><Relationship Id="rId391" Type="http://schemas.openxmlformats.org/officeDocument/2006/relationships/hyperlink" Target="https://rarejapanesenfts.com/nft/pepecart/" TargetMode="External"/><Relationship Id="rId390" Type="http://schemas.openxmlformats.org/officeDocument/2006/relationships/hyperlink" Target="https://rarejapanesenfts.com/ja/nft/rarepego-ja/" TargetMode="External"/><Relationship Id="rId1" Type="http://schemas.openxmlformats.org/officeDocument/2006/relationships/hyperlink" Target="https://rarejapanesenfts.com/nft/pepebazaar/" TargetMode="External"/><Relationship Id="rId2" Type="http://schemas.openxmlformats.org/officeDocument/2006/relationships/hyperlink" Target="https://rarejapanesenfts.com/nft/idojawan/" TargetMode="External"/><Relationship Id="rId3" Type="http://schemas.openxmlformats.org/officeDocument/2006/relationships/hyperlink" Target="https://rarejapanesenfts.com/nft/lovenft/" TargetMode="External"/><Relationship Id="rId149" Type="http://schemas.openxmlformats.org/officeDocument/2006/relationships/hyperlink" Target="https://rarejapanesenfts.com/nft/thebyzantine/" TargetMode="External"/><Relationship Id="rId4" Type="http://schemas.openxmlformats.org/officeDocument/2006/relationships/hyperlink" Target="https://rarejapanesenfts.com/nft/nomoredefi/" TargetMode="External"/><Relationship Id="rId148" Type="http://schemas.openxmlformats.org/officeDocument/2006/relationships/hyperlink" Target="https://rarejapanesenfts.com/nft/tform/" TargetMode="External"/><Relationship Id="rId1090" Type="http://schemas.openxmlformats.org/officeDocument/2006/relationships/hyperlink" Target="https://rarejapanesenfts.com/ja/nft/ccgetcone-ja/" TargetMode="External"/><Relationship Id="rId1091" Type="http://schemas.openxmlformats.org/officeDocument/2006/relationships/hyperlink" Target="https://rarejapanesenfts.com/ja/nft/dashman-ja/" TargetMode="External"/><Relationship Id="rId1092" Type="http://schemas.openxmlformats.org/officeDocument/2006/relationships/hyperlink" Target="https://rarejapanesenfts.com/ja/nft/gachiho-ja/" TargetMode="External"/><Relationship Id="rId1093" Type="http://schemas.openxmlformats.org/officeDocument/2006/relationships/hyperlink" Target="https://rarejapanesenfts.com/ja/nft/icotcoin-ja/" TargetMode="External"/><Relationship Id="rId1094" Type="http://schemas.openxmlformats.org/officeDocument/2006/relationships/hyperlink" Target="https://rarejapanesenfts.com/ja/nft/lovemona-ja/" TargetMode="External"/><Relationship Id="rId9" Type="http://schemas.openxmlformats.org/officeDocument/2006/relationships/hyperlink" Target="https://rarejapanesenfts.com/nft/koedame/" TargetMode="External"/><Relationship Id="rId143" Type="http://schemas.openxmlformats.org/officeDocument/2006/relationships/hyperlink" Target="https://rarejapanesenfts.com/nft/monasummer/" TargetMode="External"/><Relationship Id="rId385" Type="http://schemas.openxmlformats.org/officeDocument/2006/relationships/hyperlink" Target="https://rarejapanesenfts.com/nft/featherspepe/" TargetMode="External"/><Relationship Id="rId1095" Type="http://schemas.openxmlformats.org/officeDocument/2006/relationships/hyperlink" Target="https://rarejapanesenfts.com/ja/nft/nemballoon-ja/" TargetMode="External"/><Relationship Id="rId142" Type="http://schemas.openxmlformats.org/officeDocument/2006/relationships/hyperlink" Target="https://rarejapanesenfts.com/nft/icovacation/" TargetMode="External"/><Relationship Id="rId384" Type="http://schemas.openxmlformats.org/officeDocument/2006/relationships/hyperlink" Target="https://rarejapanesenfts.com/ja/nft/pepekaparker-ja/" TargetMode="External"/><Relationship Id="rId1096" Type="http://schemas.openxmlformats.org/officeDocument/2006/relationships/hyperlink" Target="https://rarejapanesenfts.com/ja/nft/neochans-ja/" TargetMode="External"/><Relationship Id="rId141" Type="http://schemas.openxmlformats.org/officeDocument/2006/relationships/hyperlink" Target="https://rarejapanesenfts.com/nft/foresightman/" TargetMode="External"/><Relationship Id="rId383" Type="http://schemas.openxmlformats.org/officeDocument/2006/relationships/hyperlink" Target="https://rarejapanesenfts.com/nft/pepekaparker/" TargetMode="External"/><Relationship Id="rId1097" Type="http://schemas.openxmlformats.org/officeDocument/2006/relationships/hyperlink" Target="https://rarejapanesenfts.com/ja/nft/oishikunai-ja/" TargetMode="External"/><Relationship Id="rId140" Type="http://schemas.openxmlformats.org/officeDocument/2006/relationships/hyperlink" Target="https://rarejapanesenfts.com/nft/ethchan/" TargetMode="External"/><Relationship Id="rId382" Type="http://schemas.openxmlformats.org/officeDocument/2006/relationships/hyperlink" Target="https://rarejapanesenfts.com/ja/nft/kigurumipepe-ja/" TargetMode="External"/><Relationship Id="rId1098" Type="http://schemas.openxmlformats.org/officeDocument/2006/relationships/hyperlink" Target="https://rarejapanesenfts.com/ja/nft/penpencomsa-ja/" TargetMode="External"/><Relationship Id="rId5" Type="http://schemas.openxmlformats.org/officeDocument/2006/relationships/hyperlink" Target="https://rarejapanesenfts.com/nft/hwfashion/" TargetMode="External"/><Relationship Id="rId147" Type="http://schemas.openxmlformats.org/officeDocument/2006/relationships/hyperlink" Target="https://rarejapanesenfts.com/nft/soooooooooon/" TargetMode="External"/><Relationship Id="rId389" Type="http://schemas.openxmlformats.org/officeDocument/2006/relationships/hyperlink" Target="https://rarejapanesenfts.com/nft/rarepego/" TargetMode="External"/><Relationship Id="rId1099" Type="http://schemas.openxmlformats.org/officeDocument/2006/relationships/hyperlink" Target="https://rarejapanesenfts.com/ja/nft/ripule-ja/" TargetMode="External"/><Relationship Id="rId6" Type="http://schemas.openxmlformats.org/officeDocument/2006/relationships/hyperlink" Target="https://rarejapanesenfts.com/nft/kamatte/" TargetMode="External"/><Relationship Id="rId146" Type="http://schemas.openxmlformats.org/officeDocument/2006/relationships/hyperlink" Target="https://rarejapanesenfts.com/nft/pickupkusa/" TargetMode="External"/><Relationship Id="rId388" Type="http://schemas.openxmlformats.org/officeDocument/2006/relationships/hyperlink" Target="https://rarejapanesenfts.com/ja/nft/swaropepe-ja/" TargetMode="External"/><Relationship Id="rId7" Type="http://schemas.openxmlformats.org/officeDocument/2006/relationships/hyperlink" Target="https://rarejapanesenfts.com/nft/firstpen/" TargetMode="External"/><Relationship Id="rId145" Type="http://schemas.openxmlformats.org/officeDocument/2006/relationships/hyperlink" Target="https://rarejapanesenfts.com/nft/mtgday/" TargetMode="External"/><Relationship Id="rId387" Type="http://schemas.openxmlformats.org/officeDocument/2006/relationships/hyperlink" Target="https://rarejapanesenfts.com/nft/swaropepe/" TargetMode="External"/><Relationship Id="rId8" Type="http://schemas.openxmlformats.org/officeDocument/2006/relationships/hyperlink" Target="https://rarejapanesenfts.com/nft/hagepepe/" TargetMode="External"/><Relationship Id="rId144" Type="http://schemas.openxmlformats.org/officeDocument/2006/relationships/hyperlink" Target="https://rarejapanesenfts.com/nft/mrhangenki/" TargetMode="External"/><Relationship Id="rId386" Type="http://schemas.openxmlformats.org/officeDocument/2006/relationships/hyperlink" Target="https://rarejapanesenfts.com/ja/nft/featherspepe-ja/" TargetMode="External"/><Relationship Id="rId381" Type="http://schemas.openxmlformats.org/officeDocument/2006/relationships/hyperlink" Target="https://rarejapanesenfts.com/nft/kigurumipepe/" TargetMode="External"/><Relationship Id="rId380" Type="http://schemas.openxmlformats.org/officeDocument/2006/relationships/hyperlink" Target="https://rarejapanesenfts.com/ja/nft/thispepe-ja/" TargetMode="External"/><Relationship Id="rId139" Type="http://schemas.openxmlformats.org/officeDocument/2006/relationships/hyperlink" Target="https://rarejapanesenfts.com/nft/ecobitrefund/" TargetMode="External"/><Relationship Id="rId138" Type="http://schemas.openxmlformats.org/officeDocument/2006/relationships/hyperlink" Target="https://rarejapanesenfts.com/nft/ecnuko/" TargetMode="External"/><Relationship Id="rId137" Type="http://schemas.openxmlformats.org/officeDocument/2006/relationships/hyperlink" Target="https://rarejapanesenfts.com/nft/couplegox/" TargetMode="External"/><Relationship Id="rId379" Type="http://schemas.openxmlformats.org/officeDocument/2006/relationships/hyperlink" Target="https://rarejapanesenfts.com/nft/thispepe/" TargetMode="External"/><Relationship Id="rId1080" Type="http://schemas.openxmlformats.org/officeDocument/2006/relationships/hyperlink" Target="https://rarejapanesenfts.com/ja/nft/nembaachan-ja/" TargetMode="External"/><Relationship Id="rId1081" Type="http://schemas.openxmlformats.org/officeDocument/2006/relationships/hyperlink" Target="https://rarejapanesenfts.com/ja/nft/newsapp-ja/" TargetMode="External"/><Relationship Id="rId1082" Type="http://schemas.openxmlformats.org/officeDocument/2006/relationships/hyperlink" Target="https://rarejapanesenfts.com/ja/nft/nomona-ja/" TargetMode="External"/><Relationship Id="rId1083" Type="http://schemas.openxmlformats.org/officeDocument/2006/relationships/hyperlink" Target="https://rarejapanesenfts.com/ja/nft/sbitcoiner-ja/" TargetMode="External"/><Relationship Id="rId132" Type="http://schemas.openxmlformats.org/officeDocument/2006/relationships/hyperlink" Target="https://rarejapanesenfts.com/nft/takaragps/" TargetMode="External"/><Relationship Id="rId374" Type="http://schemas.openxmlformats.org/officeDocument/2006/relationships/hyperlink" Target="https://rarejapanesenfts.com/ja/nft/kumadoripepe-ja/" TargetMode="External"/><Relationship Id="rId1084" Type="http://schemas.openxmlformats.org/officeDocument/2006/relationships/hyperlink" Target="https://rarejapanesenfts.com/ja/nft/singulardtv-ja/" TargetMode="External"/><Relationship Id="rId131" Type="http://schemas.openxmlformats.org/officeDocument/2006/relationships/hyperlink" Target="https://rarejapanesenfts.com/nft/takane/" TargetMode="External"/><Relationship Id="rId373" Type="http://schemas.openxmlformats.org/officeDocument/2006/relationships/hyperlink" Target="https://rarejapanesenfts.com/nft/kumadoripepe/" TargetMode="External"/><Relationship Id="rId1085" Type="http://schemas.openxmlformats.org/officeDocument/2006/relationships/hyperlink" Target="https://rarejapanesenfts.com/ja/nft/waragoncard-ja/" TargetMode="External"/><Relationship Id="rId130" Type="http://schemas.openxmlformats.org/officeDocument/2006/relationships/hyperlink" Target="https://rarejapanesenfts.com/nft/statusico/" TargetMode="External"/><Relationship Id="rId372" Type="http://schemas.openxmlformats.org/officeDocument/2006/relationships/hyperlink" Target="https://rarejapanesenfts.com/ja/nft/pepefractal-ja/" TargetMode="External"/><Relationship Id="rId1086" Type="http://schemas.openxmlformats.org/officeDocument/2006/relationships/hyperlink" Target="https://rarejapanesenfts.com/ja/nft/xaorangerg-ja/" TargetMode="External"/><Relationship Id="rId371" Type="http://schemas.openxmlformats.org/officeDocument/2006/relationships/hyperlink" Target="https://rarejapanesenfts.com/nft/pepefractal/" TargetMode="External"/><Relationship Id="rId1087" Type="http://schemas.openxmlformats.org/officeDocument/2006/relationships/hyperlink" Target="https://rarejapanesenfts.com/ja/nft/xrptattoo-ja/" TargetMode="External"/><Relationship Id="rId136" Type="http://schemas.openxmlformats.org/officeDocument/2006/relationships/hyperlink" Target="https://rarejapanesenfts.com/nft/bipbard/" TargetMode="External"/><Relationship Id="rId378" Type="http://schemas.openxmlformats.org/officeDocument/2006/relationships/hyperlink" Target="https://rarejapanesenfts.com/ja/nft/pepez-ja/" TargetMode="External"/><Relationship Id="rId1088" Type="http://schemas.openxmlformats.org/officeDocument/2006/relationships/hyperlink" Target="https://rarejapanesenfts.com/ja/nft/bchwasborn-ja/" TargetMode="External"/><Relationship Id="rId135" Type="http://schemas.openxmlformats.org/officeDocument/2006/relationships/hyperlink" Target="https://rarejapanesenfts.com/nft/goddessnem/" TargetMode="External"/><Relationship Id="rId377" Type="http://schemas.openxmlformats.org/officeDocument/2006/relationships/hyperlink" Target="https://rarejapanesenfts.com/nft/pepez/" TargetMode="External"/><Relationship Id="rId1089" Type="http://schemas.openxmlformats.org/officeDocument/2006/relationships/hyperlink" Target="https://rarejapanesenfts.com/ja/nft/bobbywave-ja/" TargetMode="External"/><Relationship Id="rId134" Type="http://schemas.openxmlformats.org/officeDocument/2006/relationships/hyperlink" Target="https://rarejapanesenfts.com/nft/wacksog/" TargetMode="External"/><Relationship Id="rId376" Type="http://schemas.openxmlformats.org/officeDocument/2006/relationships/hyperlink" Target="https://rarejapanesenfts.com/ja/nft/pepeform-ja/" TargetMode="External"/><Relationship Id="rId133" Type="http://schemas.openxmlformats.org/officeDocument/2006/relationships/hyperlink" Target="https://rarejapanesenfts.com/nft/thearukamo/" TargetMode="External"/><Relationship Id="rId375" Type="http://schemas.openxmlformats.org/officeDocument/2006/relationships/hyperlink" Target="https://rarejapanesenfts.com/nft/pepeform/" TargetMode="External"/><Relationship Id="rId172" Type="http://schemas.openxmlformats.org/officeDocument/2006/relationships/hyperlink" Target="https://rarejapanesenfts.com/nft/bouya/" TargetMode="External"/><Relationship Id="rId171" Type="http://schemas.openxmlformats.org/officeDocument/2006/relationships/hyperlink" Target="https://rarejapanesenfts.com/nft/bitsennin/" TargetMode="External"/><Relationship Id="rId170" Type="http://schemas.openxmlformats.org/officeDocument/2006/relationships/hyperlink" Target="https://rarejapanesenfts.com/nft/bigman/" TargetMode="External"/><Relationship Id="rId165" Type="http://schemas.openxmlformats.org/officeDocument/2006/relationships/hyperlink" Target="https://rarejapanesenfts.com/nft/takabcoin/" TargetMode="External"/><Relationship Id="rId164" Type="http://schemas.openxmlformats.org/officeDocument/2006/relationships/hyperlink" Target="https://rarejapanesenfts.com/nft/btcfork/" TargetMode="External"/><Relationship Id="rId163" Type="http://schemas.openxmlformats.org/officeDocument/2006/relationships/hyperlink" Target="https://rarejapanesenfts.com/nft/neochan/" TargetMode="External"/><Relationship Id="rId162" Type="http://schemas.openxmlformats.org/officeDocument/2006/relationships/hyperlink" Target="https://rarejapanesenfts.com/nft/cryptoholic/" TargetMode="External"/><Relationship Id="rId169" Type="http://schemas.openxmlformats.org/officeDocument/2006/relationships/hyperlink" Target="https://rarejapanesenfts.com/nft/mcdumping/" TargetMode="External"/><Relationship Id="rId168" Type="http://schemas.openxmlformats.org/officeDocument/2006/relationships/hyperlink" Target="https://rarejapanesenfts.com/nft/oahf/" TargetMode="External"/><Relationship Id="rId167" Type="http://schemas.openxmlformats.org/officeDocument/2006/relationships/hyperlink" Target="https://rarejapanesenfts.com/nft/penpenbtc/" TargetMode="External"/><Relationship Id="rId166" Type="http://schemas.openxmlformats.org/officeDocument/2006/relationships/hyperlink" Target="https://rarejapanesenfts.com/nft/tanukj/" TargetMode="External"/><Relationship Id="rId161" Type="http://schemas.openxmlformats.org/officeDocument/2006/relationships/hyperlink" Target="https://rarejapanesenfts.com/nft/eatsushi/" TargetMode="External"/><Relationship Id="rId160" Type="http://schemas.openxmlformats.org/officeDocument/2006/relationships/hyperlink" Target="https://rarejapanesenfts.com/nft/selfgox/" TargetMode="External"/><Relationship Id="rId159" Type="http://schemas.openxmlformats.org/officeDocument/2006/relationships/hyperlink" Target="https://rarejapanesenfts.com/nft/sisumaistart/" TargetMode="External"/><Relationship Id="rId154" Type="http://schemas.openxmlformats.org/officeDocument/2006/relationships/hyperlink" Target="https://rarejapanesenfts.com/nft/willsplit/" TargetMode="External"/><Relationship Id="rId396" Type="http://schemas.openxmlformats.org/officeDocument/2006/relationships/hyperlink" Target="https://rarejapanesenfts.com/ja/nft/pepeaddicts-ja/" TargetMode="External"/><Relationship Id="rId153" Type="http://schemas.openxmlformats.org/officeDocument/2006/relationships/hyperlink" Target="https://rarejapanesenfts.com/nft/wannacry/" TargetMode="External"/><Relationship Id="rId395" Type="http://schemas.openxmlformats.org/officeDocument/2006/relationships/hyperlink" Target="https://rarejapanesenfts.com/nft/pepeaddicts/" TargetMode="External"/><Relationship Id="rId152" Type="http://schemas.openxmlformats.org/officeDocument/2006/relationships/hyperlink" Target="https://rarejapanesenfts.com/nft/mcwashoy/" TargetMode="External"/><Relationship Id="rId394" Type="http://schemas.openxmlformats.org/officeDocument/2006/relationships/hyperlink" Target="https://rarejapanesenfts.com/ja/nft/pepetobi-ja/" TargetMode="External"/><Relationship Id="rId151" Type="http://schemas.openxmlformats.org/officeDocument/2006/relationships/hyperlink" Target="https://rarejapanesenfts.com/nft/thecemetery/" TargetMode="External"/><Relationship Id="rId393" Type="http://schemas.openxmlformats.org/officeDocument/2006/relationships/hyperlink" Target="https://rarejapanesenfts.com/nft/pepetobi/" TargetMode="External"/><Relationship Id="rId158" Type="http://schemas.openxmlformats.org/officeDocument/2006/relationships/hyperlink" Target="https://rarejapanesenfts.com/nft/mgoinvader/" TargetMode="External"/><Relationship Id="rId157" Type="http://schemas.openxmlformats.org/officeDocument/2006/relationships/hyperlink" Target="https://rarejapanesenfts.com/nft/gamestart/" TargetMode="External"/><Relationship Id="rId399" Type="http://schemas.openxmlformats.org/officeDocument/2006/relationships/hyperlink" Target="https://rarejapanesenfts.com/nft/maoismpepe/" TargetMode="External"/><Relationship Id="rId156" Type="http://schemas.openxmlformats.org/officeDocument/2006/relationships/hyperlink" Target="https://rarejapanesenfts.com/nft/jbws/" TargetMode="External"/><Relationship Id="rId398" Type="http://schemas.openxmlformats.org/officeDocument/2006/relationships/hyperlink" Target="https://rarejapanesenfts.com/ja/nft/pepeballoon-ja/" TargetMode="External"/><Relationship Id="rId155" Type="http://schemas.openxmlformats.org/officeDocument/2006/relationships/hyperlink" Target="https://rarejapanesenfts.com/nft/bitcoiners/" TargetMode="External"/><Relationship Id="rId397" Type="http://schemas.openxmlformats.org/officeDocument/2006/relationships/hyperlink" Target="https://rarejapanesenfts.com/nft/pepeballoon/" TargetMode="External"/><Relationship Id="rId808" Type="http://schemas.openxmlformats.org/officeDocument/2006/relationships/hyperlink" Target="https://rarejapanesenfts.com/nft/fwcfcstalkic/" TargetMode="External"/><Relationship Id="rId807" Type="http://schemas.openxmlformats.org/officeDocument/2006/relationships/hyperlink" Target="https://rarejapanesenfts.com/ja/nft/fwcfctheoxkc-ja/" TargetMode="External"/><Relationship Id="rId806" Type="http://schemas.openxmlformats.org/officeDocument/2006/relationships/hyperlink" Target="https://rarejapanesenfts.com/nft/fwcfctheoxkc/" TargetMode="External"/><Relationship Id="rId805" Type="http://schemas.openxmlformats.org/officeDocument/2006/relationships/hyperlink" Target="https://rarejapanesenfts.com/ja/nft/fwcfctigercc-ja/" TargetMode="External"/><Relationship Id="rId809" Type="http://schemas.openxmlformats.org/officeDocument/2006/relationships/hyperlink" Target="https://rarejapanesenfts.com/ja/nft/fwcfcstalkic-ja/" TargetMode="External"/><Relationship Id="rId800" Type="http://schemas.openxmlformats.org/officeDocument/2006/relationships/hyperlink" Target="https://rarejapanesenfts.com/nft/fwcfctinyrec/" TargetMode="External"/><Relationship Id="rId804" Type="http://schemas.openxmlformats.org/officeDocument/2006/relationships/hyperlink" Target="https://rarejapanesenfts.com/nft/fwcfctigercc/" TargetMode="External"/><Relationship Id="rId803" Type="http://schemas.openxmlformats.org/officeDocument/2006/relationships/hyperlink" Target="https://rarejapanesenfts.com/ja/nft/fwcfctigerlc-ja/" TargetMode="External"/><Relationship Id="rId802" Type="http://schemas.openxmlformats.org/officeDocument/2006/relationships/hyperlink" Target="https://rarejapanesenfts.com/nft/fwcfctigerlc/" TargetMode="External"/><Relationship Id="rId801" Type="http://schemas.openxmlformats.org/officeDocument/2006/relationships/hyperlink" Target="https://rarejapanesenfts.com/ja/nft/fwcfctinyrec-ja/" TargetMode="External"/><Relationship Id="rId40" Type="http://schemas.openxmlformats.org/officeDocument/2006/relationships/hyperlink" Target="https://rarejapanesenfts.com/nft/ecobitman/" TargetMode="External"/><Relationship Id="rId42" Type="http://schemas.openxmlformats.org/officeDocument/2006/relationships/hyperlink" Target="https://rarejapanesenfts.com/nft/zecfothemoon/" TargetMode="External"/><Relationship Id="rId41" Type="http://schemas.openxmlformats.org/officeDocument/2006/relationships/hyperlink" Target="https://rarejapanesenfts.com/nft/etcchan/" TargetMode="External"/><Relationship Id="rId44" Type="http://schemas.openxmlformats.org/officeDocument/2006/relationships/hyperlink" Target="https://rarejapanesenfts.com/nft/uasfarmy/" TargetMode="External"/><Relationship Id="rId43" Type="http://schemas.openxmlformats.org/officeDocument/2006/relationships/hyperlink" Target="https://rarejapanesenfts.com/nft/undercontrol/" TargetMode="External"/><Relationship Id="rId46" Type="http://schemas.openxmlformats.org/officeDocument/2006/relationships/hyperlink" Target="https://rarejapanesenfts.com/nft/thetimes/" TargetMode="External"/><Relationship Id="rId45" Type="http://schemas.openxmlformats.org/officeDocument/2006/relationships/hyperlink" Target="https://rarejapanesenfts.com/nft/dogethereum/" TargetMode="External"/><Relationship Id="rId509" Type="http://schemas.openxmlformats.org/officeDocument/2006/relationships/hyperlink" Target="https://rarejapanesenfts.com/ja/nft/pepepenpen-ja/" TargetMode="External"/><Relationship Id="rId508" Type="http://schemas.openxmlformats.org/officeDocument/2006/relationships/hyperlink" Target="https://rarejapanesenfts.com/nft/pepepenpen/" TargetMode="External"/><Relationship Id="rId503" Type="http://schemas.openxmlformats.org/officeDocument/2006/relationships/hyperlink" Target="https://rarejapanesenfts.com/ja/nft/nativepepeth-ja/" TargetMode="External"/><Relationship Id="rId745" Type="http://schemas.openxmlformats.org/officeDocument/2006/relationships/hyperlink" Target="https://rarejapanesenfts.com/ja/nft/fwcfcredridc-ja/" TargetMode="External"/><Relationship Id="rId987" Type="http://schemas.openxmlformats.org/officeDocument/2006/relationships/hyperlink" Target="https://rarejapanesenfts.com/ja/nft/halving-ja/" TargetMode="External"/><Relationship Id="rId502" Type="http://schemas.openxmlformats.org/officeDocument/2006/relationships/hyperlink" Target="https://rarejapanesenfts.com/nft/nativepepeth/" TargetMode="External"/><Relationship Id="rId744" Type="http://schemas.openxmlformats.org/officeDocument/2006/relationships/hyperlink" Target="https://rarejapanesenfts.com/nft/fwcfcredridc/" TargetMode="External"/><Relationship Id="rId986" Type="http://schemas.openxmlformats.org/officeDocument/2006/relationships/hyperlink" Target="https://rarejapanesenfts.com/ja/nft/goddessnem-ja/" TargetMode="External"/><Relationship Id="rId501" Type="http://schemas.openxmlformats.org/officeDocument/2006/relationships/hyperlink" Target="https://rarejapanesenfts.com/ja/nft/yummypepe-ja/" TargetMode="External"/><Relationship Id="rId743" Type="http://schemas.openxmlformats.org/officeDocument/2006/relationships/hyperlink" Target="https://rarejapanesenfts.com/ja/nft/fwcfcsecludc-ja/" TargetMode="External"/><Relationship Id="rId985" Type="http://schemas.openxmlformats.org/officeDocument/2006/relationships/hyperlink" Target="https://rarejapanesenfts.com/ja/nft/gara-ja/" TargetMode="External"/><Relationship Id="rId500" Type="http://schemas.openxmlformats.org/officeDocument/2006/relationships/hyperlink" Target="https://rarejapanesenfts.com/nft/yummypepe/" TargetMode="External"/><Relationship Id="rId742" Type="http://schemas.openxmlformats.org/officeDocument/2006/relationships/hyperlink" Target="https://rarejapanesenfts.com/nft/fwcfcsecludc/" TargetMode="External"/><Relationship Id="rId984" Type="http://schemas.openxmlformats.org/officeDocument/2006/relationships/hyperlink" Target="https://rarejapanesenfts.com/ja/nft/mcseven-ja/" TargetMode="External"/><Relationship Id="rId507" Type="http://schemas.openxmlformats.org/officeDocument/2006/relationships/hyperlink" Target="https://rarejapanesenfts.com/ja/nft/pepetsamurai-ja/" TargetMode="External"/><Relationship Id="rId749" Type="http://schemas.openxmlformats.org/officeDocument/2006/relationships/hyperlink" Target="https://rarejapanesenfts.com/ja/nft/fwcfcmagicsc-ja/" TargetMode="External"/><Relationship Id="rId506" Type="http://schemas.openxmlformats.org/officeDocument/2006/relationships/hyperlink" Target="https://rarejapanesenfts.com/nft/pepetsamurai/" TargetMode="External"/><Relationship Id="rId748" Type="http://schemas.openxmlformats.org/officeDocument/2006/relationships/hyperlink" Target="https://rarejapanesenfts.com/nft/fwcfcmagicsc/" TargetMode="External"/><Relationship Id="rId505" Type="http://schemas.openxmlformats.org/officeDocument/2006/relationships/hyperlink" Target="https://rarejapanesenfts.com/ja/nft/peperikishi-ja/" TargetMode="External"/><Relationship Id="rId747" Type="http://schemas.openxmlformats.org/officeDocument/2006/relationships/hyperlink" Target="https://rarejapanesenfts.com/ja/nft/fwcfcprotecc-ja/" TargetMode="External"/><Relationship Id="rId989" Type="http://schemas.openxmlformats.org/officeDocument/2006/relationships/hyperlink" Target="https://rarejapanesenfts.com/ja/nft/kakugalee-ja/" TargetMode="External"/><Relationship Id="rId504" Type="http://schemas.openxmlformats.org/officeDocument/2006/relationships/hyperlink" Target="https://rarejapanesenfts.com/nft/peperikishi/" TargetMode="External"/><Relationship Id="rId746" Type="http://schemas.openxmlformats.org/officeDocument/2006/relationships/hyperlink" Target="https://rarejapanesenfts.com/nft/fwcfcprotecc/" TargetMode="External"/><Relationship Id="rId988" Type="http://schemas.openxmlformats.org/officeDocument/2006/relationships/hyperlink" Target="https://rarejapanesenfts.com/ja/nft/hige-ja/" TargetMode="External"/><Relationship Id="rId48" Type="http://schemas.openxmlformats.org/officeDocument/2006/relationships/hyperlink" Target="https://rarejapanesenfts.com/nft/satoshiclub/" TargetMode="External"/><Relationship Id="rId47" Type="http://schemas.openxmlformats.org/officeDocument/2006/relationships/hyperlink" Target="https://rarejapanesenfts.com/nft/takarajpi/" TargetMode="External"/><Relationship Id="rId49" Type="http://schemas.openxmlformats.org/officeDocument/2006/relationships/hyperlink" Target="https://rarejapanesenfts.com/nft/nemgirl/" TargetMode="External"/><Relationship Id="rId741" Type="http://schemas.openxmlformats.org/officeDocument/2006/relationships/hyperlink" Target="https://rarejapanesenfts.com/ja/nft/fwcfcshawujc-ja/" TargetMode="External"/><Relationship Id="rId983" Type="http://schemas.openxmlformats.org/officeDocument/2006/relationships/hyperlink" Target="https://rarejapanesenfts.com/ja/nft/ficob-ja/" TargetMode="External"/><Relationship Id="rId740" Type="http://schemas.openxmlformats.org/officeDocument/2006/relationships/hyperlink" Target="https://rarejapanesenfts.com/nft/fwcfcshawujc/" TargetMode="External"/><Relationship Id="rId982" Type="http://schemas.openxmlformats.org/officeDocument/2006/relationships/hyperlink" Target="https://rarejapanesenfts.com/ja/nft/ficoa-ja/" TargetMode="External"/><Relationship Id="rId981" Type="http://schemas.openxmlformats.org/officeDocument/2006/relationships/hyperlink" Target="https://rarejapanesenfts.com/ja/nft/estopia-ja/" TargetMode="External"/><Relationship Id="rId980" Type="http://schemas.openxmlformats.org/officeDocument/2006/relationships/hyperlink" Target="https://rarejapanesenfts.com/ja/nft/ccmc-ja/" TargetMode="External"/><Relationship Id="rId31" Type="http://schemas.openxmlformats.org/officeDocument/2006/relationships/hyperlink" Target="https://rarejapanesenfts.com/nft/monasegwit/" TargetMode="External"/><Relationship Id="rId30" Type="http://schemas.openxmlformats.org/officeDocument/2006/relationships/hyperlink" Target="https://rarejapanesenfts.com/nft/xemandjapan/" TargetMode="External"/><Relationship Id="rId33" Type="http://schemas.openxmlformats.org/officeDocument/2006/relationships/hyperlink" Target="https://rarejapanesenfts.com/nft/quantumpc/" TargetMode="External"/><Relationship Id="rId32" Type="http://schemas.openxmlformats.org/officeDocument/2006/relationships/hyperlink" Target="https://rarejapanesenfts.com/nft/thefintech/" TargetMode="External"/><Relationship Id="rId35" Type="http://schemas.openxmlformats.org/officeDocument/2006/relationships/hyperlink" Target="https://rarejapanesenfts.com/nft/ethereumgirl/" TargetMode="External"/><Relationship Id="rId34" Type="http://schemas.openxmlformats.org/officeDocument/2006/relationships/hyperlink" Target="https://rarejapanesenfts.com/nft/monerogirl/" TargetMode="External"/><Relationship Id="rId739" Type="http://schemas.openxmlformats.org/officeDocument/2006/relationships/hyperlink" Target="https://rarejapanesenfts.com/ja/nft/fwcfcsorcerc-ja/" TargetMode="External"/><Relationship Id="rId734" Type="http://schemas.openxmlformats.org/officeDocument/2006/relationships/hyperlink" Target="https://rarejapanesenfts.com/nft/fwcfcwisemac/" TargetMode="External"/><Relationship Id="rId976" Type="http://schemas.openxmlformats.org/officeDocument/2006/relationships/hyperlink" Target="https://rarejapanesenfts.com/ja/nft/sarutobiisl-ja/" TargetMode="External"/><Relationship Id="rId733" Type="http://schemas.openxmlformats.org/officeDocument/2006/relationships/hyperlink" Target="https://rarejapanesenfts.com/ja/nft/fwcfczhubajc-ja/" TargetMode="External"/><Relationship Id="rId975" Type="http://schemas.openxmlformats.org/officeDocument/2006/relationships/hyperlink" Target="https://rarejapanesenfts.com/ja/nft/nempizzaday-ja/" TargetMode="External"/><Relationship Id="rId732" Type="http://schemas.openxmlformats.org/officeDocument/2006/relationships/hyperlink" Target="https://rarejapanesenfts.com/nft/fwcfczhubajc/" TargetMode="External"/><Relationship Id="rId974" Type="http://schemas.openxmlformats.org/officeDocument/2006/relationships/hyperlink" Target="https://rarejapanesenfts.com/ja/nft/maidsafechan-ja/" TargetMode="External"/><Relationship Id="rId731" Type="http://schemas.openxmlformats.org/officeDocument/2006/relationships/hyperlink" Target="https://rarejapanesenfts.com/ja/nft/fwcfcalhazrc-ja/" TargetMode="External"/><Relationship Id="rId973" Type="http://schemas.openxmlformats.org/officeDocument/2006/relationships/hyperlink" Target="https://rarejapanesenfts.com/ja/nft/theniagara-ja/" TargetMode="External"/><Relationship Id="rId738" Type="http://schemas.openxmlformats.org/officeDocument/2006/relationships/hyperlink" Target="https://rarejapanesenfts.com/nft/fwcfcsorcerc/" TargetMode="External"/><Relationship Id="rId737" Type="http://schemas.openxmlformats.org/officeDocument/2006/relationships/hyperlink" Target="https://rarejapanesenfts.com/ja/nft/fwcfcthemonc-ja/" TargetMode="External"/><Relationship Id="rId979" Type="http://schemas.openxmlformats.org/officeDocument/2006/relationships/hyperlink" Target="https://rarejapanesenfts.com/ja/nft/bunretsu-ja/" TargetMode="External"/><Relationship Id="rId736" Type="http://schemas.openxmlformats.org/officeDocument/2006/relationships/hyperlink" Target="https://rarejapanesenfts.com/nft/fwcfcthemonc/" TargetMode="External"/><Relationship Id="rId978" Type="http://schemas.openxmlformats.org/officeDocument/2006/relationships/hyperlink" Target="https://rarejapanesenfts.com/ja/nft/bitisban-ja/" TargetMode="External"/><Relationship Id="rId735" Type="http://schemas.openxmlformats.org/officeDocument/2006/relationships/hyperlink" Target="https://rarejapanesenfts.com/ja/nft/fwcfcwisemac-ja/" TargetMode="External"/><Relationship Id="rId977" Type="http://schemas.openxmlformats.org/officeDocument/2006/relationships/hyperlink" Target="https://rarejapanesenfts.com/ja/nft/birthofthbtc-ja/" TargetMode="External"/><Relationship Id="rId37" Type="http://schemas.openxmlformats.org/officeDocument/2006/relationships/hyperlink" Target="https://rarejapanesenfts.com/nft/xasicboost/" TargetMode="External"/><Relationship Id="rId36" Type="http://schemas.openxmlformats.org/officeDocument/2006/relationships/hyperlink" Target="https://rarejapanesenfts.com/nft/ripplegirl/" TargetMode="External"/><Relationship Id="rId39" Type="http://schemas.openxmlformats.org/officeDocument/2006/relationships/hyperlink" Target="https://rarejapanesenfts.com/nft/ramensog/" TargetMode="External"/><Relationship Id="rId38" Type="http://schemas.openxmlformats.org/officeDocument/2006/relationships/hyperlink" Target="https://rarejapanesenfts.com/nft/rejectedvix/" TargetMode="External"/><Relationship Id="rId730" Type="http://schemas.openxmlformats.org/officeDocument/2006/relationships/hyperlink" Target="https://rarejapanesenfts.com/nft/fwcfcalhazrc/" TargetMode="External"/><Relationship Id="rId972" Type="http://schemas.openxmlformats.org/officeDocument/2006/relationships/hyperlink" Target="https://rarejapanesenfts.com/ja/nft/memepartners-ja/" TargetMode="External"/><Relationship Id="rId971" Type="http://schemas.openxmlformats.org/officeDocument/2006/relationships/hyperlink" Target="https://rarejapanesenfts.com/ja/nft/lordothemoon-ja/" TargetMode="External"/><Relationship Id="rId970" Type="http://schemas.openxmlformats.org/officeDocument/2006/relationships/hyperlink" Target="https://rarejapanesenfts.com/ja/nft/walletkun-ja/" TargetMode="External"/><Relationship Id="rId1114" Type="http://schemas.openxmlformats.org/officeDocument/2006/relationships/hyperlink" Target="https://rarejapanesenfts.com/ja/nft/pepenuma-ja/" TargetMode="External"/><Relationship Id="rId1115" Type="http://schemas.openxmlformats.org/officeDocument/2006/relationships/hyperlink" Target="https://rarejapanesenfts.com/ja/nft/xmasantapepe-ja/" TargetMode="External"/><Relationship Id="rId20" Type="http://schemas.openxmlformats.org/officeDocument/2006/relationships/hyperlink" Target="https://rarejapanesenfts.com/nft/kojithecupid/" TargetMode="External"/><Relationship Id="rId1116" Type="http://schemas.openxmlformats.org/officeDocument/2006/relationships/hyperlink" Target="https://rarejapanesenfts.com/ja/nft/newyearpepe-ja/" TargetMode="External"/><Relationship Id="rId1117" Type="http://schemas.openxmlformats.org/officeDocument/2006/relationships/hyperlink" Target="https://rarejapanesenfts.com/ja/nft/friendspepe-ja/" TargetMode="External"/><Relationship Id="rId22" Type="http://schemas.openxmlformats.org/officeDocument/2006/relationships/hyperlink" Target="https://rarejapanesenfts.com/nft/thedaodead/" TargetMode="External"/><Relationship Id="rId1118" Type="http://schemas.openxmlformats.org/officeDocument/2006/relationships/hyperlink" Target="https://rarejapanesenfts.com/ja/nft/secretpepe-ja/" TargetMode="External"/><Relationship Id="rId21" Type="http://schemas.openxmlformats.org/officeDocument/2006/relationships/hyperlink" Target="https://rarejapanesenfts.com/nft/xemurai/" TargetMode="External"/><Relationship Id="rId1119" Type="http://schemas.openxmlformats.org/officeDocument/2006/relationships/hyperlink" Target="https://rarejapanesenfts.com/ja/nft/peperich-ja/" TargetMode="External"/><Relationship Id="rId24" Type="http://schemas.openxmlformats.org/officeDocument/2006/relationships/hyperlink" Target="https://rarejapanesenfts.com/nft/monacoingirl/" TargetMode="External"/><Relationship Id="rId23" Type="http://schemas.openxmlformats.org/officeDocument/2006/relationships/hyperlink" Target="https://rarejapanesenfts.com/nft/bitcoingirl/" TargetMode="External"/><Relationship Id="rId525" Type="http://schemas.openxmlformats.org/officeDocument/2006/relationships/hyperlink" Target="https://rarejapanesenfts.com/ja/nft/pepeakiba-ja/" TargetMode="External"/><Relationship Id="rId767" Type="http://schemas.openxmlformats.org/officeDocument/2006/relationships/hyperlink" Target="https://rarejapanesenfts.com/ja/nft/fwcfcsummonc-ja/" TargetMode="External"/><Relationship Id="rId524" Type="http://schemas.openxmlformats.org/officeDocument/2006/relationships/hyperlink" Target="https://rarejapanesenfts.com/nft/pepeakiba/" TargetMode="External"/><Relationship Id="rId766" Type="http://schemas.openxmlformats.org/officeDocument/2006/relationships/hyperlink" Target="https://rarejapanesenfts.com/nft/fwcfcsummonc/" TargetMode="External"/><Relationship Id="rId523" Type="http://schemas.openxmlformats.org/officeDocument/2006/relationships/hyperlink" Target="https://rarejapanesenfts.com/ja/nft/pepepeace-ja/" TargetMode="External"/><Relationship Id="rId765" Type="http://schemas.openxmlformats.org/officeDocument/2006/relationships/hyperlink" Target="https://rarejapanesenfts.com/ja/nft/fwcfcbirdofc-ja/" TargetMode="External"/><Relationship Id="rId522" Type="http://schemas.openxmlformats.org/officeDocument/2006/relationships/hyperlink" Target="https://rarejapanesenfts.com/nft/pepepeace/" TargetMode="External"/><Relationship Id="rId764" Type="http://schemas.openxmlformats.org/officeDocument/2006/relationships/hyperlink" Target="https://rarejapanesenfts.com/nft/fwcfcbirdofc/" TargetMode="External"/><Relationship Id="rId529" Type="http://schemas.openxmlformats.org/officeDocument/2006/relationships/hyperlink" Target="https://rarejapanesenfts.com/ja/nft/hinamatsuri-ja/" TargetMode="External"/><Relationship Id="rId528" Type="http://schemas.openxmlformats.org/officeDocument/2006/relationships/hyperlink" Target="https://rarejapanesenfts.com/nft/hinamatsuri/" TargetMode="External"/><Relationship Id="rId527" Type="http://schemas.openxmlformats.org/officeDocument/2006/relationships/hyperlink" Target="https://rarejapanesenfts.com/ja/nft/sakurapenpen-ja/" TargetMode="External"/><Relationship Id="rId769" Type="http://schemas.openxmlformats.org/officeDocument/2006/relationships/hyperlink" Target="https://rarejapanesenfts.com/ja/nft/fwcfcstargac-ja/" TargetMode="External"/><Relationship Id="rId526" Type="http://schemas.openxmlformats.org/officeDocument/2006/relationships/hyperlink" Target="https://rarejapanesenfts.com/nft/sakurapenpen/" TargetMode="External"/><Relationship Id="rId768" Type="http://schemas.openxmlformats.org/officeDocument/2006/relationships/hyperlink" Target="https://rarejapanesenfts.com/nft/fwcfcstargac/" TargetMode="External"/><Relationship Id="rId26" Type="http://schemas.openxmlformats.org/officeDocument/2006/relationships/hyperlink" Target="https://rarejapanesenfts.com/nft/mikehearnalt/" TargetMode="External"/><Relationship Id="rId25" Type="http://schemas.openxmlformats.org/officeDocument/2006/relationships/hyperlink" Target="https://rarejapanesenfts.com/nft/minerb/" TargetMode="External"/><Relationship Id="rId28" Type="http://schemas.openxmlformats.org/officeDocument/2006/relationships/hyperlink" Target="https://rarejapanesenfts.com/nft/tothemooncd/" TargetMode="External"/><Relationship Id="rId27" Type="http://schemas.openxmlformats.org/officeDocument/2006/relationships/hyperlink" Target="https://rarejapanesenfts.com/nft/originofmc/" TargetMode="External"/><Relationship Id="rId521" Type="http://schemas.openxmlformats.org/officeDocument/2006/relationships/hyperlink" Target="https://rarejapanesenfts.com/ja/nft/pepejpn-ja/" TargetMode="External"/><Relationship Id="rId763" Type="http://schemas.openxmlformats.org/officeDocument/2006/relationships/hyperlink" Target="https://rarejapanesenfts.com/ja/nft/fwcfccloninc-ja/" TargetMode="External"/><Relationship Id="rId1110" Type="http://schemas.openxmlformats.org/officeDocument/2006/relationships/hyperlink" Target="https://rarejapanesenfts.com/ja/nft/pepetodamoon-ja/" TargetMode="External"/><Relationship Id="rId29" Type="http://schemas.openxmlformats.org/officeDocument/2006/relationships/hyperlink" Target="https://rarejapanesenfts.com/nft/bigonestep/" TargetMode="External"/><Relationship Id="rId520" Type="http://schemas.openxmlformats.org/officeDocument/2006/relationships/hyperlink" Target="https://rarejapanesenfts.com/nft/pepejpn/" TargetMode="External"/><Relationship Id="rId762" Type="http://schemas.openxmlformats.org/officeDocument/2006/relationships/hyperlink" Target="https://rarejapanesenfts.com/nft/fwcfccloninc/" TargetMode="External"/><Relationship Id="rId1111" Type="http://schemas.openxmlformats.org/officeDocument/2006/relationships/hyperlink" Target="https://rarejapanesenfts.com/ja/nft/drillpepe-ja/" TargetMode="External"/><Relationship Id="rId761" Type="http://schemas.openxmlformats.org/officeDocument/2006/relationships/hyperlink" Target="https://rarejapanesenfts.com/ja/nft/fwcfccreamuc-ja/" TargetMode="External"/><Relationship Id="rId1112" Type="http://schemas.openxmlformats.org/officeDocument/2006/relationships/hyperlink" Target="https://rarejapanesenfts.com/ja/nft/samuraipepe-ja/" TargetMode="External"/><Relationship Id="rId760" Type="http://schemas.openxmlformats.org/officeDocument/2006/relationships/hyperlink" Target="https://rarejapanesenfts.com/nft/fwcfccreamuc/" TargetMode="External"/><Relationship Id="rId1113" Type="http://schemas.openxmlformats.org/officeDocument/2006/relationships/hyperlink" Target="https://rarejapanesenfts.com/ja/nft/zzzzpepe-ja/" TargetMode="External"/><Relationship Id="rId1103" Type="http://schemas.openxmlformats.org/officeDocument/2006/relationships/hyperlink" Target="https://rarejapanesenfts.com/ja/nft/pepejapan-ja/" TargetMode="External"/><Relationship Id="rId1104" Type="http://schemas.openxmlformats.org/officeDocument/2006/relationships/hyperlink" Target="https://rarejapanesenfts.com/ja/nft/longnosepepe-ja/" TargetMode="External"/><Relationship Id="rId1105" Type="http://schemas.openxmlformats.org/officeDocument/2006/relationships/hyperlink" Target="https://rarejapanesenfts.com/ja/nft/pepegreen-ja/" TargetMode="External"/><Relationship Id="rId1106" Type="http://schemas.openxmlformats.org/officeDocument/2006/relationships/hyperlink" Target="https://rarejapanesenfts.com/ja/nft/pepecamo-ja/" TargetMode="External"/><Relationship Id="rId11" Type="http://schemas.openxmlformats.org/officeDocument/2006/relationships/hyperlink" Target="https://rarejapanesenfts.com/nft/oshikomare/" TargetMode="External"/><Relationship Id="rId1107" Type="http://schemas.openxmlformats.org/officeDocument/2006/relationships/hyperlink" Target="https://rarejapanesenfts.com/ja/nft/peperaccoon-ja/" TargetMode="External"/><Relationship Id="rId10" Type="http://schemas.openxmlformats.org/officeDocument/2006/relationships/hyperlink" Target="https://rarejapanesenfts.com/nft/nobunsan/" TargetMode="External"/><Relationship Id="rId1108" Type="http://schemas.openxmlformats.org/officeDocument/2006/relationships/hyperlink" Target="https://rarejapanesenfts.com/ja/nft/comedypepe-ja/" TargetMode="External"/><Relationship Id="rId13" Type="http://schemas.openxmlformats.org/officeDocument/2006/relationships/hyperlink" Target="https://rarejapanesenfts.com/nft/shibacoiner/" TargetMode="External"/><Relationship Id="rId1109" Type="http://schemas.openxmlformats.org/officeDocument/2006/relationships/hyperlink" Target="https://rarejapanesenfts.com/ja/nft/sixtysixpepe-ja/" TargetMode="External"/><Relationship Id="rId12" Type="http://schemas.openxmlformats.org/officeDocument/2006/relationships/hyperlink" Target="https://rarejapanesenfts.com/nft/notsoon/" TargetMode="External"/><Relationship Id="rId519" Type="http://schemas.openxmlformats.org/officeDocument/2006/relationships/hyperlink" Target="https://rarejapanesenfts.com/ja/nft/pepesurfing-2/" TargetMode="External"/><Relationship Id="rId514" Type="http://schemas.openxmlformats.org/officeDocument/2006/relationships/hyperlink" Target="https://rarejapanesenfts.com/nft/japanesepepe/" TargetMode="External"/><Relationship Id="rId756" Type="http://schemas.openxmlformats.org/officeDocument/2006/relationships/hyperlink" Target="https://rarejapanesenfts.com/nft/fwcfcfavorac/" TargetMode="External"/><Relationship Id="rId998" Type="http://schemas.openxmlformats.org/officeDocument/2006/relationships/hyperlink" Target="https://rarejapanesenfts.com/ja/nft/pumpepe-ja/" TargetMode="External"/><Relationship Id="rId513" Type="http://schemas.openxmlformats.org/officeDocument/2006/relationships/hyperlink" Target="https://rarejapanesenfts.com/ja/nft/noborderpepe-ja/" TargetMode="External"/><Relationship Id="rId755" Type="http://schemas.openxmlformats.org/officeDocument/2006/relationships/hyperlink" Target="https://rarejapanesenfts.com/ja/nft/fwcfcflyingc-ja/" TargetMode="External"/><Relationship Id="rId997" Type="http://schemas.openxmlformats.org/officeDocument/2006/relationships/hyperlink" Target="https://rarejapanesenfts.com/ja/nft/omatsuri-ja/" TargetMode="External"/><Relationship Id="rId512" Type="http://schemas.openxmlformats.org/officeDocument/2006/relationships/hyperlink" Target="https://rarejapanesenfts.com/nft/noborderpepe/" TargetMode="External"/><Relationship Id="rId754" Type="http://schemas.openxmlformats.org/officeDocument/2006/relationships/hyperlink" Target="https://rarejapanesenfts.com/nft/fwcfcflyingc/" TargetMode="External"/><Relationship Id="rId996" Type="http://schemas.openxmlformats.org/officeDocument/2006/relationships/hyperlink" Target="https://rarejapanesenfts.com/ja/nft/numeraiai-ja/" TargetMode="External"/><Relationship Id="rId511" Type="http://schemas.openxmlformats.org/officeDocument/2006/relationships/hyperlink" Target="https://rarejapanesenfts.com/ja/nft/penpen-ja/" TargetMode="External"/><Relationship Id="rId753" Type="http://schemas.openxmlformats.org/officeDocument/2006/relationships/hyperlink" Target="https://rarejapanesenfts.com/ja/nft/fwcfcheavenc-ja/" TargetMode="External"/><Relationship Id="rId995" Type="http://schemas.openxmlformats.org/officeDocument/2006/relationships/hyperlink" Target="https://rarejapanesenfts.com/ja/nft/nemberbecool-ja/" TargetMode="External"/><Relationship Id="rId518" Type="http://schemas.openxmlformats.org/officeDocument/2006/relationships/hyperlink" Target="https://rarejapanesenfts.com/nft/pepesurfing/" TargetMode="External"/><Relationship Id="rId517" Type="http://schemas.openxmlformats.org/officeDocument/2006/relationships/hyperlink" Target="https://rarejapanesenfts.com/ja/nft/tempurapepe-ja/" TargetMode="External"/><Relationship Id="rId759" Type="http://schemas.openxmlformats.org/officeDocument/2006/relationships/hyperlink" Target="https://rarejapanesenfts.com/ja/nft/fwcfcelfoftc-ja/" TargetMode="External"/><Relationship Id="rId516" Type="http://schemas.openxmlformats.org/officeDocument/2006/relationships/hyperlink" Target="https://rarejapanesenfts.com/nft/tempurapepe/" TargetMode="External"/><Relationship Id="rId758" Type="http://schemas.openxmlformats.org/officeDocument/2006/relationships/hyperlink" Target="https://rarejapanesenfts.com/nft/fwcfcelfoftc/" TargetMode="External"/><Relationship Id="rId515" Type="http://schemas.openxmlformats.org/officeDocument/2006/relationships/hyperlink" Target="https://rarejapanesenfts.com/ja/nft/japanesepepe-ja/" TargetMode="External"/><Relationship Id="rId757" Type="http://schemas.openxmlformats.org/officeDocument/2006/relationships/hyperlink" Target="https://rarejapanesenfts.com/ja/nft/fwcfcfavorac-ja/" TargetMode="External"/><Relationship Id="rId999" Type="http://schemas.openxmlformats.org/officeDocument/2006/relationships/hyperlink" Target="https://rarejapanesenfts.com/ja/nft/sograid-ja/" TargetMode="External"/><Relationship Id="rId15" Type="http://schemas.openxmlformats.org/officeDocument/2006/relationships/hyperlink" Target="https://rarejapanesenfts.com/nft/shitto/" TargetMode="External"/><Relationship Id="rId990" Type="http://schemas.openxmlformats.org/officeDocument/2006/relationships/hyperlink" Target="https://rarejapanesenfts.com/ja/nft/kusacoin-ja/" TargetMode="External"/><Relationship Id="rId14" Type="http://schemas.openxmlformats.org/officeDocument/2006/relationships/hyperlink" Target="https://rarejapanesenfts.com/nft/goxgirl/" TargetMode="External"/><Relationship Id="rId17" Type="http://schemas.openxmlformats.org/officeDocument/2006/relationships/hyperlink" Target="https://rarejapanesenfts.com/nft/wacknakamoto/" TargetMode="External"/><Relationship Id="rId16" Type="http://schemas.openxmlformats.org/officeDocument/2006/relationships/hyperlink" Target="https://rarejapanesenfts.com/nft/dogemusk/" TargetMode="External"/><Relationship Id="rId19" Type="http://schemas.openxmlformats.org/officeDocument/2006/relationships/hyperlink" Target="https://rarejapanesenfts.com/nft/goxandthedao/" TargetMode="External"/><Relationship Id="rId510" Type="http://schemas.openxmlformats.org/officeDocument/2006/relationships/hyperlink" Target="https://rarejapanesenfts.com/nft/penpen/" TargetMode="External"/><Relationship Id="rId752" Type="http://schemas.openxmlformats.org/officeDocument/2006/relationships/hyperlink" Target="https://rarejapanesenfts.com/nft/fwcfcheavenc/" TargetMode="External"/><Relationship Id="rId994" Type="http://schemas.openxmlformats.org/officeDocument/2006/relationships/hyperlink" Target="https://rarejapanesenfts.com/ja/nft/mpmegashock-ja/" TargetMode="External"/><Relationship Id="rId18" Type="http://schemas.openxmlformats.org/officeDocument/2006/relationships/hyperlink" Target="https://rarejapanesenfts.com/nft/thegodtanu/" TargetMode="External"/><Relationship Id="rId751" Type="http://schemas.openxmlformats.org/officeDocument/2006/relationships/hyperlink" Target="https://rarejapanesenfts.com/ja/nft/fwcfcmagicbc-ja/" TargetMode="External"/><Relationship Id="rId993" Type="http://schemas.openxmlformats.org/officeDocument/2006/relationships/hyperlink" Target="https://rarejapanesenfts.com/ja/nft/momejinja-ja/" TargetMode="External"/><Relationship Id="rId1100" Type="http://schemas.openxmlformats.org/officeDocument/2006/relationships/hyperlink" Target="https://rarejapanesenfts.com/ja/nft/surfwaves-ja/" TargetMode="External"/><Relationship Id="rId750" Type="http://schemas.openxmlformats.org/officeDocument/2006/relationships/hyperlink" Target="https://rarejapanesenfts.com/nft/fwcfcmagicbc/" TargetMode="External"/><Relationship Id="rId992" Type="http://schemas.openxmlformats.org/officeDocument/2006/relationships/hyperlink" Target="https://rarejapanesenfts.com/ja/nft/mccomer-ja/" TargetMode="External"/><Relationship Id="rId1101" Type="http://schemas.openxmlformats.org/officeDocument/2006/relationships/hyperlink" Target="https://rarejapanesenfts.com/ja/nft/thetebasaki-ja/" TargetMode="External"/><Relationship Id="rId991" Type="http://schemas.openxmlformats.org/officeDocument/2006/relationships/hyperlink" Target="https://rarejapanesenfts.com/ja/nft/maidchan-ja/" TargetMode="External"/><Relationship Id="rId1102" Type="http://schemas.openxmlformats.org/officeDocument/2006/relationships/hyperlink" Target="https://rarejapanesenfts.com/ja/nft/whoissatoshi-ja/" TargetMode="External"/><Relationship Id="rId84" Type="http://schemas.openxmlformats.org/officeDocument/2006/relationships/hyperlink" Target="https://rarejapanesenfts.com/nft/segwitshi/" TargetMode="External"/><Relationship Id="rId83" Type="http://schemas.openxmlformats.org/officeDocument/2006/relationships/hyperlink" Target="https://rarejapanesenfts.com/nft/nemangel/" TargetMode="External"/><Relationship Id="rId86" Type="http://schemas.openxmlformats.org/officeDocument/2006/relationships/hyperlink" Target="https://rarejapanesenfts.com/nft/gripgirl/" TargetMode="External"/><Relationship Id="rId85" Type="http://schemas.openxmlformats.org/officeDocument/2006/relationships/hyperlink" Target="https://rarejapanesenfts.com/nft/shitcoiner/" TargetMode="External"/><Relationship Id="rId88" Type="http://schemas.openxmlformats.org/officeDocument/2006/relationships/hyperlink" Target="https://rarejapanesenfts.com/nft/decentoracle/" TargetMode="External"/><Relationship Id="rId87" Type="http://schemas.openxmlformats.org/officeDocument/2006/relationships/hyperlink" Target="https://rarejapanesenfts.com/nft/bitzeny/" TargetMode="External"/><Relationship Id="rId89" Type="http://schemas.openxmlformats.org/officeDocument/2006/relationships/hyperlink" Target="https://rarejapanesenfts.com/nft/masteringpc/" TargetMode="External"/><Relationship Id="rId709" Type="http://schemas.openxmlformats.org/officeDocument/2006/relationships/hyperlink" Target="https://rarejapanesenfts.com/ja/nft/fwcfcservanc-ja/" TargetMode="External"/><Relationship Id="rId708" Type="http://schemas.openxmlformats.org/officeDocument/2006/relationships/hyperlink" Target="https://rarejapanesenfts.com/nft/fwcfcservanc/" TargetMode="External"/><Relationship Id="rId707" Type="http://schemas.openxmlformats.org/officeDocument/2006/relationships/hyperlink" Target="https://rarejapanesenfts.com/ja/nft/fwcfctheblac-ja/" TargetMode="External"/><Relationship Id="rId949" Type="http://schemas.openxmlformats.org/officeDocument/2006/relationships/hyperlink" Target="https://rarejapanesenfts.com/ja/nft/potcoiner-ja/" TargetMode="External"/><Relationship Id="rId706" Type="http://schemas.openxmlformats.org/officeDocument/2006/relationships/hyperlink" Target="https://rarejapanesenfts.com/nft/fwcfctheblac/" TargetMode="External"/><Relationship Id="rId948" Type="http://schemas.openxmlformats.org/officeDocument/2006/relationships/hyperlink" Target="https://rarejapanesenfts.com/ja/nft/originofsog-ja/" TargetMode="External"/><Relationship Id="rId80" Type="http://schemas.openxmlformats.org/officeDocument/2006/relationships/hyperlink" Target="https://rarejapanesenfts.com/nft/potcoiner/" TargetMode="External"/><Relationship Id="rId82" Type="http://schemas.openxmlformats.org/officeDocument/2006/relationships/hyperlink" Target="https://rarejapanesenfts.com/nft/theicodead/" TargetMode="External"/><Relationship Id="rId81" Type="http://schemas.openxmlformats.org/officeDocument/2006/relationships/hyperlink" Target="https://rarejapanesenfts.com/nft/xcppeople/" TargetMode="External"/><Relationship Id="rId701" Type="http://schemas.openxmlformats.org/officeDocument/2006/relationships/hyperlink" Target="https://rarejapanesenfts.com/ja/nft/fwcfcumrattc-ja/" TargetMode="External"/><Relationship Id="rId943" Type="http://schemas.openxmlformats.org/officeDocument/2006/relationships/hyperlink" Target="https://rarejapanesenfts.com/ja/nft/mcharvesting-ja/" TargetMode="External"/><Relationship Id="rId700" Type="http://schemas.openxmlformats.org/officeDocument/2006/relationships/hyperlink" Target="https://rarejapanesenfts.com/nft/fwcfcumrattc/" TargetMode="External"/><Relationship Id="rId942" Type="http://schemas.openxmlformats.org/officeDocument/2006/relationships/hyperlink" Target="https://rarejapanesenfts.com/ja/nft/foreverp-ja/" TargetMode="External"/><Relationship Id="rId941" Type="http://schemas.openxmlformats.org/officeDocument/2006/relationships/hyperlink" Target="https://rarejapanesenfts.com/ja/nft/cryptorpg-ja/" TargetMode="External"/><Relationship Id="rId940" Type="http://schemas.openxmlformats.org/officeDocument/2006/relationships/hyperlink" Target="https://rarejapanesenfts.com/ja/nft/yomegox-ja/" TargetMode="External"/><Relationship Id="rId705" Type="http://schemas.openxmlformats.org/officeDocument/2006/relationships/hyperlink" Target="https://rarejapanesenfts.com/ja/nft/fwcfcthegatc-ja/" TargetMode="External"/><Relationship Id="rId947" Type="http://schemas.openxmlformats.org/officeDocument/2006/relationships/hyperlink" Target="https://rarejapanesenfts.com/ja/nft/xemtattoo-ja/" TargetMode="External"/><Relationship Id="rId704" Type="http://schemas.openxmlformats.org/officeDocument/2006/relationships/hyperlink" Target="https://rarejapanesenfts.com/nft/fwcfcthegatc/" TargetMode="External"/><Relationship Id="rId946" Type="http://schemas.openxmlformats.org/officeDocument/2006/relationships/hyperlink" Target="https://rarejapanesenfts.com/ja/nft/monatattoo-ja/" TargetMode="External"/><Relationship Id="rId703" Type="http://schemas.openxmlformats.org/officeDocument/2006/relationships/hyperlink" Target="https://rarejapanesenfts.com/ja/nft/fwcfcthenamc-ja/" TargetMode="External"/><Relationship Id="rId945" Type="http://schemas.openxmlformats.org/officeDocument/2006/relationships/hyperlink" Target="https://rarejapanesenfts.com/ja/nft/monapepecard-ja/" TargetMode="External"/><Relationship Id="rId702" Type="http://schemas.openxmlformats.org/officeDocument/2006/relationships/hyperlink" Target="https://rarejapanesenfts.com/nft/fwcfcthenamc/" TargetMode="External"/><Relationship Id="rId944" Type="http://schemas.openxmlformats.org/officeDocument/2006/relationships/hyperlink" Target="https://rarejapanesenfts.com/ja/nft/mcripplenw-ja/" TargetMode="External"/><Relationship Id="rId73" Type="http://schemas.openxmlformats.org/officeDocument/2006/relationships/hyperlink" Target="https://rarejapanesenfts.com/nft/foreverp/" TargetMode="External"/><Relationship Id="rId72" Type="http://schemas.openxmlformats.org/officeDocument/2006/relationships/hyperlink" Target="https://rarejapanesenfts.com/nft/cryptorpg/" TargetMode="External"/><Relationship Id="rId75" Type="http://schemas.openxmlformats.org/officeDocument/2006/relationships/hyperlink" Target="https://rarejapanesenfts.com/nft/mcripplenw/" TargetMode="External"/><Relationship Id="rId74" Type="http://schemas.openxmlformats.org/officeDocument/2006/relationships/hyperlink" Target="https://rarejapanesenfts.com/nft/mcharvesting/" TargetMode="External"/><Relationship Id="rId77" Type="http://schemas.openxmlformats.org/officeDocument/2006/relationships/hyperlink" Target="https://rarejapanesenfts.com/nft/monatattoo/" TargetMode="External"/><Relationship Id="rId76" Type="http://schemas.openxmlformats.org/officeDocument/2006/relationships/hyperlink" Target="https://rarejapanesenfts.com/nft/monapepecard/" TargetMode="External"/><Relationship Id="rId79" Type="http://schemas.openxmlformats.org/officeDocument/2006/relationships/hyperlink" Target="https://rarejapanesenfts.com/nft/originofsog/" TargetMode="External"/><Relationship Id="rId78" Type="http://schemas.openxmlformats.org/officeDocument/2006/relationships/hyperlink" Target="https://rarejapanesenfts.com/nft/xemtattoo/" TargetMode="External"/><Relationship Id="rId939" Type="http://schemas.openxmlformats.org/officeDocument/2006/relationships/hyperlink" Target="https://rarejapanesenfts.com/ja/nft/ccgannen-ja/" TargetMode="External"/><Relationship Id="rId938" Type="http://schemas.openxmlformats.org/officeDocument/2006/relationships/hyperlink" Target="https://rarejapanesenfts.com/ja/nft/zaifgirls-ja/" TargetMode="External"/><Relationship Id="rId937" Type="http://schemas.openxmlformats.org/officeDocument/2006/relationships/hyperlink" Target="https://rarejapanesenfts.com/ja/nft/wackwatanabe-ja/" TargetMode="External"/><Relationship Id="rId71" Type="http://schemas.openxmlformats.org/officeDocument/2006/relationships/hyperlink" Target="https://rarejapanesenfts.com/nft/yomegox/" TargetMode="External"/><Relationship Id="rId70" Type="http://schemas.openxmlformats.org/officeDocument/2006/relationships/hyperlink" Target="https://rarejapanesenfts.com/nft/ccgannen/" TargetMode="External"/><Relationship Id="rId932" Type="http://schemas.openxmlformats.org/officeDocument/2006/relationships/hyperlink" Target="https://rarejapanesenfts.com/ja/nft/hodlonme-ja/" TargetMode="External"/><Relationship Id="rId931" Type="http://schemas.openxmlformats.org/officeDocument/2006/relationships/hyperlink" Target="https://rarejapanesenfts.com/ja/nft/garikuson-ja/" TargetMode="External"/><Relationship Id="rId930" Type="http://schemas.openxmlformats.org/officeDocument/2006/relationships/hyperlink" Target="https://rarejapanesenfts.com/ja/nft/scamhazard-ja/" TargetMode="External"/><Relationship Id="rId936" Type="http://schemas.openxmlformats.org/officeDocument/2006/relationships/hyperlink" Target="https://rarejapanesenfts.com/ja/nft/tlod-ja/" TargetMode="External"/><Relationship Id="rId935" Type="http://schemas.openxmlformats.org/officeDocument/2006/relationships/hyperlink" Target="https://rarejapanesenfts.com/ja/nft/theakanpany-ja/" TargetMode="External"/><Relationship Id="rId934" Type="http://schemas.openxmlformats.org/officeDocument/2006/relationships/hyperlink" Target="https://rarejapanesenfts.com/ja/nft/sroadcamel-ja/" TargetMode="External"/><Relationship Id="rId933" Type="http://schemas.openxmlformats.org/officeDocument/2006/relationships/hyperlink" Target="https://rarejapanesenfts.com/ja/nft/trezormylove-ja/" TargetMode="External"/><Relationship Id="rId62" Type="http://schemas.openxmlformats.org/officeDocument/2006/relationships/hyperlink" Target="https://rarejapanesenfts.com/nft/garikuson/" TargetMode="External"/><Relationship Id="rId61" Type="http://schemas.openxmlformats.org/officeDocument/2006/relationships/hyperlink" Target="https://rarejapanesenfts.com/nft/scamhazard/" TargetMode="External"/><Relationship Id="rId64" Type="http://schemas.openxmlformats.org/officeDocument/2006/relationships/hyperlink" Target="https://rarejapanesenfts.com/nft/trezormylove/" TargetMode="External"/><Relationship Id="rId63" Type="http://schemas.openxmlformats.org/officeDocument/2006/relationships/hyperlink" Target="https://rarejapanesenfts.com/nft/hodlonme/" TargetMode="External"/><Relationship Id="rId66" Type="http://schemas.openxmlformats.org/officeDocument/2006/relationships/hyperlink" Target="https://rarejapanesenfts.com/nft/theakanpany/" TargetMode="External"/><Relationship Id="rId65" Type="http://schemas.openxmlformats.org/officeDocument/2006/relationships/hyperlink" Target="https://rarejapanesenfts.com/nft/sroadcamel/" TargetMode="External"/><Relationship Id="rId68" Type="http://schemas.openxmlformats.org/officeDocument/2006/relationships/hyperlink" Target="https://rarejapanesenfts.com/nft/wackwatanabe/" TargetMode="External"/><Relationship Id="rId67" Type="http://schemas.openxmlformats.org/officeDocument/2006/relationships/hyperlink" Target="https://rarejapanesenfts.com/nft/tlod/" TargetMode="External"/><Relationship Id="rId729" Type="http://schemas.openxmlformats.org/officeDocument/2006/relationships/hyperlink" Target="https://rarejapanesenfts.com/ja/nft/fwcfcanencoc-ja/" TargetMode="External"/><Relationship Id="rId728" Type="http://schemas.openxmlformats.org/officeDocument/2006/relationships/hyperlink" Target="https://rarejapanesenfts.com/nft/fwcfcanencoc/" TargetMode="External"/><Relationship Id="rId60" Type="http://schemas.openxmlformats.org/officeDocument/2006/relationships/hyperlink" Target="https://rarejapanesenfts.com/nft/powmonster/" TargetMode="External"/><Relationship Id="rId723" Type="http://schemas.openxmlformats.org/officeDocument/2006/relationships/hyperlink" Target="https://rarejapanesenfts.com/ja/nft/fwcfceterecc-ja/" TargetMode="External"/><Relationship Id="rId965" Type="http://schemas.openxmlformats.org/officeDocument/2006/relationships/hyperlink" Target="https://rarejapanesenfts.com/ja/nft/pepemodoki-ja/" TargetMode="External"/><Relationship Id="rId722" Type="http://schemas.openxmlformats.org/officeDocument/2006/relationships/hyperlink" Target="https://rarejapanesenfts.com/nft/fwcfceterecc/" TargetMode="External"/><Relationship Id="rId964" Type="http://schemas.openxmlformats.org/officeDocument/2006/relationships/hyperlink" Target="https://rarejapanesenfts.com/ja/nft/nharvest-ja/" TargetMode="External"/><Relationship Id="rId721" Type="http://schemas.openxmlformats.org/officeDocument/2006/relationships/hyperlink" Target="https://rarejapanesenfts.com/ja/nft/fwcfcmadonic-ja/" TargetMode="External"/><Relationship Id="rId963" Type="http://schemas.openxmlformats.org/officeDocument/2006/relationships/hyperlink" Target="https://rarejapanesenfts.com/ja/nft/meigen-ja/" TargetMode="External"/><Relationship Id="rId720" Type="http://schemas.openxmlformats.org/officeDocument/2006/relationships/hyperlink" Target="https://rarejapanesenfts.com/nft/fwcfcmadonic/" TargetMode="External"/><Relationship Id="rId962" Type="http://schemas.openxmlformats.org/officeDocument/2006/relationships/hyperlink" Target="https://rarejapanesenfts.com/ja/nft/kingofcc-ja/" TargetMode="External"/><Relationship Id="rId727" Type="http://schemas.openxmlformats.org/officeDocument/2006/relationships/hyperlink" Target="https://rarejapanesenfts.com/ja/nft/fwcfcazathoc-ja/" TargetMode="External"/><Relationship Id="rId969" Type="http://schemas.openxmlformats.org/officeDocument/2006/relationships/hyperlink" Target="https://rarejapanesenfts.com/ja/nft/snwarmheart-ja/" TargetMode="External"/><Relationship Id="rId726" Type="http://schemas.openxmlformats.org/officeDocument/2006/relationships/hyperlink" Target="https://rarejapanesenfts.com/nft/fwcfcazathoc/" TargetMode="External"/><Relationship Id="rId968" Type="http://schemas.openxmlformats.org/officeDocument/2006/relationships/hyperlink" Target="https://rarejapanesenfts.com/ja/nft/untraceable-ja/" TargetMode="External"/><Relationship Id="rId725" Type="http://schemas.openxmlformats.org/officeDocument/2006/relationships/hyperlink" Target="https://rarejapanesenfts.com/ja/nft/fwcfccreatuc-ja/" TargetMode="External"/><Relationship Id="rId967" Type="http://schemas.openxmlformats.org/officeDocument/2006/relationships/hyperlink" Target="https://rarejapanesenfts.com/ja/nft/smartdubai-ja/" TargetMode="External"/><Relationship Id="rId724" Type="http://schemas.openxmlformats.org/officeDocument/2006/relationships/hyperlink" Target="https://rarejapanesenfts.com/nft/fwcfccreatuc/" TargetMode="External"/><Relationship Id="rId966" Type="http://schemas.openxmlformats.org/officeDocument/2006/relationships/hyperlink" Target="https://rarejapanesenfts.com/ja/nft/rappleboy-ja/" TargetMode="External"/><Relationship Id="rId69" Type="http://schemas.openxmlformats.org/officeDocument/2006/relationships/hyperlink" Target="https://rarejapanesenfts.com/nft/zaifgirls/" TargetMode="External"/><Relationship Id="rId961" Type="http://schemas.openxmlformats.org/officeDocument/2006/relationships/hyperlink" Target="https://rarejapanesenfts.com/ja/nft/inago-ja/" TargetMode="External"/><Relationship Id="rId960" Type="http://schemas.openxmlformats.org/officeDocument/2006/relationships/hyperlink" Target="https://rarejapanesenfts.com/ja/nft/hogehoge-ja/" TargetMode="External"/><Relationship Id="rId51" Type="http://schemas.openxmlformats.org/officeDocument/2006/relationships/hyperlink" Target="https://rarejapanesenfts.com/nft/ethhomestead/" TargetMode="External"/><Relationship Id="rId50" Type="http://schemas.openxmlformats.org/officeDocument/2006/relationships/hyperlink" Target="https://rarejapanesenfts.com/nft/cryptogirls/" TargetMode="External"/><Relationship Id="rId53" Type="http://schemas.openxmlformats.org/officeDocument/2006/relationships/hyperlink" Target="https://rarejapanesenfts.com/nft/ecobitwoman/" TargetMode="External"/><Relationship Id="rId52" Type="http://schemas.openxmlformats.org/officeDocument/2006/relationships/hyperlink" Target="https://rarejapanesenfts.com/nft/ethfrontier/" TargetMode="External"/><Relationship Id="rId55" Type="http://schemas.openxmlformats.org/officeDocument/2006/relationships/hyperlink" Target="https://rarejapanesenfts.com/nft/bmantbleed/" TargetMode="External"/><Relationship Id="rId54" Type="http://schemas.openxmlformats.org/officeDocument/2006/relationships/hyperlink" Target="https://rarejapanesenfts.com/nft/bccard/" TargetMode="External"/><Relationship Id="rId57" Type="http://schemas.openxmlformats.org/officeDocument/2006/relationships/hyperlink" Target="https://rarejapanesenfts.com/nft/btctattoo/" TargetMode="External"/><Relationship Id="rId56" Type="http://schemas.openxmlformats.org/officeDocument/2006/relationships/hyperlink" Target="https://rarejapanesenfts.com/nft/botcoiner/" TargetMode="External"/><Relationship Id="rId719" Type="http://schemas.openxmlformats.org/officeDocument/2006/relationships/hyperlink" Target="https://rarejapanesenfts.com/ja/nft/fwcfconigovc-ja/" TargetMode="External"/><Relationship Id="rId718" Type="http://schemas.openxmlformats.org/officeDocument/2006/relationships/hyperlink" Target="https://rarejapanesenfts.com/nft/fwcfconigovc/" TargetMode="External"/><Relationship Id="rId717" Type="http://schemas.openxmlformats.org/officeDocument/2006/relationships/hyperlink" Target="https://rarejapanesenfts.com/ja/nft/fwcfcpriestc-ja/" TargetMode="External"/><Relationship Id="rId959" Type="http://schemas.openxmlformats.org/officeDocument/2006/relationships/hyperlink" Target="https://rarejapanesenfts.com/ja/nft/scamcoinshop-ja/" TargetMode="External"/><Relationship Id="rId712" Type="http://schemas.openxmlformats.org/officeDocument/2006/relationships/hyperlink" Target="https://rarejapanesenfts.com/nft/fwcfcresonac/" TargetMode="External"/><Relationship Id="rId954" Type="http://schemas.openxmlformats.org/officeDocument/2006/relationships/hyperlink" Target="https://rarejapanesenfts.com/ja/nft/shitcoiner-ja/" TargetMode="External"/><Relationship Id="rId711" Type="http://schemas.openxmlformats.org/officeDocument/2006/relationships/hyperlink" Target="https://rarejapanesenfts.com/ja/nft/fwcfcrinkasc-ja/" TargetMode="External"/><Relationship Id="rId953" Type="http://schemas.openxmlformats.org/officeDocument/2006/relationships/hyperlink" Target="https://rarejapanesenfts.com/ja/nft/segwitshi-ja/" TargetMode="External"/><Relationship Id="rId710" Type="http://schemas.openxmlformats.org/officeDocument/2006/relationships/hyperlink" Target="https://rarejapanesenfts.com/nft/fwcfcrinkasc/" TargetMode="External"/><Relationship Id="rId952" Type="http://schemas.openxmlformats.org/officeDocument/2006/relationships/hyperlink" Target="https://rarejapanesenfts.com/ja/nft/nemangel-ja/" TargetMode="External"/><Relationship Id="rId951" Type="http://schemas.openxmlformats.org/officeDocument/2006/relationships/hyperlink" Target="https://rarejapanesenfts.com/ja/nft/theicodead-ja/" TargetMode="External"/><Relationship Id="rId716" Type="http://schemas.openxmlformats.org/officeDocument/2006/relationships/hyperlink" Target="https://rarejapanesenfts.com/nft/fwcfcpriestc/" TargetMode="External"/><Relationship Id="rId958" Type="http://schemas.openxmlformats.org/officeDocument/2006/relationships/hyperlink" Target="https://rarejapanesenfts.com/ja/nft/masteringpc-ja/" TargetMode="External"/><Relationship Id="rId715" Type="http://schemas.openxmlformats.org/officeDocument/2006/relationships/hyperlink" Target="https://rarejapanesenfts.com/ja/nft/fwcfcprincec-ja/" TargetMode="External"/><Relationship Id="rId957" Type="http://schemas.openxmlformats.org/officeDocument/2006/relationships/hyperlink" Target="https://rarejapanesenfts.com/ja/nft/decentoracle-ja/" TargetMode="External"/><Relationship Id="rId714" Type="http://schemas.openxmlformats.org/officeDocument/2006/relationships/hyperlink" Target="https://rarejapanesenfts.com/nft/fwcfcprincec/" TargetMode="External"/><Relationship Id="rId956" Type="http://schemas.openxmlformats.org/officeDocument/2006/relationships/hyperlink" Target="https://rarejapanesenfts.com/ja/nft/bitzeny-ja/" TargetMode="External"/><Relationship Id="rId713" Type="http://schemas.openxmlformats.org/officeDocument/2006/relationships/hyperlink" Target="https://rarejapanesenfts.com/ja/nft/fwcfcresonac-ja/" TargetMode="External"/><Relationship Id="rId955" Type="http://schemas.openxmlformats.org/officeDocument/2006/relationships/hyperlink" Target="https://rarejapanesenfts.com/ja/nft/gripgirl-ja/" TargetMode="External"/><Relationship Id="rId59" Type="http://schemas.openxmlformats.org/officeDocument/2006/relationships/hyperlink" Target="https://rarejapanesenfts.com/nft/ecashpaper/" TargetMode="External"/><Relationship Id="rId58" Type="http://schemas.openxmlformats.org/officeDocument/2006/relationships/hyperlink" Target="https://rarejapanesenfts.com/nft/dogechan/" TargetMode="External"/><Relationship Id="rId950" Type="http://schemas.openxmlformats.org/officeDocument/2006/relationships/hyperlink" Target="https://rarejapanesenfts.com/ja/nft/xcppeople-ja/" TargetMode="External"/><Relationship Id="rId590" Type="http://schemas.openxmlformats.org/officeDocument/2006/relationships/hyperlink" Target="https://rarejapanesenfts.com/nft/fwsdlgreathc/" TargetMode="External"/><Relationship Id="rId107" Type="http://schemas.openxmlformats.org/officeDocument/2006/relationships/hyperlink" Target="https://rarejapanesenfts.com/nft/sarutobiisl/" TargetMode="External"/><Relationship Id="rId349" Type="http://schemas.openxmlformats.org/officeDocument/2006/relationships/hyperlink" Target="https://rarejapanesenfts.com/nft/pplnmdntny/" TargetMode="External"/><Relationship Id="rId106" Type="http://schemas.openxmlformats.org/officeDocument/2006/relationships/hyperlink" Target="https://rarejapanesenfts.com/nft/nempizzaday/" TargetMode="External"/><Relationship Id="rId348" Type="http://schemas.openxmlformats.org/officeDocument/2006/relationships/hyperlink" Target="https://rarejapanesenfts.com/ja/nft/pepetitan-ja/" TargetMode="External"/><Relationship Id="rId105" Type="http://schemas.openxmlformats.org/officeDocument/2006/relationships/hyperlink" Target="https://rarejapanesenfts.com/nft/maidsafechan/" TargetMode="External"/><Relationship Id="rId347" Type="http://schemas.openxmlformats.org/officeDocument/2006/relationships/hyperlink" Target="https://rarejapanesenfts.com/nft/pepetitan/" TargetMode="External"/><Relationship Id="rId589" Type="http://schemas.openxmlformats.org/officeDocument/2006/relationships/hyperlink" Target="https://rarejapanesenfts.com/ja/nft/fwsdlhomeofc-ja/" TargetMode="External"/><Relationship Id="rId104" Type="http://schemas.openxmlformats.org/officeDocument/2006/relationships/hyperlink" Target="https://rarejapanesenfts.com/nft/theniagara/" TargetMode="External"/><Relationship Id="rId346" Type="http://schemas.openxmlformats.org/officeDocument/2006/relationships/hyperlink" Target="https://rarejapanesenfts.com/ja/nft/pepedzilla-ja/" TargetMode="External"/><Relationship Id="rId588" Type="http://schemas.openxmlformats.org/officeDocument/2006/relationships/hyperlink" Target="https://rarejapanesenfts.com/nft/fwsdlhomeofc/" TargetMode="External"/><Relationship Id="rId109" Type="http://schemas.openxmlformats.org/officeDocument/2006/relationships/hyperlink" Target="https://rarejapanesenfts.com/nft/bitisban/" TargetMode="External"/><Relationship Id="rId1170" Type="http://schemas.openxmlformats.org/officeDocument/2006/relationships/hyperlink" Target="https://rarejapanesenfts.com/ja/nft/comebackcorn-ja/" TargetMode="External"/><Relationship Id="rId108" Type="http://schemas.openxmlformats.org/officeDocument/2006/relationships/hyperlink" Target="https://rarejapanesenfts.com/nft/birthofthbtc/" TargetMode="External"/><Relationship Id="rId1171" Type="http://schemas.openxmlformats.org/officeDocument/2006/relationships/hyperlink" Target="https://rarejapanesenfts.com/nft/cornpatrol/" TargetMode="External"/><Relationship Id="rId341" Type="http://schemas.openxmlformats.org/officeDocument/2006/relationships/hyperlink" Target="https://rarejapanesenfts.com/nft/bulbapepecrd/" TargetMode="External"/><Relationship Id="rId583" Type="http://schemas.openxmlformats.org/officeDocument/2006/relationships/hyperlink" Target="https://rarejapanesenfts.com/ja/nft/fwsdltamafac-ja/" TargetMode="External"/><Relationship Id="rId1172" Type="http://schemas.openxmlformats.org/officeDocument/2006/relationships/hyperlink" Target="https://rarejapanesenfts.com/ja/nft/cornpatrol-ja/" TargetMode="External"/><Relationship Id="rId340" Type="http://schemas.openxmlformats.org/officeDocument/2006/relationships/hyperlink" Target="https://rarejapanesenfts.com/ja/nft/tsukasavix-ja/" TargetMode="External"/><Relationship Id="rId582" Type="http://schemas.openxmlformats.org/officeDocument/2006/relationships/hyperlink" Target="https://rarejapanesenfts.com/nft/fwsdltamafac/" TargetMode="External"/><Relationship Id="rId1173" Type="http://schemas.openxmlformats.org/officeDocument/2006/relationships/hyperlink" Target="https://rarejapanesenfts.com/nft/cornpedia/" TargetMode="External"/><Relationship Id="rId581" Type="http://schemas.openxmlformats.org/officeDocument/2006/relationships/hyperlink" Target="https://rarejapanesenfts.com/ja/nft/fwsdltorrenc-ja/" TargetMode="External"/><Relationship Id="rId1174" Type="http://schemas.openxmlformats.org/officeDocument/2006/relationships/hyperlink" Target="https://rarejapanesenfts.com/ja/nft/cornpedia-ja/" TargetMode="External"/><Relationship Id="rId580" Type="http://schemas.openxmlformats.org/officeDocument/2006/relationships/hyperlink" Target="https://rarejapanesenfts.com/nft/fwsdltorrenc/" TargetMode="External"/><Relationship Id="rId1175" Type="http://schemas.openxmlformats.org/officeDocument/2006/relationships/hyperlink" Target="https://rarejapanesenfts.com/nft/cornsakamoto/" TargetMode="External"/><Relationship Id="rId103" Type="http://schemas.openxmlformats.org/officeDocument/2006/relationships/hyperlink" Target="https://rarejapanesenfts.com/nft/memepartners/" TargetMode="External"/><Relationship Id="rId345" Type="http://schemas.openxmlformats.org/officeDocument/2006/relationships/hyperlink" Target="https://rarejapanesenfts.com/nft/pepedzilla/" TargetMode="External"/><Relationship Id="rId587" Type="http://schemas.openxmlformats.org/officeDocument/2006/relationships/hyperlink" Target="https://rarejapanesenfts.com/ja/nft/fwsdlsacredc-ja/" TargetMode="External"/><Relationship Id="rId1176" Type="http://schemas.openxmlformats.org/officeDocument/2006/relationships/hyperlink" Target="https://rarejapanesenfts.com/ja/nft/cornsakamoto-ja/" TargetMode="External"/><Relationship Id="rId102" Type="http://schemas.openxmlformats.org/officeDocument/2006/relationships/hyperlink" Target="https://rarejapanesenfts.com/nft/lordothemoon/" TargetMode="External"/><Relationship Id="rId344" Type="http://schemas.openxmlformats.org/officeDocument/2006/relationships/hyperlink" Target="https://rarejapanesenfts.com/ja/nft/pepekyrie-ja/" TargetMode="External"/><Relationship Id="rId586" Type="http://schemas.openxmlformats.org/officeDocument/2006/relationships/hyperlink" Target="https://rarejapanesenfts.com/nft/fwsdlsacredc/" TargetMode="External"/><Relationship Id="rId1177" Type="http://schemas.openxmlformats.org/officeDocument/2006/relationships/hyperlink" Target="https://rarejapanesenfts.com/nft/cornkabuki/" TargetMode="External"/><Relationship Id="rId101" Type="http://schemas.openxmlformats.org/officeDocument/2006/relationships/hyperlink" Target="https://rarejapanesenfts.com/nft/walletkun/" TargetMode="External"/><Relationship Id="rId343" Type="http://schemas.openxmlformats.org/officeDocument/2006/relationships/hyperlink" Target="https://rarejapanesenfts.com/nft/pepekyrie/" TargetMode="External"/><Relationship Id="rId585" Type="http://schemas.openxmlformats.org/officeDocument/2006/relationships/hyperlink" Target="https://rarejapanesenfts.com/ja/nft/fwsdlspiwinc-ja/" TargetMode="External"/><Relationship Id="rId1178" Type="http://schemas.openxmlformats.org/officeDocument/2006/relationships/hyperlink" Target="https://rarejapanesenfts.com/ja/nft/cornkabuki-ja/" TargetMode="External"/><Relationship Id="rId100" Type="http://schemas.openxmlformats.org/officeDocument/2006/relationships/hyperlink" Target="https://rarejapanesenfts.com/nft/snwarmheart/" TargetMode="External"/><Relationship Id="rId342" Type="http://schemas.openxmlformats.org/officeDocument/2006/relationships/hyperlink" Target="https://rarejapanesenfts.com/ja/nft/bulbapepecrd-ja/" TargetMode="External"/><Relationship Id="rId584" Type="http://schemas.openxmlformats.org/officeDocument/2006/relationships/hyperlink" Target="https://rarejapanesenfts.com/nft/fwsdlspiwinc/" TargetMode="External"/><Relationship Id="rId1179" Type="http://schemas.openxmlformats.org/officeDocument/2006/relationships/hyperlink" Target="https://rarejapanesenfts.com/nft/onsencorn/" TargetMode="External"/><Relationship Id="rId1169" Type="http://schemas.openxmlformats.org/officeDocument/2006/relationships/hyperlink" Target="https://rarejapanesenfts.com/nft/comebackcorn/" TargetMode="External"/><Relationship Id="rId338" Type="http://schemas.openxmlformats.org/officeDocument/2006/relationships/hyperlink" Target="https://rarejapanesenfts.com/ja/nft/sanomayavix-ja/" TargetMode="External"/><Relationship Id="rId337" Type="http://schemas.openxmlformats.org/officeDocument/2006/relationships/hyperlink" Target="https://rarejapanesenfts.com/nft/sanomayavix/" TargetMode="External"/><Relationship Id="rId579" Type="http://schemas.openxmlformats.org/officeDocument/2006/relationships/hyperlink" Target="https://rarejapanesenfts.com/ja/nft/fwsdltwofolc-ja/" TargetMode="External"/><Relationship Id="rId336" Type="http://schemas.openxmlformats.org/officeDocument/2006/relationships/hyperlink" Target="https://rarejapanesenfts.com/ja/nft/chikarinvix-ja/" TargetMode="External"/><Relationship Id="rId578" Type="http://schemas.openxmlformats.org/officeDocument/2006/relationships/hyperlink" Target="https://rarejapanesenfts.com/nft/fwsdltwofolc/" TargetMode="External"/><Relationship Id="rId335" Type="http://schemas.openxmlformats.org/officeDocument/2006/relationships/hyperlink" Target="https://rarejapanesenfts.com/nft/chikarinvix/" TargetMode="External"/><Relationship Id="rId577" Type="http://schemas.openxmlformats.org/officeDocument/2006/relationships/hyperlink" Target="https://rarejapanesenfts.com/ja/nft/fwsdlvampirc-ja/" TargetMode="External"/><Relationship Id="rId339" Type="http://schemas.openxmlformats.org/officeDocument/2006/relationships/hyperlink" Target="https://rarejapanesenfts.com/nft/tsukasavix/" TargetMode="External"/><Relationship Id="rId1160" Type="http://schemas.openxmlformats.org/officeDocument/2006/relationships/hyperlink" Target="https://rarejapanesenfts.com/ja/nft/nfcorn-ja/" TargetMode="External"/><Relationship Id="rId330" Type="http://schemas.openxmlformats.org/officeDocument/2006/relationships/hyperlink" Target="https://rarejapanesenfts.com/ja/nft/djasanyanvix-ja/" TargetMode="External"/><Relationship Id="rId572" Type="http://schemas.openxmlformats.org/officeDocument/2006/relationships/hyperlink" Target="https://rarejapanesenfts.com/nft/fwsdlwindmac/" TargetMode="External"/><Relationship Id="rId1161" Type="http://schemas.openxmlformats.org/officeDocument/2006/relationships/hyperlink" Target="https://rarejapanesenfts.com/nft/vividcorn/" TargetMode="External"/><Relationship Id="rId571" Type="http://schemas.openxmlformats.org/officeDocument/2006/relationships/hyperlink" Target="https://rarejapanesenfts.com/ja/nft/fwsdlallyofc-ja/" TargetMode="External"/><Relationship Id="rId1162" Type="http://schemas.openxmlformats.org/officeDocument/2006/relationships/hyperlink" Target="https://rarejapanesenfts.com/ja/nft/vividcorn-ja/" TargetMode="External"/><Relationship Id="rId570" Type="http://schemas.openxmlformats.org/officeDocument/2006/relationships/hyperlink" Target="https://rarejapanesenfts.com/nft/fwsdlallyofc/" TargetMode="External"/><Relationship Id="rId1163" Type="http://schemas.openxmlformats.org/officeDocument/2006/relationships/hyperlink" Target="https://rarejapanesenfts.com/nft/mondriancorn/" TargetMode="External"/><Relationship Id="rId1164" Type="http://schemas.openxmlformats.org/officeDocument/2006/relationships/hyperlink" Target="https://rarejapanesenfts.com/ja/nft/mondriancorn-ja/" TargetMode="External"/><Relationship Id="rId334" Type="http://schemas.openxmlformats.org/officeDocument/2006/relationships/hyperlink" Target="https://rarejapanesenfts.com/ja/nft/mizukivix-ja/" TargetMode="External"/><Relationship Id="rId576" Type="http://schemas.openxmlformats.org/officeDocument/2006/relationships/hyperlink" Target="https://rarejapanesenfts.com/nft/fwsdlvampirc/" TargetMode="External"/><Relationship Id="rId1165" Type="http://schemas.openxmlformats.org/officeDocument/2006/relationships/hyperlink" Target="https://rarejapanesenfts.com/nft/dotcorn/" TargetMode="External"/><Relationship Id="rId333" Type="http://schemas.openxmlformats.org/officeDocument/2006/relationships/hyperlink" Target="https://rarejapanesenfts.com/nft/mizukivix/" TargetMode="External"/><Relationship Id="rId575" Type="http://schemas.openxmlformats.org/officeDocument/2006/relationships/hyperlink" Target="https://rarejapanesenfts.com/ja/nft/fwsdlwhispec-ja/" TargetMode="External"/><Relationship Id="rId1166" Type="http://schemas.openxmlformats.org/officeDocument/2006/relationships/hyperlink" Target="https://rarejapanesenfts.com/ja/nft/dotcorn-ja/" TargetMode="External"/><Relationship Id="rId332" Type="http://schemas.openxmlformats.org/officeDocument/2006/relationships/hyperlink" Target="https://rarejapanesenfts.com/ja/nft/sirahosivix-ja/" TargetMode="External"/><Relationship Id="rId574" Type="http://schemas.openxmlformats.org/officeDocument/2006/relationships/hyperlink" Target="https://rarejapanesenfts.com/nft/fwsdlwhispec/" TargetMode="External"/><Relationship Id="rId1167" Type="http://schemas.openxmlformats.org/officeDocument/2006/relationships/hyperlink" Target="https://rarejapanesenfts.com/nft/lastcorn/" TargetMode="External"/><Relationship Id="rId331" Type="http://schemas.openxmlformats.org/officeDocument/2006/relationships/hyperlink" Target="https://rarejapanesenfts.com/nft/sirahosivix/" TargetMode="External"/><Relationship Id="rId573" Type="http://schemas.openxmlformats.org/officeDocument/2006/relationships/hyperlink" Target="https://rarejapanesenfts.com/ja/nft/fwsdlwindmac-ja/" TargetMode="External"/><Relationship Id="rId1168" Type="http://schemas.openxmlformats.org/officeDocument/2006/relationships/hyperlink" Target="https://rarejapanesenfts.com/ja/nft/lastcorn-ja/" TargetMode="External"/><Relationship Id="rId370" Type="http://schemas.openxmlformats.org/officeDocument/2006/relationships/hyperlink" Target="https://rarejapanesenfts.com/ja/nft/uzumakipepe-ja/" TargetMode="External"/><Relationship Id="rId129" Type="http://schemas.openxmlformats.org/officeDocument/2006/relationships/hyperlink" Target="https://rarejapanesenfts.com/nft/sograid/" TargetMode="External"/><Relationship Id="rId128" Type="http://schemas.openxmlformats.org/officeDocument/2006/relationships/hyperlink" Target="https://rarejapanesenfts.com/nft/pumpepe/" TargetMode="External"/><Relationship Id="rId127" Type="http://schemas.openxmlformats.org/officeDocument/2006/relationships/hyperlink" Target="https://rarejapanesenfts.com/nft/omatsuri/" TargetMode="External"/><Relationship Id="rId369" Type="http://schemas.openxmlformats.org/officeDocument/2006/relationships/hyperlink" Target="https://rarejapanesenfts.com/nft/uzumakipepe/" TargetMode="External"/><Relationship Id="rId126" Type="http://schemas.openxmlformats.org/officeDocument/2006/relationships/hyperlink" Target="https://rarejapanesenfts.com/nft/numeraiai/" TargetMode="External"/><Relationship Id="rId368" Type="http://schemas.openxmlformats.org/officeDocument/2006/relationships/hyperlink" Target="https://rarejapanesenfts.com/ja/nft/spepectre-ja/" TargetMode="External"/><Relationship Id="rId1190" Type="http://schemas.openxmlformats.org/officeDocument/2006/relationships/hyperlink" Target="https://rarejapanesenfts.com/ja/nft/lilycorn-ja/" TargetMode="External"/><Relationship Id="rId1191" Type="http://schemas.openxmlformats.org/officeDocument/2006/relationships/hyperlink" Target="https://rarejapanesenfts.com/nft/cornteeth/" TargetMode="External"/><Relationship Id="rId1192" Type="http://schemas.openxmlformats.org/officeDocument/2006/relationships/hyperlink" Target="https://rarejapanesenfts.com/ja/nft/cornteeth-ja/" TargetMode="External"/><Relationship Id="rId1193" Type="http://schemas.openxmlformats.org/officeDocument/2006/relationships/hyperlink" Target="https://rarejapanesenfts.com/nft/cornflag/" TargetMode="External"/><Relationship Id="rId121" Type="http://schemas.openxmlformats.org/officeDocument/2006/relationships/hyperlink" Target="https://rarejapanesenfts.com/nft/maidchan/" TargetMode="External"/><Relationship Id="rId363" Type="http://schemas.openxmlformats.org/officeDocument/2006/relationships/hyperlink" Target="https://rarejapanesenfts.com/nft/pepeprakek/" TargetMode="External"/><Relationship Id="rId1194" Type="http://schemas.openxmlformats.org/officeDocument/2006/relationships/hyperlink" Target="https://rarejapanesenfts.com/ja/nft/cornflag-ja/" TargetMode="External"/><Relationship Id="rId120" Type="http://schemas.openxmlformats.org/officeDocument/2006/relationships/hyperlink" Target="https://rarejapanesenfts.com/nft/kusacoin/" TargetMode="External"/><Relationship Id="rId362" Type="http://schemas.openxmlformats.org/officeDocument/2006/relationships/hyperlink" Target="https://rarejapanesenfts.com/ja/nft/ftertherain-ja/" TargetMode="External"/><Relationship Id="rId1195" Type="http://schemas.openxmlformats.org/officeDocument/2006/relationships/hyperlink" Target="https://rarejapanesenfts.com/nft/cornsquiggle/" TargetMode="External"/><Relationship Id="rId361" Type="http://schemas.openxmlformats.org/officeDocument/2006/relationships/hyperlink" Target="https://rarejapanesenfts.com/nft/ftertherain/" TargetMode="External"/><Relationship Id="rId1196" Type="http://schemas.openxmlformats.org/officeDocument/2006/relationships/hyperlink" Target="https://rarejapanesenfts.com/ja/nft/cornsquiggle-ja/" TargetMode="External"/><Relationship Id="rId360" Type="http://schemas.openxmlformats.org/officeDocument/2006/relationships/hyperlink" Target="https://rarejapanesenfts.com/ja/nft/icaruspepe-ja/" TargetMode="External"/><Relationship Id="rId1197" Type="http://schemas.openxmlformats.org/officeDocument/2006/relationships/hyperlink" Target="https://rarejapanesenfts.com/nft/endracismpe/" TargetMode="External"/><Relationship Id="rId125" Type="http://schemas.openxmlformats.org/officeDocument/2006/relationships/hyperlink" Target="https://rarejapanesenfts.com/nft/nemberbecool/" TargetMode="External"/><Relationship Id="rId367" Type="http://schemas.openxmlformats.org/officeDocument/2006/relationships/hyperlink" Target="https://rarejapanesenfts.com/nft/spepectre/" TargetMode="External"/><Relationship Id="rId1198" Type="http://schemas.openxmlformats.org/officeDocument/2006/relationships/hyperlink" Target="https://rarejapanesenfts.com/ja/nft/endracismpe-ja/" TargetMode="External"/><Relationship Id="rId124" Type="http://schemas.openxmlformats.org/officeDocument/2006/relationships/hyperlink" Target="https://rarejapanesenfts.com/nft/mpmegashock/" TargetMode="External"/><Relationship Id="rId366" Type="http://schemas.openxmlformats.org/officeDocument/2006/relationships/hyperlink" Target="https://rarejapanesenfts.com/ja/nft/pepegirl-ja/" TargetMode="External"/><Relationship Id="rId1199" Type="http://schemas.openxmlformats.org/officeDocument/2006/relationships/hyperlink" Target="https://rarejapanesenfts.com/nft/pepejiraiya/" TargetMode="External"/><Relationship Id="rId123" Type="http://schemas.openxmlformats.org/officeDocument/2006/relationships/hyperlink" Target="https://rarejapanesenfts.com/nft/momejinja/" TargetMode="External"/><Relationship Id="rId365" Type="http://schemas.openxmlformats.org/officeDocument/2006/relationships/hyperlink" Target="https://rarejapanesenfts.com/nft/pepegirl/" TargetMode="External"/><Relationship Id="rId122" Type="http://schemas.openxmlformats.org/officeDocument/2006/relationships/hyperlink" Target="https://rarejapanesenfts.com/nft/mccomer/" TargetMode="External"/><Relationship Id="rId364" Type="http://schemas.openxmlformats.org/officeDocument/2006/relationships/hyperlink" Target="https://rarejapanesenfts.com/ja/nft/pepeprakek-ja/" TargetMode="External"/><Relationship Id="rId95" Type="http://schemas.openxmlformats.org/officeDocument/2006/relationships/hyperlink" Target="https://rarejapanesenfts.com/nft/nharvest/" TargetMode="External"/><Relationship Id="rId94" Type="http://schemas.openxmlformats.org/officeDocument/2006/relationships/hyperlink" Target="https://rarejapanesenfts.com/nft/meigen/" TargetMode="External"/><Relationship Id="rId97" Type="http://schemas.openxmlformats.org/officeDocument/2006/relationships/hyperlink" Target="https://rarejapanesenfts.com/nft/rappleboy/" TargetMode="External"/><Relationship Id="rId96" Type="http://schemas.openxmlformats.org/officeDocument/2006/relationships/hyperlink" Target="https://rarejapanesenfts.com/nft/pepemodoki/" TargetMode="External"/><Relationship Id="rId99" Type="http://schemas.openxmlformats.org/officeDocument/2006/relationships/hyperlink" Target="https://rarejapanesenfts.com/nft/untraceable/" TargetMode="External"/><Relationship Id="rId98" Type="http://schemas.openxmlformats.org/officeDocument/2006/relationships/hyperlink" Target="https://rarejapanesenfts.com/nft/smartdubai/" TargetMode="External"/><Relationship Id="rId91" Type="http://schemas.openxmlformats.org/officeDocument/2006/relationships/hyperlink" Target="https://rarejapanesenfts.com/nft/hogehoge/" TargetMode="External"/><Relationship Id="rId90" Type="http://schemas.openxmlformats.org/officeDocument/2006/relationships/hyperlink" Target="https://rarejapanesenfts.com/nft/scamcoinshop/" TargetMode="External"/><Relationship Id="rId93" Type="http://schemas.openxmlformats.org/officeDocument/2006/relationships/hyperlink" Target="https://rarejapanesenfts.com/nft/kingofcc/" TargetMode="External"/><Relationship Id="rId92" Type="http://schemas.openxmlformats.org/officeDocument/2006/relationships/hyperlink" Target="https://rarejapanesenfts.com/nft/inago/" TargetMode="External"/><Relationship Id="rId118" Type="http://schemas.openxmlformats.org/officeDocument/2006/relationships/hyperlink" Target="https://rarejapanesenfts.com/nft/hige/" TargetMode="External"/><Relationship Id="rId117" Type="http://schemas.openxmlformats.org/officeDocument/2006/relationships/hyperlink" Target="https://rarejapanesenfts.com/nft/halving/" TargetMode="External"/><Relationship Id="rId359" Type="http://schemas.openxmlformats.org/officeDocument/2006/relationships/hyperlink" Target="https://rarejapanesenfts.com/nft/icaruspepe/" TargetMode="External"/><Relationship Id="rId116" Type="http://schemas.openxmlformats.org/officeDocument/2006/relationships/hyperlink" Target="https://rarejapanesenfts.com/nft/gara/" TargetMode="External"/><Relationship Id="rId358" Type="http://schemas.openxmlformats.org/officeDocument/2006/relationships/hyperlink" Target="https://rarejapanesenfts.com/ja/nft/dokuganpepe-ja/" TargetMode="External"/><Relationship Id="rId115" Type="http://schemas.openxmlformats.org/officeDocument/2006/relationships/hyperlink" Target="https://rarejapanesenfts.com/nft/mcseven/" TargetMode="External"/><Relationship Id="rId357" Type="http://schemas.openxmlformats.org/officeDocument/2006/relationships/hyperlink" Target="https://rarejapanesenfts.com/nft/dokuganpepe/" TargetMode="External"/><Relationship Id="rId599" Type="http://schemas.openxmlformats.org/officeDocument/2006/relationships/hyperlink" Target="https://rarejapanesenfts.com/ja/nft/fwsdlspiritc-ja/" TargetMode="External"/><Relationship Id="rId1180" Type="http://schemas.openxmlformats.org/officeDocument/2006/relationships/hyperlink" Target="https://rarejapanesenfts.com/ja/nft/onsencorn-ja/" TargetMode="External"/><Relationship Id="rId1181" Type="http://schemas.openxmlformats.org/officeDocument/2006/relationships/hyperlink" Target="https://rarejapanesenfts.com/nft/penpenpopcor/" TargetMode="External"/><Relationship Id="rId119" Type="http://schemas.openxmlformats.org/officeDocument/2006/relationships/hyperlink" Target="https://rarejapanesenfts.com/nft/kakugalee/" TargetMode="External"/><Relationship Id="rId1182" Type="http://schemas.openxmlformats.org/officeDocument/2006/relationships/hyperlink" Target="https://rarejapanesenfts.com/ja/nft/penpenpopcor-ja/" TargetMode="External"/><Relationship Id="rId110" Type="http://schemas.openxmlformats.org/officeDocument/2006/relationships/hyperlink" Target="https://rarejapanesenfts.com/nft/bunretsu/" TargetMode="External"/><Relationship Id="rId352" Type="http://schemas.openxmlformats.org/officeDocument/2006/relationships/hyperlink" Target="https://rarejapanesenfts.com/ja/nft/pepelyn-ja/" TargetMode="External"/><Relationship Id="rId594" Type="http://schemas.openxmlformats.org/officeDocument/2006/relationships/hyperlink" Target="https://rarejapanesenfts.com/nft/fwsdlariafrc/" TargetMode="External"/><Relationship Id="rId1183" Type="http://schemas.openxmlformats.org/officeDocument/2006/relationships/hyperlink" Target="https://rarejapanesenfts.com/nft/nobordercorn/" TargetMode="External"/><Relationship Id="rId351" Type="http://schemas.openxmlformats.org/officeDocument/2006/relationships/hyperlink" Target="https://rarejapanesenfts.com/nft/pepelyn/" TargetMode="External"/><Relationship Id="rId593" Type="http://schemas.openxmlformats.org/officeDocument/2006/relationships/hyperlink" Target="https://rarejapanesenfts.com/ja/nft/fwsdlfiethsc-ja/" TargetMode="External"/><Relationship Id="rId1184" Type="http://schemas.openxmlformats.org/officeDocument/2006/relationships/hyperlink" Target="https://rarejapanesenfts.com/ja/nft/nobordercorn-ja/" TargetMode="External"/><Relationship Id="rId350" Type="http://schemas.openxmlformats.org/officeDocument/2006/relationships/hyperlink" Target="https://rarejapanesenfts.com/ja/nft/pplnmdntny-ja/" TargetMode="External"/><Relationship Id="rId592" Type="http://schemas.openxmlformats.org/officeDocument/2006/relationships/hyperlink" Target="https://rarejapanesenfts.com/nft/fwsdlfiethsc/" TargetMode="External"/><Relationship Id="rId1185" Type="http://schemas.openxmlformats.org/officeDocument/2006/relationships/hyperlink" Target="https://rarejapanesenfts.com/nft/cornroom/" TargetMode="External"/><Relationship Id="rId591" Type="http://schemas.openxmlformats.org/officeDocument/2006/relationships/hyperlink" Target="https://rarejapanesenfts.com/ja/nft/fwsdlgreathc-ja/" TargetMode="External"/><Relationship Id="rId1186" Type="http://schemas.openxmlformats.org/officeDocument/2006/relationships/hyperlink" Target="https://rarejapanesenfts.com/ja/nft/cornroom-ja/" TargetMode="External"/><Relationship Id="rId114" Type="http://schemas.openxmlformats.org/officeDocument/2006/relationships/hyperlink" Target="https://rarejapanesenfts.com/nft/ficob/" TargetMode="External"/><Relationship Id="rId356" Type="http://schemas.openxmlformats.org/officeDocument/2006/relationships/hyperlink" Target="https://rarejapanesenfts.com/ja/nft/servalpepe-ja/" TargetMode="External"/><Relationship Id="rId598" Type="http://schemas.openxmlformats.org/officeDocument/2006/relationships/hyperlink" Target="https://rarejapanesenfts.com/nft/fwsdlspiritc/" TargetMode="External"/><Relationship Id="rId1187" Type="http://schemas.openxmlformats.org/officeDocument/2006/relationships/hyperlink" Target="https://rarejapanesenfts.com/nft/batcorn/" TargetMode="External"/><Relationship Id="rId113" Type="http://schemas.openxmlformats.org/officeDocument/2006/relationships/hyperlink" Target="https://rarejapanesenfts.com/nft/ficoa/" TargetMode="External"/><Relationship Id="rId355" Type="http://schemas.openxmlformats.org/officeDocument/2006/relationships/hyperlink" Target="https://rarejapanesenfts.com/nft/servalpepe/" TargetMode="External"/><Relationship Id="rId597" Type="http://schemas.openxmlformats.org/officeDocument/2006/relationships/hyperlink" Target="https://rarejapanesenfts.com/ja/nft/fwsdlwatermc-ja/" TargetMode="External"/><Relationship Id="rId1188" Type="http://schemas.openxmlformats.org/officeDocument/2006/relationships/hyperlink" Target="https://rarejapanesenfts.com/ja/nft/batcorn-ja/" TargetMode="External"/><Relationship Id="rId112" Type="http://schemas.openxmlformats.org/officeDocument/2006/relationships/hyperlink" Target="https://rarejapanesenfts.com/nft/estopia/" TargetMode="External"/><Relationship Id="rId354" Type="http://schemas.openxmlformats.org/officeDocument/2006/relationships/hyperlink" Target="https://rarejapanesenfts.com/ja/nft/philanthrope-ja/" TargetMode="External"/><Relationship Id="rId596" Type="http://schemas.openxmlformats.org/officeDocument/2006/relationships/hyperlink" Target="https://rarejapanesenfts.com/nft/fwsdlwatermc/" TargetMode="External"/><Relationship Id="rId1189" Type="http://schemas.openxmlformats.org/officeDocument/2006/relationships/hyperlink" Target="https://rarejapanesenfts.com/nft/lilycorn/" TargetMode="External"/><Relationship Id="rId111" Type="http://schemas.openxmlformats.org/officeDocument/2006/relationships/hyperlink" Target="https://rarejapanesenfts.com/nft/ccmc/" TargetMode="External"/><Relationship Id="rId353" Type="http://schemas.openxmlformats.org/officeDocument/2006/relationships/hyperlink" Target="https://rarejapanesenfts.com/nft/philanthrope/" TargetMode="External"/><Relationship Id="rId595" Type="http://schemas.openxmlformats.org/officeDocument/2006/relationships/hyperlink" Target="https://rarejapanesenfts.com/ja/nft/fwsdlariafrc-ja/" TargetMode="External"/><Relationship Id="rId1136" Type="http://schemas.openxmlformats.org/officeDocument/2006/relationships/hyperlink" Target="https://rarejapanesenfts.com/ja/nft/nohpepe-ja/" TargetMode="External"/><Relationship Id="rId1137" Type="http://schemas.openxmlformats.org/officeDocument/2006/relationships/hyperlink" Target="https://rarejapanesenfts.com/ja/nft/happyrainy-ja/" TargetMode="External"/><Relationship Id="rId1138" Type="http://schemas.openxmlformats.org/officeDocument/2006/relationships/hyperlink" Target="https://rarejapanesenfts.com/ja/nft/peperoncino-ja/" TargetMode="External"/><Relationship Id="rId1139" Type="http://schemas.openxmlformats.org/officeDocument/2006/relationships/hyperlink" Target="https://rarejapanesenfts.com/nft/ungaisouten/" TargetMode="External"/><Relationship Id="rId305" Type="http://schemas.openxmlformats.org/officeDocument/2006/relationships/hyperlink" Target="https://rarejapanesenfts.com/nft/kaoribg/" TargetMode="External"/><Relationship Id="rId547" Type="http://schemas.openxmlformats.org/officeDocument/2006/relationships/hyperlink" Target="https://rarejapanesenfts.com/ja/nft/peekaboopepe-ja/" TargetMode="External"/><Relationship Id="rId789" Type="http://schemas.openxmlformats.org/officeDocument/2006/relationships/hyperlink" Target="https://rarejapanesenfts.com/ja/nft/fwcfcchawatc-ja/" TargetMode="External"/><Relationship Id="rId304" Type="http://schemas.openxmlformats.org/officeDocument/2006/relationships/hyperlink" Target="https://rarejapanesenfts.com/ja/nft/damenft-ja/" TargetMode="External"/><Relationship Id="rId546" Type="http://schemas.openxmlformats.org/officeDocument/2006/relationships/hyperlink" Target="https://rarejapanesenfts.com/ja/nft/snotpepe-ja/" TargetMode="External"/><Relationship Id="rId788" Type="http://schemas.openxmlformats.org/officeDocument/2006/relationships/hyperlink" Target="https://rarejapanesenfts.com/nft/fwcfcchawatc/" TargetMode="External"/><Relationship Id="rId303" Type="http://schemas.openxmlformats.org/officeDocument/2006/relationships/hyperlink" Target="https://rarejapanesenfts.com/ja/nft/yamaguchiabg-ja/" TargetMode="External"/><Relationship Id="rId545" Type="http://schemas.openxmlformats.org/officeDocument/2006/relationships/hyperlink" Target="https://rarejapanesenfts.com/ja/nft/leenabg-ja/" TargetMode="External"/><Relationship Id="rId787" Type="http://schemas.openxmlformats.org/officeDocument/2006/relationships/hyperlink" Target="https://rarejapanesenfts.com/ja/nft/fwcfccheshic-ja/" TargetMode="External"/><Relationship Id="rId302" Type="http://schemas.openxmlformats.org/officeDocument/2006/relationships/hyperlink" Target="https://rarejapanesenfts.com/nft/yamaguchiabg/" TargetMode="External"/><Relationship Id="rId544" Type="http://schemas.openxmlformats.org/officeDocument/2006/relationships/hyperlink" Target="https://rarejapanesenfts.com/nft/leenabg/" TargetMode="External"/><Relationship Id="rId786" Type="http://schemas.openxmlformats.org/officeDocument/2006/relationships/hyperlink" Target="https://rarejapanesenfts.com/nft/fwcfccheshic/" TargetMode="External"/><Relationship Id="rId309" Type="http://schemas.openxmlformats.org/officeDocument/2006/relationships/hyperlink" Target="https://rarejapanesenfts.com/nft/sanomayabg/" TargetMode="External"/><Relationship Id="rId308" Type="http://schemas.openxmlformats.org/officeDocument/2006/relationships/hyperlink" Target="https://rarejapanesenfts.com/ja/nft/chikarinbg-ja/" TargetMode="External"/><Relationship Id="rId307" Type="http://schemas.openxmlformats.org/officeDocument/2006/relationships/hyperlink" Target="https://rarejapanesenfts.com/nft/chikarinbg/" TargetMode="External"/><Relationship Id="rId549" Type="http://schemas.openxmlformats.org/officeDocument/2006/relationships/hyperlink" Target="https://rarejapanesenfts.com/ja/nft/fwsdldarknec-ja/" TargetMode="External"/><Relationship Id="rId306" Type="http://schemas.openxmlformats.org/officeDocument/2006/relationships/hyperlink" Target="https://rarejapanesenfts.com/ja/nft/kaoribg-ja/" TargetMode="External"/><Relationship Id="rId548" Type="http://schemas.openxmlformats.org/officeDocument/2006/relationships/hyperlink" Target="https://rarejapanesenfts.com/nft/fwsdldarknec/" TargetMode="External"/><Relationship Id="rId781" Type="http://schemas.openxmlformats.org/officeDocument/2006/relationships/hyperlink" Target="https://rarejapanesenfts.com/ja/nft/fwcfcmelttoc-ja/" TargetMode="External"/><Relationship Id="rId780" Type="http://schemas.openxmlformats.org/officeDocument/2006/relationships/hyperlink" Target="https://rarejapanesenfts.com/nft/fwcfcmelttoc/" TargetMode="External"/><Relationship Id="rId1130" Type="http://schemas.openxmlformats.org/officeDocument/2006/relationships/hyperlink" Target="https://rarejapanesenfts.com/ja/nft/tadpolepepe-ja/" TargetMode="External"/><Relationship Id="rId1131" Type="http://schemas.openxmlformats.org/officeDocument/2006/relationships/hyperlink" Target="https://rarejapanesenfts.com/ja/nft/pepexecutive-ja/" TargetMode="External"/><Relationship Id="rId301" Type="http://schemas.openxmlformats.org/officeDocument/2006/relationships/hyperlink" Target="https://rarejapanesenfts.com/ja/nft/pepetaro-2/" TargetMode="External"/><Relationship Id="rId543" Type="http://schemas.openxmlformats.org/officeDocument/2006/relationships/hyperlink" Target="https://rarejapanesenfts.com/ja/nft/itsukibg-ja/" TargetMode="External"/><Relationship Id="rId785" Type="http://schemas.openxmlformats.org/officeDocument/2006/relationships/hyperlink" Target="https://rarejapanesenfts.com/ja/nft/fwcfcguidetc-ja/" TargetMode="External"/><Relationship Id="rId1132" Type="http://schemas.openxmlformats.org/officeDocument/2006/relationships/hyperlink" Target="https://rarejapanesenfts.com/ja/nft/pepetrek-ja/" TargetMode="External"/><Relationship Id="rId300" Type="http://schemas.openxmlformats.org/officeDocument/2006/relationships/hyperlink" Target="https://rarejapanesenfts.com/nft/pepetaro/" TargetMode="External"/><Relationship Id="rId542" Type="http://schemas.openxmlformats.org/officeDocument/2006/relationships/hyperlink" Target="https://rarejapanesenfts.com/nft/itsukibg/" TargetMode="External"/><Relationship Id="rId784" Type="http://schemas.openxmlformats.org/officeDocument/2006/relationships/hyperlink" Target="https://rarejapanesenfts.com/nft/fwcfcguidetc/" TargetMode="External"/><Relationship Id="rId1133" Type="http://schemas.openxmlformats.org/officeDocument/2006/relationships/hyperlink" Target="https://rarejapanesenfts.com/ja/nft/gnitepepe-ja/" TargetMode="External"/><Relationship Id="rId541" Type="http://schemas.openxmlformats.org/officeDocument/2006/relationships/hyperlink" Target="https://rarejapanesenfts.com/ja/nft/rumirumibg-ja/" TargetMode="External"/><Relationship Id="rId783" Type="http://schemas.openxmlformats.org/officeDocument/2006/relationships/hyperlink" Target="https://rarejapanesenfts.com/ja/nft/fwcfclumiasc-ja/" TargetMode="External"/><Relationship Id="rId1134" Type="http://schemas.openxmlformats.org/officeDocument/2006/relationships/hyperlink" Target="https://rarejapanesenfts.com/ja/nft/haikupepe-ja/" TargetMode="External"/><Relationship Id="rId540" Type="http://schemas.openxmlformats.org/officeDocument/2006/relationships/hyperlink" Target="https://rarejapanesenfts.com/nft/rumirumibg/" TargetMode="External"/><Relationship Id="rId782" Type="http://schemas.openxmlformats.org/officeDocument/2006/relationships/hyperlink" Target="https://rarejapanesenfts.com/nft/fwcfclumiasc/" TargetMode="External"/><Relationship Id="rId1135" Type="http://schemas.openxmlformats.org/officeDocument/2006/relationships/hyperlink" Target="https://rarejapanesenfts.com/ja/nft/claypepe-ja/" TargetMode="External"/><Relationship Id="rId1125" Type="http://schemas.openxmlformats.org/officeDocument/2006/relationships/hyperlink" Target="https://rarejapanesenfts.com/ja/nft/hanginpepe-ja/" TargetMode="External"/><Relationship Id="rId1126" Type="http://schemas.openxmlformats.org/officeDocument/2006/relationships/hyperlink" Target="https://rarejapanesenfts.com/ja/nft/kappapepe-ja/" TargetMode="External"/><Relationship Id="rId1127" Type="http://schemas.openxmlformats.org/officeDocument/2006/relationships/hyperlink" Target="https://rarejapanesenfts.com/ja/nft/venuspepe-ja/" TargetMode="External"/><Relationship Id="rId1128" Type="http://schemas.openxmlformats.org/officeDocument/2006/relationships/hyperlink" Target="https://rarejapanesenfts.com/ja/nft/guesswhatpep-ja/" TargetMode="External"/><Relationship Id="rId1129" Type="http://schemas.openxmlformats.org/officeDocument/2006/relationships/hyperlink" Target="https://rarejapanesenfts.com/ja/nft/kabukipepe-ja/" TargetMode="External"/><Relationship Id="rId536" Type="http://schemas.openxmlformats.org/officeDocument/2006/relationships/hyperlink" Target="https://rarejapanesenfts.com/nft/kinobg/" TargetMode="External"/><Relationship Id="rId778" Type="http://schemas.openxmlformats.org/officeDocument/2006/relationships/hyperlink" Target="https://rarejapanesenfts.com/nft/fwcfcmermaic/" TargetMode="External"/><Relationship Id="rId535" Type="http://schemas.openxmlformats.org/officeDocument/2006/relationships/hyperlink" Target="https://rarejapanesenfts.com/ja/nft/bitgirlsii-ja/" TargetMode="External"/><Relationship Id="rId777" Type="http://schemas.openxmlformats.org/officeDocument/2006/relationships/hyperlink" Target="https://rarejapanesenfts.com/ja/nft/fwcfcrabbitc-ja/" TargetMode="External"/><Relationship Id="rId534" Type="http://schemas.openxmlformats.org/officeDocument/2006/relationships/hyperlink" Target="https://rarejapanesenfts.com/nft/bitgirlsii/" TargetMode="External"/><Relationship Id="rId776" Type="http://schemas.openxmlformats.org/officeDocument/2006/relationships/hyperlink" Target="https://rarejapanesenfts.com/nft/fwcfcrabbitc/" TargetMode="External"/><Relationship Id="rId533" Type="http://schemas.openxmlformats.org/officeDocument/2006/relationships/hyperlink" Target="https://rarejapanesenfts.com/ja/nft/bitgirlsi-ja/" TargetMode="External"/><Relationship Id="rId775" Type="http://schemas.openxmlformats.org/officeDocument/2006/relationships/hyperlink" Target="https://rarejapanesenfts.com/ja/nft/fwcfcreturnc-ja/" TargetMode="External"/><Relationship Id="rId539" Type="http://schemas.openxmlformats.org/officeDocument/2006/relationships/hyperlink" Target="https://rarejapanesenfts.com/ja/nft/shimarenabg-ja/" TargetMode="External"/><Relationship Id="rId538" Type="http://schemas.openxmlformats.org/officeDocument/2006/relationships/hyperlink" Target="https://rarejapanesenfts.com/nft/shimarenabg/" TargetMode="External"/><Relationship Id="rId537" Type="http://schemas.openxmlformats.org/officeDocument/2006/relationships/hyperlink" Target="https://rarejapanesenfts.com/ja/nft/kinobg-ja/" TargetMode="External"/><Relationship Id="rId779" Type="http://schemas.openxmlformats.org/officeDocument/2006/relationships/hyperlink" Target="https://rarejapanesenfts.com/ja/nft/fwcfcmermaic-ja/" TargetMode="External"/><Relationship Id="rId770" Type="http://schemas.openxmlformats.org/officeDocument/2006/relationships/hyperlink" Target="https://rarejapanesenfts.com/nft/fwcfcshacklc/" TargetMode="External"/><Relationship Id="rId1120" Type="http://schemas.openxmlformats.org/officeDocument/2006/relationships/hyperlink" Target="https://rarejapanesenfts.com/ja/nft/thepepe-ja/" TargetMode="External"/><Relationship Id="rId532" Type="http://schemas.openxmlformats.org/officeDocument/2006/relationships/hyperlink" Target="https://rarejapanesenfts.com/nft/bitgirlsi/" TargetMode="External"/><Relationship Id="rId774" Type="http://schemas.openxmlformats.org/officeDocument/2006/relationships/hyperlink" Target="https://rarejapanesenfts.com/nft/fwcfcreturnc/" TargetMode="External"/><Relationship Id="rId1121" Type="http://schemas.openxmlformats.org/officeDocument/2006/relationships/hyperlink" Target="https://rarejapanesenfts.com/ja/nft/pepepoor-ja/" TargetMode="External"/><Relationship Id="rId531" Type="http://schemas.openxmlformats.org/officeDocument/2006/relationships/hyperlink" Target="https://rarejapanesenfts.com/ja/nft/risavix-ja/" TargetMode="External"/><Relationship Id="rId773" Type="http://schemas.openxmlformats.org/officeDocument/2006/relationships/hyperlink" Target="https://rarejapanesenfts.com/ja/nft/fwcfcrisingc-ja/" TargetMode="External"/><Relationship Id="rId1122" Type="http://schemas.openxmlformats.org/officeDocument/2006/relationships/hyperlink" Target="https://rarejapanesenfts.com/ja/nft/dronepepe-ja/" TargetMode="External"/><Relationship Id="rId530" Type="http://schemas.openxmlformats.org/officeDocument/2006/relationships/hyperlink" Target="https://rarejapanesenfts.com/nft/risavix/" TargetMode="External"/><Relationship Id="rId772" Type="http://schemas.openxmlformats.org/officeDocument/2006/relationships/hyperlink" Target="https://rarejapanesenfts.com/nft/fwcfcrisingc/" TargetMode="External"/><Relationship Id="rId1123" Type="http://schemas.openxmlformats.org/officeDocument/2006/relationships/hyperlink" Target="https://rarejapanesenfts.com/ja/nft/proofofpepe-ja/" TargetMode="External"/><Relationship Id="rId771" Type="http://schemas.openxmlformats.org/officeDocument/2006/relationships/hyperlink" Target="https://rarejapanesenfts.com/ja/nft/fwcfcshacklc-ja/" TargetMode="External"/><Relationship Id="rId1124" Type="http://schemas.openxmlformats.org/officeDocument/2006/relationships/hyperlink" Target="https://rarejapanesenfts.com/ja/nft/earthpepe-ja/" TargetMode="External"/><Relationship Id="rId1158" Type="http://schemas.openxmlformats.org/officeDocument/2006/relationships/hyperlink" Target="https://rarejapanesenfts.com/ja/nft/cornrock-ja/" TargetMode="External"/><Relationship Id="rId1159" Type="http://schemas.openxmlformats.org/officeDocument/2006/relationships/hyperlink" Target="https://rarejapanesenfts.com/nft/nfcorn/" TargetMode="External"/><Relationship Id="rId327" Type="http://schemas.openxmlformats.org/officeDocument/2006/relationships/hyperlink" Target="https://rarejapanesenfts.com/nft/rurubg/" TargetMode="External"/><Relationship Id="rId569" Type="http://schemas.openxmlformats.org/officeDocument/2006/relationships/hyperlink" Target="https://rarejapanesenfts.com/ja/nft/fwsdlbloodoc-ja/" TargetMode="External"/><Relationship Id="rId326" Type="http://schemas.openxmlformats.org/officeDocument/2006/relationships/hyperlink" Target="https://rarejapanesenfts.com/ja/nft/hinanomaibg-ja/" TargetMode="External"/><Relationship Id="rId568" Type="http://schemas.openxmlformats.org/officeDocument/2006/relationships/hyperlink" Target="https://rarejapanesenfts.com/nft/fwsdlbloodoc/" TargetMode="External"/><Relationship Id="rId325" Type="http://schemas.openxmlformats.org/officeDocument/2006/relationships/hyperlink" Target="https://rarejapanesenfts.com/nft/hinanomaibg/" TargetMode="External"/><Relationship Id="rId567" Type="http://schemas.openxmlformats.org/officeDocument/2006/relationships/hyperlink" Target="https://rarejapanesenfts.com/ja/nft/fwsdlcastlec-ja/" TargetMode="External"/><Relationship Id="rId324" Type="http://schemas.openxmlformats.org/officeDocument/2006/relationships/hyperlink" Target="https://rarejapanesenfts.com/ja/nft/mamichanbg-ja/" TargetMode="External"/><Relationship Id="rId566" Type="http://schemas.openxmlformats.org/officeDocument/2006/relationships/hyperlink" Target="https://rarejapanesenfts.com/nft/fwsdlcastlec/" TargetMode="External"/><Relationship Id="rId329" Type="http://schemas.openxmlformats.org/officeDocument/2006/relationships/hyperlink" Target="https://rarejapanesenfts.com/nft/djasanyanvix/" TargetMode="External"/><Relationship Id="rId328" Type="http://schemas.openxmlformats.org/officeDocument/2006/relationships/hyperlink" Target="https://rarejapanesenfts.com/ja/nft/rurubg-ja/" TargetMode="External"/><Relationship Id="rId561" Type="http://schemas.openxmlformats.org/officeDocument/2006/relationships/hyperlink" Target="https://rarejapanesenfts.com/ja/nft/fwsdlmomotac-ja/" TargetMode="External"/><Relationship Id="rId1150" Type="http://schemas.openxmlformats.org/officeDocument/2006/relationships/hyperlink" Target="https://rarejapanesenfts.com/ja/nft/pepereme-ja/" TargetMode="External"/><Relationship Id="rId560" Type="http://schemas.openxmlformats.org/officeDocument/2006/relationships/hyperlink" Target="https://rarejapanesenfts.com/nft/fwsdlmomotac/" TargetMode="External"/><Relationship Id="rId1151" Type="http://schemas.openxmlformats.org/officeDocument/2006/relationships/hyperlink" Target="https://rarejapanesenfts.com/nft/bitcornect/" TargetMode="External"/><Relationship Id="rId1152" Type="http://schemas.openxmlformats.org/officeDocument/2006/relationships/hyperlink" Target="https://rarejapanesenfts.com/ja/nft/bitcornect-ja/" TargetMode="External"/><Relationship Id="rId1153" Type="http://schemas.openxmlformats.org/officeDocument/2006/relationships/hyperlink" Target="https://rarejapanesenfts.com/nft/goghcorn/" TargetMode="External"/><Relationship Id="rId323" Type="http://schemas.openxmlformats.org/officeDocument/2006/relationships/hyperlink" Target="https://rarejapanesenfts.com/nft/mamichanbg/" TargetMode="External"/><Relationship Id="rId565" Type="http://schemas.openxmlformats.org/officeDocument/2006/relationships/hyperlink" Target="https://rarejapanesenfts.com/ja/nft/fwsdlfaithfc-ja/" TargetMode="External"/><Relationship Id="rId1154" Type="http://schemas.openxmlformats.org/officeDocument/2006/relationships/hyperlink" Target="https://rarejapanesenfts.com/ja/nft/goghcorn-ja/" TargetMode="External"/><Relationship Id="rId322" Type="http://schemas.openxmlformats.org/officeDocument/2006/relationships/hyperlink" Target="https://rarejapanesenfts.com/ja/nft/icharlottebg-ja/" TargetMode="External"/><Relationship Id="rId564" Type="http://schemas.openxmlformats.org/officeDocument/2006/relationships/hyperlink" Target="https://rarejapanesenfts.com/nft/fwsdlfaithfc/" TargetMode="External"/><Relationship Id="rId1155" Type="http://schemas.openxmlformats.org/officeDocument/2006/relationships/hyperlink" Target="https://rarejapanesenfts.com/nft/corntest/" TargetMode="External"/><Relationship Id="rId321" Type="http://schemas.openxmlformats.org/officeDocument/2006/relationships/hyperlink" Target="https://rarejapanesenfts.com/nft/icharlottebg/" TargetMode="External"/><Relationship Id="rId563" Type="http://schemas.openxmlformats.org/officeDocument/2006/relationships/hyperlink" Target="https://rarejapanesenfts.com/ja/nft/fwsdlheavenc-ja/" TargetMode="External"/><Relationship Id="rId1156" Type="http://schemas.openxmlformats.org/officeDocument/2006/relationships/hyperlink" Target="https://rarejapanesenfts.com/ja/nft/corntest-ja/" TargetMode="External"/><Relationship Id="rId320" Type="http://schemas.openxmlformats.org/officeDocument/2006/relationships/hyperlink" Target="https://rarejapanesenfts.com/ja/nft/shirahoshibg-ja/" TargetMode="External"/><Relationship Id="rId562" Type="http://schemas.openxmlformats.org/officeDocument/2006/relationships/hyperlink" Target="https://rarejapanesenfts.com/nft/fwsdlheavenc/" TargetMode="External"/><Relationship Id="rId1157" Type="http://schemas.openxmlformats.org/officeDocument/2006/relationships/hyperlink" Target="https://rarejapanesenfts.com/nft/cornrock/" TargetMode="External"/><Relationship Id="rId1147" Type="http://schemas.openxmlformats.org/officeDocument/2006/relationships/hyperlink" Target="https://rarejapanesenfts.com/nft/pepecaffe/" TargetMode="External"/><Relationship Id="rId1148" Type="http://schemas.openxmlformats.org/officeDocument/2006/relationships/hyperlink" Target="https://rarejapanesenfts.com/ja/nft/pepecaffe-ja/" TargetMode="External"/><Relationship Id="rId1149" Type="http://schemas.openxmlformats.org/officeDocument/2006/relationships/hyperlink" Target="https://rarejapanesenfts.com/nft/pepereme/" TargetMode="External"/><Relationship Id="rId316" Type="http://schemas.openxmlformats.org/officeDocument/2006/relationships/hyperlink" Target="https://rarejapanesenfts.com/ja/nft/tsukasabg-ja/" TargetMode="External"/><Relationship Id="rId558" Type="http://schemas.openxmlformats.org/officeDocument/2006/relationships/hyperlink" Target="https://rarejapanesenfts.com/nft/fwsdlonistrc/" TargetMode="External"/><Relationship Id="rId315" Type="http://schemas.openxmlformats.org/officeDocument/2006/relationships/hyperlink" Target="https://rarejapanesenfts.com/nft/tsukasabg/" TargetMode="External"/><Relationship Id="rId557" Type="http://schemas.openxmlformats.org/officeDocument/2006/relationships/hyperlink" Target="https://rarejapanesenfts.com/ja/nft/fwsdlpowerac-ja/" TargetMode="External"/><Relationship Id="rId799" Type="http://schemas.openxmlformats.org/officeDocument/2006/relationships/hyperlink" Target="https://rarejapanesenfts.com/ja/nft/fwcfcalteanc-ja/" TargetMode="External"/><Relationship Id="rId314" Type="http://schemas.openxmlformats.org/officeDocument/2006/relationships/hyperlink" Target="https://rarejapanesenfts.com/ja/nft/djasanyanbg-ja/" TargetMode="External"/><Relationship Id="rId556" Type="http://schemas.openxmlformats.org/officeDocument/2006/relationships/hyperlink" Target="https://rarejapanesenfts.com/nft/fwsdlpowerac/" TargetMode="External"/><Relationship Id="rId798" Type="http://schemas.openxmlformats.org/officeDocument/2006/relationships/hyperlink" Target="https://rarejapanesenfts.com/nft/fwcfcalteanc/" TargetMode="External"/><Relationship Id="rId313" Type="http://schemas.openxmlformats.org/officeDocument/2006/relationships/hyperlink" Target="https://rarejapanesenfts.com/nft/djasanyanbg/" TargetMode="External"/><Relationship Id="rId555" Type="http://schemas.openxmlformats.org/officeDocument/2006/relationships/hyperlink" Target="https://rarejapanesenfts.com/ja/nft/fwsdlsharatc-ja/" TargetMode="External"/><Relationship Id="rId797" Type="http://schemas.openxmlformats.org/officeDocument/2006/relationships/hyperlink" Target="https://rarejapanesenfts.com/ja/nft/fwcfcancautc-ja/" TargetMode="External"/><Relationship Id="rId319" Type="http://schemas.openxmlformats.org/officeDocument/2006/relationships/hyperlink" Target="https://rarejapanesenfts.com/nft/shirahoshibg/" TargetMode="External"/><Relationship Id="rId318" Type="http://schemas.openxmlformats.org/officeDocument/2006/relationships/hyperlink" Target="https://rarejapanesenfts.com/ja/nft/mizukibg-ja/" TargetMode="External"/><Relationship Id="rId317" Type="http://schemas.openxmlformats.org/officeDocument/2006/relationships/hyperlink" Target="https://rarejapanesenfts.com/nft/mizukibg/" TargetMode="External"/><Relationship Id="rId559" Type="http://schemas.openxmlformats.org/officeDocument/2006/relationships/hyperlink" Target="https://rarejapanesenfts.com/ja/nft/fwsdlonistrc-ja/" TargetMode="External"/><Relationship Id="rId550" Type="http://schemas.openxmlformats.org/officeDocument/2006/relationships/hyperlink" Target="https://rarejapanesenfts.com/nft/fwsdlthemonc/" TargetMode="External"/><Relationship Id="rId792" Type="http://schemas.openxmlformats.org/officeDocument/2006/relationships/hyperlink" Target="https://rarejapanesenfts.com/nft/fwcfccharloc/" TargetMode="External"/><Relationship Id="rId791" Type="http://schemas.openxmlformats.org/officeDocument/2006/relationships/hyperlink" Target="https://rarejapanesenfts.com/ja/nft/fwcfcchaproc-ja/" TargetMode="External"/><Relationship Id="rId1140" Type="http://schemas.openxmlformats.org/officeDocument/2006/relationships/hyperlink" Target="https://rarejapanesenfts.com/ja/nft/ungaisouten-ja/" TargetMode="External"/><Relationship Id="rId790" Type="http://schemas.openxmlformats.org/officeDocument/2006/relationships/hyperlink" Target="https://rarejapanesenfts.com/nft/fwcfcchaproc/" TargetMode="External"/><Relationship Id="rId1141" Type="http://schemas.openxmlformats.org/officeDocument/2006/relationships/hyperlink" Target="https://rarejapanesenfts.com/nft/flowerpepe/" TargetMode="External"/><Relationship Id="rId1142" Type="http://schemas.openxmlformats.org/officeDocument/2006/relationships/hyperlink" Target="https://rarejapanesenfts.com/ja/nft/flowerpepe-ja/" TargetMode="External"/><Relationship Id="rId312" Type="http://schemas.openxmlformats.org/officeDocument/2006/relationships/hyperlink" Target="https://rarejapanesenfts.com/ja/nft/satoayakabg-ja/" TargetMode="External"/><Relationship Id="rId554" Type="http://schemas.openxmlformats.org/officeDocument/2006/relationships/hyperlink" Target="https://rarejapanesenfts.com/nft/fwsdlsharatc/" TargetMode="External"/><Relationship Id="rId796" Type="http://schemas.openxmlformats.org/officeDocument/2006/relationships/hyperlink" Target="https://rarejapanesenfts.com/nft/fwcfcancautc/" TargetMode="External"/><Relationship Id="rId1143" Type="http://schemas.openxmlformats.org/officeDocument/2006/relationships/hyperlink" Target="https://rarejapanesenfts.com/nft/pepeon/" TargetMode="External"/><Relationship Id="rId311" Type="http://schemas.openxmlformats.org/officeDocument/2006/relationships/hyperlink" Target="https://rarejapanesenfts.com/nft/satoayakabg/" TargetMode="External"/><Relationship Id="rId553" Type="http://schemas.openxmlformats.org/officeDocument/2006/relationships/hyperlink" Target="https://rarejapanesenfts.com/ja/nft/fwsdlthedruc-ja/" TargetMode="External"/><Relationship Id="rId795" Type="http://schemas.openxmlformats.org/officeDocument/2006/relationships/hyperlink" Target="https://rarejapanesenfts.com/ja/nft/fwcfccaptaic-ja/" TargetMode="External"/><Relationship Id="rId1144" Type="http://schemas.openxmlformats.org/officeDocument/2006/relationships/hyperlink" Target="https://rarejapanesenfts.com/ja/nft/pepeon-ja/" TargetMode="External"/><Relationship Id="rId310" Type="http://schemas.openxmlformats.org/officeDocument/2006/relationships/hyperlink" Target="https://rarejapanesenfts.com/ja/nft/sanomayabg-ja/" TargetMode="External"/><Relationship Id="rId552" Type="http://schemas.openxmlformats.org/officeDocument/2006/relationships/hyperlink" Target="https://rarejapanesenfts.com/nft/fwsdlthedruc/" TargetMode="External"/><Relationship Id="rId794" Type="http://schemas.openxmlformats.org/officeDocument/2006/relationships/hyperlink" Target="https://rarejapanesenfts.com/nft/fwcfccaptaic/" TargetMode="External"/><Relationship Id="rId1145" Type="http://schemas.openxmlformats.org/officeDocument/2006/relationships/hyperlink" Target="https://rarejapanesenfts.com/nft/lonelypepe/" TargetMode="External"/><Relationship Id="rId551" Type="http://schemas.openxmlformats.org/officeDocument/2006/relationships/hyperlink" Target="https://rarejapanesenfts.com/ja/nft/fwsdlthemonc-ja/" TargetMode="External"/><Relationship Id="rId793" Type="http://schemas.openxmlformats.org/officeDocument/2006/relationships/hyperlink" Target="https://rarejapanesenfts.com/ja/nft/fwcfccharloc-ja/" TargetMode="External"/><Relationship Id="rId1146" Type="http://schemas.openxmlformats.org/officeDocument/2006/relationships/hyperlink" Target="https://rarejapanesenfts.com/ja/nft/lonelypepe-ja/" TargetMode="External"/><Relationship Id="rId297" Type="http://schemas.openxmlformats.org/officeDocument/2006/relationships/hyperlink" Target="https://rarejapanesenfts.com/ja/nft/kojipepe-ja/" TargetMode="External"/><Relationship Id="rId296" Type="http://schemas.openxmlformats.org/officeDocument/2006/relationships/hyperlink" Target="https://rarejapanesenfts.com/ja/nft/takanezukami-ja/" TargetMode="External"/><Relationship Id="rId295" Type="http://schemas.openxmlformats.org/officeDocument/2006/relationships/hyperlink" Target="https://rarejapanesenfts.com/nft/takanezukami/" TargetMode="External"/><Relationship Id="rId294" Type="http://schemas.openxmlformats.org/officeDocument/2006/relationships/hyperlink" Target="https://rarejapanesenfts.com/ja/nft/nomoredefi-ja/" TargetMode="External"/><Relationship Id="rId299" Type="http://schemas.openxmlformats.org/officeDocument/2006/relationships/hyperlink" Target="https://rarejapanesenfts.com/ja/nft/mcdumping-ja/" TargetMode="External"/><Relationship Id="rId298" Type="http://schemas.openxmlformats.org/officeDocument/2006/relationships/hyperlink" Target="https://rarejapanesenfts.com/ja/nft/wacknakamoto-ja/" TargetMode="External"/><Relationship Id="rId271" Type="http://schemas.openxmlformats.org/officeDocument/2006/relationships/hyperlink" Target="https://rarejapanesenfts.com/nft/venuspepe/" TargetMode="External"/><Relationship Id="rId270" Type="http://schemas.openxmlformats.org/officeDocument/2006/relationships/hyperlink" Target="https://rarejapanesenfts.com/nft/hanginpepe/" TargetMode="External"/><Relationship Id="rId269" Type="http://schemas.openxmlformats.org/officeDocument/2006/relationships/hyperlink" Target="https://rarejapanesenfts.com/nft/earthpepe/" TargetMode="External"/><Relationship Id="rId264" Type="http://schemas.openxmlformats.org/officeDocument/2006/relationships/hyperlink" Target="https://rarejapanesenfts.com/nft/newyearpepe/" TargetMode="External"/><Relationship Id="rId263" Type="http://schemas.openxmlformats.org/officeDocument/2006/relationships/hyperlink" Target="https://rarejapanesenfts.com/nft/xmasantapepe/" TargetMode="External"/><Relationship Id="rId262" Type="http://schemas.openxmlformats.org/officeDocument/2006/relationships/hyperlink" Target="https://rarejapanesenfts.com/nft/zzzzpepe/" TargetMode="External"/><Relationship Id="rId261" Type="http://schemas.openxmlformats.org/officeDocument/2006/relationships/hyperlink" Target="https://rarejapanesenfts.com/nft/drillpepe/" TargetMode="External"/><Relationship Id="rId268" Type="http://schemas.openxmlformats.org/officeDocument/2006/relationships/hyperlink" Target="https://rarejapanesenfts.com/nft/dronepepe/" TargetMode="External"/><Relationship Id="rId267" Type="http://schemas.openxmlformats.org/officeDocument/2006/relationships/hyperlink" Target="https://rarejapanesenfts.com/nft/thepepe/" TargetMode="External"/><Relationship Id="rId266" Type="http://schemas.openxmlformats.org/officeDocument/2006/relationships/hyperlink" Target="https://rarejapanesenfts.com/nft/secretpepe/" TargetMode="External"/><Relationship Id="rId265" Type="http://schemas.openxmlformats.org/officeDocument/2006/relationships/hyperlink" Target="https://rarejapanesenfts.com/nft/friendspepe/" TargetMode="External"/><Relationship Id="rId260" Type="http://schemas.openxmlformats.org/officeDocument/2006/relationships/hyperlink" Target="https://rarejapanesenfts.com/nft/sixtysixpepe/" TargetMode="External"/><Relationship Id="rId259" Type="http://schemas.openxmlformats.org/officeDocument/2006/relationships/hyperlink" Target="https://rarejapanesenfts.com/nft/comedypepe/" TargetMode="External"/><Relationship Id="rId258" Type="http://schemas.openxmlformats.org/officeDocument/2006/relationships/hyperlink" Target="https://rarejapanesenfts.com/nft/longnosepepe/" TargetMode="External"/><Relationship Id="rId253" Type="http://schemas.openxmlformats.org/officeDocument/2006/relationships/hyperlink" Target="https://rarejapanesenfts.com/nft/peperich/" TargetMode="External"/><Relationship Id="rId495" Type="http://schemas.openxmlformats.org/officeDocument/2006/relationships/hyperlink" Target="https://rarejapanesenfts.com/ja/nft/prisonerpepe-ja/" TargetMode="External"/><Relationship Id="rId252" Type="http://schemas.openxmlformats.org/officeDocument/2006/relationships/hyperlink" Target="https://rarejapanesenfts.com/nft/pepenuma/" TargetMode="External"/><Relationship Id="rId494" Type="http://schemas.openxmlformats.org/officeDocument/2006/relationships/hyperlink" Target="https://rarejapanesenfts.com/nft/prisonerpepe/" TargetMode="External"/><Relationship Id="rId251" Type="http://schemas.openxmlformats.org/officeDocument/2006/relationships/hyperlink" Target="https://rarejapanesenfts.com/nft/samuraipepe/" TargetMode="External"/><Relationship Id="rId493" Type="http://schemas.openxmlformats.org/officeDocument/2006/relationships/hyperlink" Target="https://rarejapanesenfts.com/ja/nft/pepesgym-ja/" TargetMode="External"/><Relationship Id="rId250" Type="http://schemas.openxmlformats.org/officeDocument/2006/relationships/hyperlink" Target="https://rarejapanesenfts.com/nft/pepetodamoon/" TargetMode="External"/><Relationship Id="rId492" Type="http://schemas.openxmlformats.org/officeDocument/2006/relationships/hyperlink" Target="https://rarejapanesenfts.com/nft/pepesgym/" TargetMode="External"/><Relationship Id="rId257" Type="http://schemas.openxmlformats.org/officeDocument/2006/relationships/hyperlink" Target="https://rarejapanesenfts.com/nft/peekaboopepe/" TargetMode="External"/><Relationship Id="rId499" Type="http://schemas.openxmlformats.org/officeDocument/2006/relationships/hyperlink" Target="https://rarejapanesenfts.com/ja/nft/pepesplanet-ja/" TargetMode="External"/><Relationship Id="rId256" Type="http://schemas.openxmlformats.org/officeDocument/2006/relationships/hyperlink" Target="https://rarejapanesenfts.com/nft/snotpepe/" TargetMode="External"/><Relationship Id="rId498" Type="http://schemas.openxmlformats.org/officeDocument/2006/relationships/hyperlink" Target="https://rarejapanesenfts.com/nft/pepesplanet/" TargetMode="External"/><Relationship Id="rId255" Type="http://schemas.openxmlformats.org/officeDocument/2006/relationships/hyperlink" Target="https://rarejapanesenfts.com/nft/proofofpepe/" TargetMode="External"/><Relationship Id="rId497" Type="http://schemas.openxmlformats.org/officeDocument/2006/relationships/hyperlink" Target="https://rarejapanesenfts.com/ja/nft/zazenpepe-ja/" TargetMode="External"/><Relationship Id="rId254" Type="http://schemas.openxmlformats.org/officeDocument/2006/relationships/hyperlink" Target="https://rarejapanesenfts.com/nft/pepepoor/" TargetMode="External"/><Relationship Id="rId496" Type="http://schemas.openxmlformats.org/officeDocument/2006/relationships/hyperlink" Target="https://rarejapanesenfts.com/nft/zazenpepe/" TargetMode="External"/><Relationship Id="rId293" Type="http://schemas.openxmlformats.org/officeDocument/2006/relationships/hyperlink" Target="https://rarejapanesenfts.com/ja/nft/takanelaser-ja/" TargetMode="External"/><Relationship Id="rId292" Type="http://schemas.openxmlformats.org/officeDocument/2006/relationships/hyperlink" Target="https://rarejapanesenfts.com/nft/takanelaser/" TargetMode="External"/><Relationship Id="rId291" Type="http://schemas.openxmlformats.org/officeDocument/2006/relationships/hyperlink" Target="https://rarejapanesenfts.com/ja/nft/nftzukami-ja/" TargetMode="External"/><Relationship Id="rId290" Type="http://schemas.openxmlformats.org/officeDocument/2006/relationships/hyperlink" Target="https://rarejapanesenfts.com/nft/nftzukami/" TargetMode="External"/><Relationship Id="rId286" Type="http://schemas.openxmlformats.org/officeDocument/2006/relationships/hyperlink" Target="https://rarejapanesenfts.com/nft/inucoiner/" TargetMode="External"/><Relationship Id="rId285" Type="http://schemas.openxmlformats.org/officeDocument/2006/relationships/hyperlink" Target="https://rarejapanesenfts.com/nft/metakitsune/" TargetMode="External"/><Relationship Id="rId284" Type="http://schemas.openxmlformats.org/officeDocument/2006/relationships/hyperlink" Target="https://rarejapanesenfts.com/ja/nft/joshiki-ja/" TargetMode="External"/><Relationship Id="rId283" Type="http://schemas.openxmlformats.org/officeDocument/2006/relationships/hyperlink" Target="https://rarejapanesenfts.com/ja/nft/scamway-ja/" TargetMode="External"/><Relationship Id="rId289" Type="http://schemas.openxmlformats.org/officeDocument/2006/relationships/hyperlink" Target="https://rarejapanesenfts.com/ja/nft/makai-ja/" TargetMode="External"/><Relationship Id="rId288" Type="http://schemas.openxmlformats.org/officeDocument/2006/relationships/hyperlink" Target="https://rarejapanesenfts.com/nft/makai/" TargetMode="External"/><Relationship Id="rId287" Type="http://schemas.openxmlformats.org/officeDocument/2006/relationships/hyperlink" Target="https://rarejapanesenfts.com/ja/nft/inucoiner-ja/" TargetMode="External"/><Relationship Id="rId282" Type="http://schemas.openxmlformats.org/officeDocument/2006/relationships/hyperlink" Target="https://rarejapanesenfts.com/nft/damenft/" TargetMode="External"/><Relationship Id="rId281" Type="http://schemas.openxmlformats.org/officeDocument/2006/relationships/hyperlink" Target="https://rarejapanesenfts.com/nft/scamway/" TargetMode="External"/><Relationship Id="rId280" Type="http://schemas.openxmlformats.org/officeDocument/2006/relationships/hyperlink" Target="https://rarejapanesenfts.com/nft/joshiki/" TargetMode="External"/><Relationship Id="rId275" Type="http://schemas.openxmlformats.org/officeDocument/2006/relationships/hyperlink" Target="https://rarejapanesenfts.com/nft/wagupepe/" TargetMode="External"/><Relationship Id="rId274" Type="http://schemas.openxmlformats.org/officeDocument/2006/relationships/hyperlink" Target="https://rarejapanesenfts.com/nft/gnitepepe/" TargetMode="External"/><Relationship Id="rId273" Type="http://schemas.openxmlformats.org/officeDocument/2006/relationships/hyperlink" Target="https://rarejapanesenfts.com/nft/pepexecutive/" TargetMode="External"/><Relationship Id="rId272" Type="http://schemas.openxmlformats.org/officeDocument/2006/relationships/hyperlink" Target="https://rarejapanesenfts.com/nft/guesswhatpep/" TargetMode="External"/><Relationship Id="rId279" Type="http://schemas.openxmlformats.org/officeDocument/2006/relationships/hyperlink" Target="https://rarejapanesenfts.com/ja/nft/metakitsune-ja/" TargetMode="External"/><Relationship Id="rId278" Type="http://schemas.openxmlformats.org/officeDocument/2006/relationships/hyperlink" Target="https://rarejapanesenfts.com/nft/defitest/" TargetMode="External"/><Relationship Id="rId277" Type="http://schemas.openxmlformats.org/officeDocument/2006/relationships/hyperlink" Target="https://rarejapanesenfts.com/nft/bigstone/" TargetMode="External"/><Relationship Id="rId276" Type="http://schemas.openxmlformats.org/officeDocument/2006/relationships/hyperlink" Target="https://rarejapanesenfts.com/nft/rogai/" TargetMode="External"/><Relationship Id="rId907" Type="http://schemas.openxmlformats.org/officeDocument/2006/relationships/hyperlink" Target="https://rarejapanesenfts.com/ja/nft/rejectedvix-ja/" TargetMode="External"/><Relationship Id="rId906" Type="http://schemas.openxmlformats.org/officeDocument/2006/relationships/hyperlink" Target="https://rarejapanesenfts.com/ja/nft/xasicboost-ja/" TargetMode="External"/><Relationship Id="rId905" Type="http://schemas.openxmlformats.org/officeDocument/2006/relationships/hyperlink" Target="https://rarejapanesenfts.com/ja/nft/ripplegirl-ja/" TargetMode="External"/><Relationship Id="rId904" Type="http://schemas.openxmlformats.org/officeDocument/2006/relationships/hyperlink" Target="https://rarejapanesenfts.com/ja/nft/ethereumgirl-ja/" TargetMode="External"/><Relationship Id="rId909" Type="http://schemas.openxmlformats.org/officeDocument/2006/relationships/hyperlink" Target="https://rarejapanesenfts.com/ja/nft/ecobitman-ja/" TargetMode="External"/><Relationship Id="rId908" Type="http://schemas.openxmlformats.org/officeDocument/2006/relationships/hyperlink" Target="https://rarejapanesenfts.com/ja/nft/ramensog-ja/" TargetMode="External"/><Relationship Id="rId903" Type="http://schemas.openxmlformats.org/officeDocument/2006/relationships/hyperlink" Target="https://rarejapanesenfts.com/ja/nft/monerogirl-ja/" TargetMode="External"/><Relationship Id="rId902" Type="http://schemas.openxmlformats.org/officeDocument/2006/relationships/hyperlink" Target="https://rarejapanesenfts.com/ja/nft/quantumpc-ja/" TargetMode="External"/><Relationship Id="rId901" Type="http://schemas.openxmlformats.org/officeDocument/2006/relationships/hyperlink" Target="https://rarejapanesenfts.com/ja/nft/thefintech-ja/" TargetMode="External"/><Relationship Id="rId900" Type="http://schemas.openxmlformats.org/officeDocument/2006/relationships/hyperlink" Target="https://rarejapanesenfts.com/ja/nft/monasegwit-ja/" TargetMode="External"/><Relationship Id="rId929" Type="http://schemas.openxmlformats.org/officeDocument/2006/relationships/hyperlink" Target="https://rarejapanesenfts.com/ja/nft/powmonster-ja/" TargetMode="External"/><Relationship Id="rId928" Type="http://schemas.openxmlformats.org/officeDocument/2006/relationships/hyperlink" Target="https://rarejapanesenfts.com/ja/nft/ecashpaper-ja/" TargetMode="External"/><Relationship Id="rId927" Type="http://schemas.openxmlformats.org/officeDocument/2006/relationships/hyperlink" Target="https://rarejapanesenfts.com/ja/nft/dogechan-ja/" TargetMode="External"/><Relationship Id="rId926" Type="http://schemas.openxmlformats.org/officeDocument/2006/relationships/hyperlink" Target="https://rarejapanesenfts.com/ja/nft/btctattoo-ja/" TargetMode="External"/><Relationship Id="rId921" Type="http://schemas.openxmlformats.org/officeDocument/2006/relationships/hyperlink" Target="https://rarejapanesenfts.com/ja/nft/ethfrontier-ja/" TargetMode="External"/><Relationship Id="rId920" Type="http://schemas.openxmlformats.org/officeDocument/2006/relationships/hyperlink" Target="https://rarejapanesenfts.com/ja/nft/ethhomestead-ja/" TargetMode="External"/><Relationship Id="rId925" Type="http://schemas.openxmlformats.org/officeDocument/2006/relationships/hyperlink" Target="https://rarejapanesenfts.com/ja/nft/botcoiner-ja/" TargetMode="External"/><Relationship Id="rId924" Type="http://schemas.openxmlformats.org/officeDocument/2006/relationships/hyperlink" Target="https://rarejapanesenfts.com/ja/nft/bmantbleed-ja/" TargetMode="External"/><Relationship Id="rId923" Type="http://schemas.openxmlformats.org/officeDocument/2006/relationships/hyperlink" Target="https://rarejapanesenfts.com/ja/nft/bccard-ja/" TargetMode="External"/><Relationship Id="rId922" Type="http://schemas.openxmlformats.org/officeDocument/2006/relationships/hyperlink" Target="https://rarejapanesenfts.com/ja/nft/ecobitwoman-ja/" TargetMode="External"/><Relationship Id="rId918" Type="http://schemas.openxmlformats.org/officeDocument/2006/relationships/hyperlink" Target="https://rarejapanesenfts.com/ja/nft/nemgirl-ja/" TargetMode="External"/><Relationship Id="rId917" Type="http://schemas.openxmlformats.org/officeDocument/2006/relationships/hyperlink" Target="https://rarejapanesenfts.com/ja/nft/satoshiclub-ja/" TargetMode="External"/><Relationship Id="rId916" Type="http://schemas.openxmlformats.org/officeDocument/2006/relationships/hyperlink" Target="https://rarejapanesenfts.com/ja/nft/takarajpi-ja/" TargetMode="External"/><Relationship Id="rId915" Type="http://schemas.openxmlformats.org/officeDocument/2006/relationships/hyperlink" Target="https://rarejapanesenfts.com/ja/nft/thetimes-ja/" TargetMode="External"/><Relationship Id="rId919" Type="http://schemas.openxmlformats.org/officeDocument/2006/relationships/hyperlink" Target="https://rarejapanesenfts.com/ja/nft/cryptogirls-ja/" TargetMode="External"/><Relationship Id="rId910" Type="http://schemas.openxmlformats.org/officeDocument/2006/relationships/hyperlink" Target="https://rarejapanesenfts.com/ja/nft/etcchan-ja/" TargetMode="External"/><Relationship Id="rId914" Type="http://schemas.openxmlformats.org/officeDocument/2006/relationships/hyperlink" Target="https://rarejapanesenfts.com/ja/nft/dogethereum-ja/" TargetMode="External"/><Relationship Id="rId913" Type="http://schemas.openxmlformats.org/officeDocument/2006/relationships/hyperlink" Target="https://rarejapanesenfts.com/ja/nft/uasfarmy-ja/" TargetMode="External"/><Relationship Id="rId912" Type="http://schemas.openxmlformats.org/officeDocument/2006/relationships/hyperlink" Target="https://rarejapanesenfts.com/ja/nft/undercontrol-ja/" TargetMode="External"/><Relationship Id="rId911" Type="http://schemas.openxmlformats.org/officeDocument/2006/relationships/hyperlink" Target="https://rarejapanesenfts.com/ja/nft/zecfothemoon-ja/" TargetMode="External"/><Relationship Id="rId1213" Type="http://schemas.openxmlformats.org/officeDocument/2006/relationships/hyperlink" Target="https://rarejapanesenfts.com/nft/shumaicard/" TargetMode="External"/><Relationship Id="rId1214" Type="http://schemas.openxmlformats.org/officeDocument/2006/relationships/hyperlink" Target="https://rarejapanesenfts.com/ja/nft/shumaicard-ja/" TargetMode="External"/><Relationship Id="rId1215" Type="http://schemas.openxmlformats.org/officeDocument/2006/relationships/hyperlink" Target="https://rarejapanesenfts.com/nft/cnpcard/" TargetMode="External"/><Relationship Id="rId1216" Type="http://schemas.openxmlformats.org/officeDocument/2006/relationships/hyperlink" Target="https://rarejapanesenfts.com/ja/nft/cnpcard-ja/" TargetMode="External"/><Relationship Id="rId1217" Type="http://schemas.openxmlformats.org/officeDocument/2006/relationships/hyperlink" Target="https://rarejapanesenfts.com/nft/ccmcard/" TargetMode="External"/><Relationship Id="rId1218" Type="http://schemas.openxmlformats.org/officeDocument/2006/relationships/hyperlink" Target="https://rarejapanesenfts.com/ja/nft/ccmcard-ja/" TargetMode="External"/><Relationship Id="rId1219" Type="http://schemas.openxmlformats.org/officeDocument/2006/relationships/hyperlink" Target="https://rarejapanesenfts.com/nft/coinportalcd/" TargetMode="External"/><Relationship Id="rId629" Type="http://schemas.openxmlformats.org/officeDocument/2006/relationships/hyperlink" Target="https://rarejapanesenfts.com/ja/nft/fwsdllunyasc-ja/" TargetMode="External"/><Relationship Id="rId624" Type="http://schemas.openxmlformats.org/officeDocument/2006/relationships/hyperlink" Target="https://rarejapanesenfts.com/nft/fwsdlnightmc/" TargetMode="External"/><Relationship Id="rId866" Type="http://schemas.openxmlformats.org/officeDocument/2006/relationships/hyperlink" Target="https://rarejapanesenfts.com/nft/fwcfcdreamic/" TargetMode="External"/><Relationship Id="rId623" Type="http://schemas.openxmlformats.org/officeDocument/2006/relationships/hyperlink" Target="https://rarejapanesenfts.com/ja/nft/fwsdlrlyehwc-ja/" TargetMode="External"/><Relationship Id="rId865" Type="http://schemas.openxmlformats.org/officeDocument/2006/relationships/hyperlink" Target="https://rarejapanesenfts.com/ja/nft/fwcfcdreamsc-ja/" TargetMode="External"/><Relationship Id="rId622" Type="http://schemas.openxmlformats.org/officeDocument/2006/relationships/hyperlink" Target="https://rarejapanesenfts.com/nft/fwsdlrlyehwc/" TargetMode="External"/><Relationship Id="rId864" Type="http://schemas.openxmlformats.org/officeDocument/2006/relationships/hyperlink" Target="https://rarejapanesenfts.com/nft/fwcfcdreamsc/" TargetMode="External"/><Relationship Id="rId621" Type="http://schemas.openxmlformats.org/officeDocument/2006/relationships/hyperlink" Target="https://rarejapanesenfts.com/ja/nft/fwsdlfiremac-ja/" TargetMode="External"/><Relationship Id="rId863" Type="http://schemas.openxmlformats.org/officeDocument/2006/relationships/hyperlink" Target="https://rarejapanesenfts.com/ja/nft/fwcfcescapec-ja/" TargetMode="External"/><Relationship Id="rId628" Type="http://schemas.openxmlformats.org/officeDocument/2006/relationships/hyperlink" Target="https://rarejapanesenfts.com/nft/fwsdllunyasc/" TargetMode="External"/><Relationship Id="rId627" Type="http://schemas.openxmlformats.org/officeDocument/2006/relationships/hyperlink" Target="https://rarejapanesenfts.com/ja/nft/fwsdlniggurc-ja/" TargetMode="External"/><Relationship Id="rId869" Type="http://schemas.openxmlformats.org/officeDocument/2006/relationships/hyperlink" Target="https://rarejapanesenfts.com/ja/nft/oshikomare-ja/" TargetMode="External"/><Relationship Id="rId626" Type="http://schemas.openxmlformats.org/officeDocument/2006/relationships/hyperlink" Target="https://rarejapanesenfts.com/nft/fwsdlniggurc/" TargetMode="External"/><Relationship Id="rId868" Type="http://schemas.openxmlformats.org/officeDocument/2006/relationships/hyperlink" Target="https://rarejapanesenfts.com/ja/nft/kamatte-ja/" TargetMode="External"/><Relationship Id="rId625" Type="http://schemas.openxmlformats.org/officeDocument/2006/relationships/hyperlink" Target="https://rarejapanesenfts.com/ja/nft/fwsdlnightmc-ja/" TargetMode="External"/><Relationship Id="rId867" Type="http://schemas.openxmlformats.org/officeDocument/2006/relationships/hyperlink" Target="https://rarejapanesenfts.com/ja/nft/fwcfcdreamic-ja/" TargetMode="External"/><Relationship Id="rId620" Type="http://schemas.openxmlformats.org/officeDocument/2006/relationships/hyperlink" Target="https://rarejapanesenfts.com/nft/fwsdlfiremac/" TargetMode="External"/><Relationship Id="rId862" Type="http://schemas.openxmlformats.org/officeDocument/2006/relationships/hyperlink" Target="https://rarejapanesenfts.com/nft/fwcfcescapec/" TargetMode="External"/><Relationship Id="rId861" Type="http://schemas.openxmlformats.org/officeDocument/2006/relationships/hyperlink" Target="https://rarejapanesenfts.com/ja/nft/fwcfceternac-ja/" TargetMode="External"/><Relationship Id="rId1210" Type="http://schemas.openxmlformats.org/officeDocument/2006/relationships/hyperlink" Target="https://rarejapanesenfts.com/ja/nft/zaifcard-ja/" TargetMode="External"/><Relationship Id="rId860" Type="http://schemas.openxmlformats.org/officeDocument/2006/relationships/hyperlink" Target="https://rarejapanesenfts.com/nft/fwcfceternac/" TargetMode="External"/><Relationship Id="rId1211" Type="http://schemas.openxmlformats.org/officeDocument/2006/relationships/hyperlink" Target="https://rarejapanesenfts.com/nft/hairpepe/" TargetMode="External"/><Relationship Id="rId1212" Type="http://schemas.openxmlformats.org/officeDocument/2006/relationships/hyperlink" Target="https://rarejapanesenfts.com/ja/nft/hairpepe-ja/" TargetMode="External"/><Relationship Id="rId1202" Type="http://schemas.openxmlformats.org/officeDocument/2006/relationships/hyperlink" Target="https://rarejapanesenfts.com/ja/nft/pepetunade-ja/" TargetMode="External"/><Relationship Id="rId1203" Type="http://schemas.openxmlformats.org/officeDocument/2006/relationships/hyperlink" Target="https://rarejapanesenfts.com/nft/pepeorochi/" TargetMode="External"/><Relationship Id="rId1204" Type="http://schemas.openxmlformats.org/officeDocument/2006/relationships/hyperlink" Target="https://rarejapanesenfts.com/ja/nft/pepeorochi-ja/" TargetMode="External"/><Relationship Id="rId1205" Type="http://schemas.openxmlformats.org/officeDocument/2006/relationships/hyperlink" Target="https://rarejapanesenfts.com/nft/pepemaone/" TargetMode="External"/><Relationship Id="rId1206" Type="http://schemas.openxmlformats.org/officeDocument/2006/relationships/hyperlink" Target="https://rarejapanesenfts.com/ja/nft/pepemaone-ja/" TargetMode="External"/><Relationship Id="rId1207" Type="http://schemas.openxmlformats.org/officeDocument/2006/relationships/hyperlink" Target="https://rarejapanesenfts.com/nft/flyingacepep/" TargetMode="External"/><Relationship Id="rId1208" Type="http://schemas.openxmlformats.org/officeDocument/2006/relationships/hyperlink" Target="https://rarejapanesenfts.com/ja/nft/flyingacepep-ja/" TargetMode="External"/><Relationship Id="rId1209" Type="http://schemas.openxmlformats.org/officeDocument/2006/relationships/hyperlink" Target="https://rarejapanesenfts.com/nft/zaifcard/" TargetMode="External"/><Relationship Id="rId619" Type="http://schemas.openxmlformats.org/officeDocument/2006/relationships/hyperlink" Target="https://rarejapanesenfts.com/ja/nft/fwsdlancienc-ja/" TargetMode="External"/><Relationship Id="rId618" Type="http://schemas.openxmlformats.org/officeDocument/2006/relationships/hyperlink" Target="https://rarejapanesenfts.com/nft/fwsdlancienc/" TargetMode="External"/><Relationship Id="rId613" Type="http://schemas.openxmlformats.org/officeDocument/2006/relationships/hyperlink" Target="https://rarejapanesenfts.com/ja/nft/fwsdlicedrac-ja/" TargetMode="External"/><Relationship Id="rId855" Type="http://schemas.openxmlformats.org/officeDocument/2006/relationships/hyperlink" Target="https://rarejapanesenfts.com/ja/nft/fwcfcglosumc-ja/" TargetMode="External"/><Relationship Id="rId612" Type="http://schemas.openxmlformats.org/officeDocument/2006/relationships/hyperlink" Target="https://rarejapanesenfts.com/nft/fwsdlicedrac/" TargetMode="External"/><Relationship Id="rId854" Type="http://schemas.openxmlformats.org/officeDocument/2006/relationships/hyperlink" Target="https://rarejapanesenfts.com/nft/fwcfcglosumc/" TargetMode="External"/><Relationship Id="rId611" Type="http://schemas.openxmlformats.org/officeDocument/2006/relationships/hyperlink" Target="https://rarejapanesenfts.com/ja/nft/fwsdlkeeperc-ja/" TargetMode="External"/><Relationship Id="rId853" Type="http://schemas.openxmlformats.org/officeDocument/2006/relationships/hyperlink" Target="https://rarejapanesenfts.com/ja/nft/fwcfcneverlc-ja/" TargetMode="External"/><Relationship Id="rId610" Type="http://schemas.openxmlformats.org/officeDocument/2006/relationships/hyperlink" Target="https://rarejapanesenfts.com/nft/fwsdlkeeperc/" TargetMode="External"/><Relationship Id="rId852" Type="http://schemas.openxmlformats.org/officeDocument/2006/relationships/hyperlink" Target="https://rarejapanesenfts.com/nft/fwcfcneverlc/" TargetMode="External"/><Relationship Id="rId617" Type="http://schemas.openxmlformats.org/officeDocument/2006/relationships/hyperlink" Target="https://rarejapanesenfts.com/ja/nft/fwsdlancknoc-ja/" TargetMode="External"/><Relationship Id="rId859" Type="http://schemas.openxmlformats.org/officeDocument/2006/relationships/hyperlink" Target="https://rarejapanesenfts.com/ja/nft/fwcfcfairyoc-ja/" TargetMode="External"/><Relationship Id="rId616" Type="http://schemas.openxmlformats.org/officeDocument/2006/relationships/hyperlink" Target="https://rarejapanesenfts.com/nft/fwsdlancknoc/" TargetMode="External"/><Relationship Id="rId858" Type="http://schemas.openxmlformats.org/officeDocument/2006/relationships/hyperlink" Target="https://rarejapanesenfts.com/nft/fwcfcfairyoc/" TargetMode="External"/><Relationship Id="rId615" Type="http://schemas.openxmlformats.org/officeDocument/2006/relationships/hyperlink" Target="https://rarejapanesenfts.com/ja/nft/fwsdlastaroc-ja/" TargetMode="External"/><Relationship Id="rId857" Type="http://schemas.openxmlformats.org/officeDocument/2006/relationships/hyperlink" Target="https://rarejapanesenfts.com/ja/nft/fwcfcglothec-ja/" TargetMode="External"/><Relationship Id="rId614" Type="http://schemas.openxmlformats.org/officeDocument/2006/relationships/hyperlink" Target="https://rarejapanesenfts.com/nft/fwsdlastaroc/" TargetMode="External"/><Relationship Id="rId856" Type="http://schemas.openxmlformats.org/officeDocument/2006/relationships/hyperlink" Target="https://rarejapanesenfts.com/nft/fwcfcglothec/" TargetMode="External"/><Relationship Id="rId851" Type="http://schemas.openxmlformats.org/officeDocument/2006/relationships/hyperlink" Target="https://rarejapanesenfts.com/ja/nft/fwcfcpandorc-ja/" TargetMode="External"/><Relationship Id="rId850" Type="http://schemas.openxmlformats.org/officeDocument/2006/relationships/hyperlink" Target="https://rarejapanesenfts.com/nft/fwcfcpandorc/" TargetMode="External"/><Relationship Id="rId1200" Type="http://schemas.openxmlformats.org/officeDocument/2006/relationships/hyperlink" Target="https://rarejapanesenfts.com/ja/nft/pepejiraiya-ja/" TargetMode="External"/><Relationship Id="rId1201" Type="http://schemas.openxmlformats.org/officeDocument/2006/relationships/hyperlink" Target="https://rarejapanesenfts.com/nft/pepetunade/" TargetMode="External"/><Relationship Id="rId1235" Type="http://schemas.openxmlformats.org/officeDocument/2006/relationships/hyperlink" Target="https://rarejapanesenfts.com/ja/nft/rainypepe-ja/" TargetMode="External"/><Relationship Id="rId1236" Type="http://schemas.openxmlformats.org/officeDocument/2006/relationships/hyperlink" Target="https://rarejapanesenfts.com/nft/hanseipepe/" TargetMode="External"/><Relationship Id="rId1237" Type="http://schemas.openxmlformats.org/officeDocument/2006/relationships/hyperlink" Target="https://rarejapanesenfts.com/ja/nft/hanseipepe-ja/" TargetMode="External"/><Relationship Id="rId1238" Type="http://schemas.openxmlformats.org/officeDocument/2006/relationships/hyperlink" Target="https://rarejapanesenfts.com/nft/cnpepe/" TargetMode="External"/><Relationship Id="rId1239" Type="http://schemas.openxmlformats.org/officeDocument/2006/relationships/hyperlink" Target="https://rarejapanesenfts.com/ja/nft/cnpepe-ja/" TargetMode="External"/><Relationship Id="rId409" Type="http://schemas.openxmlformats.org/officeDocument/2006/relationships/hyperlink" Target="https://rarejapanesenfts.com/nft/chunripepe/" TargetMode="External"/><Relationship Id="rId404" Type="http://schemas.openxmlformats.org/officeDocument/2006/relationships/hyperlink" Target="https://rarejapanesenfts.com/ja/nft/mapepenemr-ja/" TargetMode="External"/><Relationship Id="rId646" Type="http://schemas.openxmlformats.org/officeDocument/2006/relationships/hyperlink" Target="https://rarejapanesenfts.com/nft/fwsdltinkerc/" TargetMode="External"/><Relationship Id="rId888" Type="http://schemas.openxmlformats.org/officeDocument/2006/relationships/hyperlink" Target="https://rarejapanesenfts.com/ja/nft/goxandthedao-ja/" TargetMode="External"/><Relationship Id="rId403" Type="http://schemas.openxmlformats.org/officeDocument/2006/relationships/hyperlink" Target="https://rarejapanesenfts.com/nft/mapepenemr/" TargetMode="External"/><Relationship Id="rId645" Type="http://schemas.openxmlformats.org/officeDocument/2006/relationships/hyperlink" Target="https://rarejapanesenfts.com/ja/nft/fwsdllightmc-ja/" TargetMode="External"/><Relationship Id="rId887" Type="http://schemas.openxmlformats.org/officeDocument/2006/relationships/hyperlink" Target="https://rarejapanesenfts.com/ja/nft/defitest-ja/" TargetMode="External"/><Relationship Id="rId402" Type="http://schemas.openxmlformats.org/officeDocument/2006/relationships/hyperlink" Target="https://rarejapanesenfts.com/ja/nft/myriadmpepe-ja/" TargetMode="External"/><Relationship Id="rId644" Type="http://schemas.openxmlformats.org/officeDocument/2006/relationships/hyperlink" Target="https://rarejapanesenfts.com/nft/fwsdllightmc/" TargetMode="External"/><Relationship Id="rId886" Type="http://schemas.openxmlformats.org/officeDocument/2006/relationships/hyperlink" Target="https://rarejapanesenfts.com/ja/nft/bigstone-ja/" TargetMode="External"/><Relationship Id="rId401" Type="http://schemas.openxmlformats.org/officeDocument/2006/relationships/hyperlink" Target="https://rarejapanesenfts.com/nft/myriadmpepe/" TargetMode="External"/><Relationship Id="rId643" Type="http://schemas.openxmlformats.org/officeDocument/2006/relationships/hyperlink" Target="https://rarejapanesenfts.com/ja/nft/fwsdlcharlac-ja/" TargetMode="External"/><Relationship Id="rId885" Type="http://schemas.openxmlformats.org/officeDocument/2006/relationships/hyperlink" Target="https://rarejapanesenfts.com/ja/nft/rogai-ja/" TargetMode="External"/><Relationship Id="rId408" Type="http://schemas.openxmlformats.org/officeDocument/2006/relationships/hyperlink" Target="https://rarejapanesenfts.com/ja/nft/wnpepepepepe-ja/" TargetMode="External"/><Relationship Id="rId407" Type="http://schemas.openxmlformats.org/officeDocument/2006/relationships/hyperlink" Target="https://rarejapanesenfts.com/nft/wnpepepepepe/" TargetMode="External"/><Relationship Id="rId649" Type="http://schemas.openxmlformats.org/officeDocument/2006/relationships/hyperlink" Target="https://rarejapanesenfts.com/ja/nft/fwsdlsummonc-ja/" TargetMode="External"/><Relationship Id="rId406" Type="http://schemas.openxmlformats.org/officeDocument/2006/relationships/hyperlink" Target="https://rarejapanesenfts.com/ja/nft/maozepepe-ja/" TargetMode="External"/><Relationship Id="rId648" Type="http://schemas.openxmlformats.org/officeDocument/2006/relationships/hyperlink" Target="https://rarejapanesenfts.com/nft/fwsdlsummonc/" TargetMode="External"/><Relationship Id="rId405" Type="http://schemas.openxmlformats.org/officeDocument/2006/relationships/hyperlink" Target="https://rarejapanesenfts.com/nft/maozepepe/" TargetMode="External"/><Relationship Id="rId647" Type="http://schemas.openxmlformats.org/officeDocument/2006/relationships/hyperlink" Target="https://rarejapanesenfts.com/ja/nft/fwsdltinkerc-ja/" TargetMode="External"/><Relationship Id="rId889" Type="http://schemas.openxmlformats.org/officeDocument/2006/relationships/hyperlink" Target="https://rarejapanesenfts.com/ja/nft/kojithecupid-ja/" TargetMode="External"/><Relationship Id="rId880" Type="http://schemas.openxmlformats.org/officeDocument/2006/relationships/hyperlink" Target="https://rarejapanesenfts.com/ja/nft/shibacoiner-ja/" TargetMode="External"/><Relationship Id="rId1230" Type="http://schemas.openxmlformats.org/officeDocument/2006/relationships/hyperlink" Target="https://rarejapanesenfts.com/nft/nobushipepe/" TargetMode="External"/><Relationship Id="rId400" Type="http://schemas.openxmlformats.org/officeDocument/2006/relationships/hyperlink" Target="https://rarejapanesenfts.com/ja/nft/maoismpepe-ja/" TargetMode="External"/><Relationship Id="rId642" Type="http://schemas.openxmlformats.org/officeDocument/2006/relationships/hyperlink" Target="https://rarejapanesenfts.com/nft/fwsdlcharlac/" TargetMode="External"/><Relationship Id="rId884" Type="http://schemas.openxmlformats.org/officeDocument/2006/relationships/hyperlink" Target="https://rarejapanesenfts.com/ja/nft/wagupepe-ja/" TargetMode="External"/><Relationship Id="rId1231" Type="http://schemas.openxmlformats.org/officeDocument/2006/relationships/hyperlink" Target="https://rarejapanesenfts.com/ja/nft/nobushipepe-ja/" TargetMode="External"/><Relationship Id="rId641" Type="http://schemas.openxmlformats.org/officeDocument/2006/relationships/hyperlink" Target="https://rarejapanesenfts.com/ja/nft/fwsdlemissac-ja/" TargetMode="External"/><Relationship Id="rId883" Type="http://schemas.openxmlformats.org/officeDocument/2006/relationships/hyperlink" Target="https://rarejapanesenfts.com/ja/nft/shitto-ja/" TargetMode="External"/><Relationship Id="rId1232" Type="http://schemas.openxmlformats.org/officeDocument/2006/relationships/hyperlink" Target="https://rarejapanesenfts.com/nft/onsenpepe/" TargetMode="External"/><Relationship Id="rId640" Type="http://schemas.openxmlformats.org/officeDocument/2006/relationships/hyperlink" Target="https://rarejapanesenfts.com/nft/fwsdlemissac/" TargetMode="External"/><Relationship Id="rId882" Type="http://schemas.openxmlformats.org/officeDocument/2006/relationships/hyperlink" Target="https://rarejapanesenfts.com/ja/nft/dogemusk-ja/" TargetMode="External"/><Relationship Id="rId1233" Type="http://schemas.openxmlformats.org/officeDocument/2006/relationships/hyperlink" Target="https://rarejapanesenfts.com/ja/nft/onsenpepe-ja/" TargetMode="External"/><Relationship Id="rId881" Type="http://schemas.openxmlformats.org/officeDocument/2006/relationships/hyperlink" Target="https://rarejapanesenfts.com/ja/nft/goxgirl-ja/" TargetMode="External"/><Relationship Id="rId1234" Type="http://schemas.openxmlformats.org/officeDocument/2006/relationships/hyperlink" Target="https://rarejapanesenfts.com/nft/rainypepe/" TargetMode="External"/><Relationship Id="rId1224" Type="http://schemas.openxmlformats.org/officeDocument/2006/relationships/hyperlink" Target="https://rarejapanesenfts.com/nft/mermaidpepe/" TargetMode="External"/><Relationship Id="rId1225" Type="http://schemas.openxmlformats.org/officeDocument/2006/relationships/hyperlink" Target="https://rarejapanesenfts.com/ja/nft/mermaidpepe-ja/" TargetMode="External"/><Relationship Id="rId1226" Type="http://schemas.openxmlformats.org/officeDocument/2006/relationships/hyperlink" Target="https://rarejapanesenfts.com/nft/murasakipepe/" TargetMode="External"/><Relationship Id="rId1227" Type="http://schemas.openxmlformats.org/officeDocument/2006/relationships/hyperlink" Target="https://rarejapanesenfts.com/ja/nft/murasakipepe-ja/" TargetMode="External"/><Relationship Id="rId1228" Type="http://schemas.openxmlformats.org/officeDocument/2006/relationships/hyperlink" Target="https://rarejapanesenfts.com/nft/harakiripepe/" TargetMode="External"/><Relationship Id="rId1229" Type="http://schemas.openxmlformats.org/officeDocument/2006/relationships/hyperlink" Target="https://rarejapanesenfts.com/ja/nft/harakiripepe-ja/" TargetMode="External"/><Relationship Id="rId635" Type="http://schemas.openxmlformats.org/officeDocument/2006/relationships/hyperlink" Target="https://rarejapanesenfts.com/ja/nft/fwsdlhasturc-ja/" TargetMode="External"/><Relationship Id="rId877" Type="http://schemas.openxmlformats.org/officeDocument/2006/relationships/hyperlink" Target="https://rarejapanesenfts.com/ja/nft/hwfashion-ja/" TargetMode="External"/><Relationship Id="rId634" Type="http://schemas.openxmlformats.org/officeDocument/2006/relationships/hyperlink" Target="https://rarejapanesenfts.com/nft/fwsdlhasturc/" TargetMode="External"/><Relationship Id="rId876" Type="http://schemas.openxmlformats.org/officeDocument/2006/relationships/hyperlink" Target="https://rarejapanesenfts.com/ja/nft/lovenft-ja/" TargetMode="External"/><Relationship Id="rId633" Type="http://schemas.openxmlformats.org/officeDocument/2006/relationships/hyperlink" Target="https://rarejapanesenfts.com/ja/nft/fwsdllightnc-ja/" TargetMode="External"/><Relationship Id="rId875" Type="http://schemas.openxmlformats.org/officeDocument/2006/relationships/hyperlink" Target="https://rarejapanesenfts.com/ja/nft/idojawan-ja/" TargetMode="External"/><Relationship Id="rId632" Type="http://schemas.openxmlformats.org/officeDocument/2006/relationships/hyperlink" Target="https://rarejapanesenfts.com/nft/fwsdllightnc/" TargetMode="External"/><Relationship Id="rId874" Type="http://schemas.openxmlformats.org/officeDocument/2006/relationships/hyperlink" Target="https://rarejapanesenfts.com/ja/nft/hagepepe-ja/" TargetMode="External"/><Relationship Id="rId639" Type="http://schemas.openxmlformats.org/officeDocument/2006/relationships/hyperlink" Target="https://rarejapanesenfts.com/ja/nft/fwsdlfaylitc-ja/" TargetMode="External"/><Relationship Id="rId638" Type="http://schemas.openxmlformats.org/officeDocument/2006/relationships/hyperlink" Target="https://rarejapanesenfts.com/nft/fwsdlfaylitc/" TargetMode="External"/><Relationship Id="rId637" Type="http://schemas.openxmlformats.org/officeDocument/2006/relationships/hyperlink" Target="https://rarejapanesenfts.com/ja/nft/fwsdlgentlec-ja/" TargetMode="External"/><Relationship Id="rId879" Type="http://schemas.openxmlformats.org/officeDocument/2006/relationships/hyperlink" Target="https://rarejapanesenfts.com/ja/nft/notsoon-ja/" TargetMode="External"/><Relationship Id="rId636" Type="http://schemas.openxmlformats.org/officeDocument/2006/relationships/hyperlink" Target="https://rarejapanesenfts.com/nft/fwsdlgentlec/" TargetMode="External"/><Relationship Id="rId878" Type="http://schemas.openxmlformats.org/officeDocument/2006/relationships/hyperlink" Target="https://rarejapanesenfts.com/ja/nft/pepebazaar-ja/" TargetMode="External"/><Relationship Id="rId631" Type="http://schemas.openxmlformats.org/officeDocument/2006/relationships/hyperlink" Target="https://rarejapanesenfts.com/ja/nft/fwsdllunyatc-ja/" TargetMode="External"/><Relationship Id="rId873" Type="http://schemas.openxmlformats.org/officeDocument/2006/relationships/hyperlink" Target="https://rarejapanesenfts.com/ja/nft/firstpen-ja/" TargetMode="External"/><Relationship Id="rId1220" Type="http://schemas.openxmlformats.org/officeDocument/2006/relationships/hyperlink" Target="https://rarejapanesenfts.com/nft/blowpepe/" TargetMode="External"/><Relationship Id="rId630" Type="http://schemas.openxmlformats.org/officeDocument/2006/relationships/hyperlink" Target="https://rarejapanesenfts.com/nft/fwsdllunyatc/" TargetMode="External"/><Relationship Id="rId872" Type="http://schemas.openxmlformats.org/officeDocument/2006/relationships/hyperlink" Target="https://rarejapanesenfts.com/ja/nft/thegodtanu-ja/" TargetMode="External"/><Relationship Id="rId1221" Type="http://schemas.openxmlformats.org/officeDocument/2006/relationships/hyperlink" Target="https://rarejapanesenfts.com/ja/nft/blowpepe-ja/" TargetMode="External"/><Relationship Id="rId871" Type="http://schemas.openxmlformats.org/officeDocument/2006/relationships/hyperlink" Target="https://rarejapanesenfts.com/ja/nft/nobunsan-ja/" TargetMode="External"/><Relationship Id="rId1222" Type="http://schemas.openxmlformats.org/officeDocument/2006/relationships/hyperlink" Target="https://rarejapanesenfts.com/nft/breathedpepe/" TargetMode="External"/><Relationship Id="rId870" Type="http://schemas.openxmlformats.org/officeDocument/2006/relationships/hyperlink" Target="https://rarejapanesenfts.com/ja/nft/koedame-ja/" TargetMode="External"/><Relationship Id="rId1223" Type="http://schemas.openxmlformats.org/officeDocument/2006/relationships/hyperlink" Target="https://rarejapanesenfts.com/ja/nft/breathedpepe-ja/" TargetMode="External"/><Relationship Id="rId829" Type="http://schemas.openxmlformats.org/officeDocument/2006/relationships/hyperlink" Target="https://rarejapanesenfts.com/ja/nft/fwcfcdemonoc-ja/" TargetMode="External"/><Relationship Id="rId828" Type="http://schemas.openxmlformats.org/officeDocument/2006/relationships/hyperlink" Target="https://rarejapanesenfts.com/nft/fwcfcdemonoc/" TargetMode="External"/><Relationship Id="rId827" Type="http://schemas.openxmlformats.org/officeDocument/2006/relationships/hyperlink" Target="https://rarejapanesenfts.com/ja/nft/fwcfcdragonc-ja/" TargetMode="External"/><Relationship Id="rId822" Type="http://schemas.openxmlformats.org/officeDocument/2006/relationships/hyperlink" Target="https://rarejapanesenfts.com/nft/fwcfcfierycc/" TargetMode="External"/><Relationship Id="rId821" Type="http://schemas.openxmlformats.org/officeDocument/2006/relationships/hyperlink" Target="https://rarejapanesenfts.com/ja/nft/fwcfcflamedc-ja/" TargetMode="External"/><Relationship Id="rId820" Type="http://schemas.openxmlformats.org/officeDocument/2006/relationships/hyperlink" Target="https://rarejapanesenfts.com/nft/fwcfcflamedc/" TargetMode="External"/><Relationship Id="rId826" Type="http://schemas.openxmlformats.org/officeDocument/2006/relationships/hyperlink" Target="https://rarejapanesenfts.com/nft/fwcfcdragonc/" TargetMode="External"/><Relationship Id="rId825" Type="http://schemas.openxmlformats.org/officeDocument/2006/relationships/hyperlink" Target="https://rarejapanesenfts.com/ja/nft/fwcfcfairytc-ja/" TargetMode="External"/><Relationship Id="rId824" Type="http://schemas.openxmlformats.org/officeDocument/2006/relationships/hyperlink" Target="https://rarejapanesenfts.com/nft/fwcfcfairytc/" TargetMode="External"/><Relationship Id="rId823" Type="http://schemas.openxmlformats.org/officeDocument/2006/relationships/hyperlink" Target="https://rarejapanesenfts.com/ja/nft/fwcfcfierycc-ja/" TargetMode="External"/><Relationship Id="rId819" Type="http://schemas.openxmlformats.org/officeDocument/2006/relationships/hyperlink" Target="https://rarejapanesenfts.com/ja/nft/fwcfcintrosc-ja/" TargetMode="External"/><Relationship Id="rId818" Type="http://schemas.openxmlformats.org/officeDocument/2006/relationships/hyperlink" Target="https://rarejapanesenfts.com/nft/fwcfcintrosc/" TargetMode="External"/><Relationship Id="rId817" Type="http://schemas.openxmlformats.org/officeDocument/2006/relationships/hyperlink" Target="https://rarejapanesenfts.com/ja/nft/fwcfcinvitac-ja/" TargetMode="External"/><Relationship Id="rId816" Type="http://schemas.openxmlformats.org/officeDocument/2006/relationships/hyperlink" Target="https://rarejapanesenfts.com/nft/fwcfcinvitac/" TargetMode="External"/><Relationship Id="rId811" Type="http://schemas.openxmlformats.org/officeDocument/2006/relationships/hyperlink" Target="https://rarejapanesenfts.com/ja/nft/fwcfcspiritc-ja/" TargetMode="External"/><Relationship Id="rId810" Type="http://schemas.openxmlformats.org/officeDocument/2006/relationships/hyperlink" Target="https://rarejapanesenfts.com/nft/fwcfcspiritc/" TargetMode="External"/><Relationship Id="rId815" Type="http://schemas.openxmlformats.org/officeDocument/2006/relationships/hyperlink" Target="https://rarejapanesenfts.com/ja/nft/fwcfcmarsfoc-ja/" TargetMode="External"/><Relationship Id="rId814" Type="http://schemas.openxmlformats.org/officeDocument/2006/relationships/hyperlink" Target="https://rarejapanesenfts.com/nft/fwcfcmarsfoc/" TargetMode="External"/><Relationship Id="rId813" Type="http://schemas.openxmlformats.org/officeDocument/2006/relationships/hyperlink" Target="https://rarejapanesenfts.com/ja/nft/fwcfcsacredc-ja/" TargetMode="External"/><Relationship Id="rId812" Type="http://schemas.openxmlformats.org/officeDocument/2006/relationships/hyperlink" Target="https://rarejapanesenfts.com/nft/fwcfcsacredc/" TargetMode="External"/><Relationship Id="rId609" Type="http://schemas.openxmlformats.org/officeDocument/2006/relationships/hyperlink" Target="https://rarejapanesenfts.com/ja/nft/fwsdlmalefic-ja/" TargetMode="External"/><Relationship Id="rId608" Type="http://schemas.openxmlformats.org/officeDocument/2006/relationships/hyperlink" Target="https://rarejapanesenfts.com/nft/fwsdlmalefic/" TargetMode="External"/><Relationship Id="rId607" Type="http://schemas.openxmlformats.org/officeDocument/2006/relationships/hyperlink" Target="https://rarejapanesenfts.com/ja/nft/fwsdlmercurc-ja/" TargetMode="External"/><Relationship Id="rId849" Type="http://schemas.openxmlformats.org/officeDocument/2006/relationships/hyperlink" Target="https://rarejapanesenfts.com/ja/nft/fwcfcpanmarc-ja/" TargetMode="External"/><Relationship Id="rId602" Type="http://schemas.openxmlformats.org/officeDocument/2006/relationships/hyperlink" Target="https://rarejapanesenfts.com/nft/fwsdlmessenc/" TargetMode="External"/><Relationship Id="rId844" Type="http://schemas.openxmlformats.org/officeDocument/2006/relationships/hyperlink" Target="https://rarejapanesenfts.com/nft/fwcfcretellc/" TargetMode="External"/><Relationship Id="rId601" Type="http://schemas.openxmlformats.org/officeDocument/2006/relationships/hyperlink" Target="https://rarejapanesenfts.com/ja/nft/fwsdlservanc-ja/" TargetMode="External"/><Relationship Id="rId843" Type="http://schemas.openxmlformats.org/officeDocument/2006/relationships/hyperlink" Target="https://rarejapanesenfts.com/ja/nft/fwcfcsafeguc-ja/" TargetMode="External"/><Relationship Id="rId600" Type="http://schemas.openxmlformats.org/officeDocument/2006/relationships/hyperlink" Target="https://rarejapanesenfts.com/nft/fwsdlservanc/" TargetMode="External"/><Relationship Id="rId842" Type="http://schemas.openxmlformats.org/officeDocument/2006/relationships/hyperlink" Target="https://rarejapanesenfts.com/nft/fwcfcsafeguc/" TargetMode="External"/><Relationship Id="rId841" Type="http://schemas.openxmlformats.org/officeDocument/2006/relationships/hyperlink" Target="https://rarejapanesenfts.com/ja/nft/fwcfcstorytc-ja/" TargetMode="External"/><Relationship Id="rId606" Type="http://schemas.openxmlformats.org/officeDocument/2006/relationships/hyperlink" Target="https://rarejapanesenfts.com/nft/fwsdlmercurc/" TargetMode="External"/><Relationship Id="rId848" Type="http://schemas.openxmlformats.org/officeDocument/2006/relationships/hyperlink" Target="https://rarejapanesenfts.com/nft/fwcfcpanmarc/" TargetMode="External"/><Relationship Id="rId605" Type="http://schemas.openxmlformats.org/officeDocument/2006/relationships/hyperlink" Target="https://rarejapanesenfts.com/ja/nft/fwsdlmericyc-ja/" TargetMode="External"/><Relationship Id="rId847" Type="http://schemas.openxmlformats.org/officeDocument/2006/relationships/hyperlink" Target="https://rarejapanesenfts.com/ja/nft/fwcfcpumpkic-ja/" TargetMode="External"/><Relationship Id="rId604" Type="http://schemas.openxmlformats.org/officeDocument/2006/relationships/hyperlink" Target="https://rarejapanesenfts.com/nft/fwsdlmericyc/" TargetMode="External"/><Relationship Id="rId846" Type="http://schemas.openxmlformats.org/officeDocument/2006/relationships/hyperlink" Target="https://rarejapanesenfts.com/nft/fwcfcpumpkic/" TargetMode="External"/><Relationship Id="rId603" Type="http://schemas.openxmlformats.org/officeDocument/2006/relationships/hyperlink" Target="https://rarejapanesenfts.com/ja/nft/fwsdlmessenc-ja/" TargetMode="External"/><Relationship Id="rId845" Type="http://schemas.openxmlformats.org/officeDocument/2006/relationships/hyperlink" Target="https://rarejapanesenfts.com/ja/nft/fwcfcretellc-ja/" TargetMode="External"/><Relationship Id="rId840" Type="http://schemas.openxmlformats.org/officeDocument/2006/relationships/hyperlink" Target="https://rarejapanesenfts.com/nft/fwcfcstorytc/" TargetMode="External"/><Relationship Id="rId839" Type="http://schemas.openxmlformats.org/officeDocument/2006/relationships/hyperlink" Target="https://rarejapanesenfts.com/ja/nft/fwcfczerosic-ja/" TargetMode="External"/><Relationship Id="rId838" Type="http://schemas.openxmlformats.org/officeDocument/2006/relationships/hyperlink" Target="https://rarejapanesenfts.com/nft/fwcfczerosic/" TargetMode="External"/><Relationship Id="rId833" Type="http://schemas.openxmlformats.org/officeDocument/2006/relationships/hyperlink" Target="https://rarejapanesenfts.com/ja/nft/fwcfcancienc-ja/" TargetMode="External"/><Relationship Id="rId832" Type="http://schemas.openxmlformats.org/officeDocument/2006/relationships/hyperlink" Target="https://rarejapanesenfts.com/nft/fwcfcancienc/" TargetMode="External"/><Relationship Id="rId831" Type="http://schemas.openxmlformats.org/officeDocument/2006/relationships/hyperlink" Target="https://rarejapanesenfts.com/ja/nft/fwcfccombatc-ja/" TargetMode="External"/><Relationship Id="rId830" Type="http://schemas.openxmlformats.org/officeDocument/2006/relationships/hyperlink" Target="https://rarejapanesenfts.com/nft/fwcfccombatc/" TargetMode="External"/><Relationship Id="rId837" Type="http://schemas.openxmlformats.org/officeDocument/2006/relationships/hyperlink" Target="https://rarejapanesenfts.com/ja/nft/fwcfczerosfc-ja/" TargetMode="External"/><Relationship Id="rId836" Type="http://schemas.openxmlformats.org/officeDocument/2006/relationships/hyperlink" Target="https://rarejapanesenfts.com/nft/fwcfczerosfc/" TargetMode="External"/><Relationship Id="rId835" Type="http://schemas.openxmlformats.org/officeDocument/2006/relationships/hyperlink" Target="https://rarejapanesenfts.com/ja/nft/fwcfczerosmc-ja/" TargetMode="External"/><Relationship Id="rId834" Type="http://schemas.openxmlformats.org/officeDocument/2006/relationships/hyperlink" Target="https://rarejapanesenfts.com/nft/fwcfczerosmc/" TargetMode="External"/><Relationship Id="rId1059" Type="http://schemas.openxmlformats.org/officeDocument/2006/relationships/hyperlink" Target="https://rarejapanesenfts.com/ja/nft/xaorangerb-ja/" TargetMode="External"/><Relationship Id="rId228" Type="http://schemas.openxmlformats.org/officeDocument/2006/relationships/hyperlink" Target="https://rarejapanesenfts.com/nft/neochans/" TargetMode="External"/><Relationship Id="rId227" Type="http://schemas.openxmlformats.org/officeDocument/2006/relationships/hyperlink" Target="https://rarejapanesenfts.com/nft/nemballoon/" TargetMode="External"/><Relationship Id="rId469" Type="http://schemas.openxmlformats.org/officeDocument/2006/relationships/hyperlink" Target="https://rarejapanesenfts.com/nft/pepezaalbino/" TargetMode="External"/><Relationship Id="rId226" Type="http://schemas.openxmlformats.org/officeDocument/2006/relationships/hyperlink" Target="https://rarejapanesenfts.com/nft/lovemona/" TargetMode="External"/><Relationship Id="rId468" Type="http://schemas.openxmlformats.org/officeDocument/2006/relationships/hyperlink" Target="https://rarejapanesenfts.com/ja/nft/pepedarkside-ja/" TargetMode="External"/><Relationship Id="rId225" Type="http://schemas.openxmlformats.org/officeDocument/2006/relationships/hyperlink" Target="https://rarejapanesenfts.com/nft/icotcoin/" TargetMode="External"/><Relationship Id="rId467" Type="http://schemas.openxmlformats.org/officeDocument/2006/relationships/hyperlink" Target="https://rarejapanesenfts.com/nft/pepedarkside/" TargetMode="External"/><Relationship Id="rId1290" Type="http://schemas.openxmlformats.org/officeDocument/2006/relationships/hyperlink" Target="https://rarejapanesenfts.com/ja/nft/fwcfcthemonc-sog-ja/" TargetMode="External"/><Relationship Id="rId1291" Type="http://schemas.openxmlformats.org/officeDocument/2006/relationships/hyperlink" Target="https://rarejapanesenfts.com/nft/moisteringbc/" TargetMode="External"/><Relationship Id="rId229" Type="http://schemas.openxmlformats.org/officeDocument/2006/relationships/hyperlink" Target="https://rarejapanesenfts.com/nft/oishikunai/" TargetMode="External"/><Relationship Id="rId1050" Type="http://schemas.openxmlformats.org/officeDocument/2006/relationships/hyperlink" Target="https://rarejapanesenfts.com/ja/nft/nemcatapult-ja/" TargetMode="External"/><Relationship Id="rId1292" Type="http://schemas.openxmlformats.org/officeDocument/2006/relationships/hyperlink" Target="https://rarejapanesenfts.com/ja/nft/moisteringbc-ja/" TargetMode="External"/><Relationship Id="rId220" Type="http://schemas.openxmlformats.org/officeDocument/2006/relationships/hyperlink" Target="https://rarejapanesenfts.com/nft/bchwasborn/" TargetMode="External"/><Relationship Id="rId462" Type="http://schemas.openxmlformats.org/officeDocument/2006/relationships/hyperlink" Target="https://rarejapanesenfts.com/ja/nft/pepeevo-ja/" TargetMode="External"/><Relationship Id="rId1051" Type="http://schemas.openxmlformats.org/officeDocument/2006/relationships/hyperlink" Target="https://rarejapanesenfts.com/ja/nft/numeraires-ja/" TargetMode="External"/><Relationship Id="rId1293" Type="http://schemas.openxmlformats.org/officeDocument/2006/relationships/drawing" Target="../drawings/drawing3.xml"/><Relationship Id="rId461" Type="http://schemas.openxmlformats.org/officeDocument/2006/relationships/hyperlink" Target="https://rarejapanesenfts.com/nft/pepeevo/" TargetMode="External"/><Relationship Id="rId1052" Type="http://schemas.openxmlformats.org/officeDocument/2006/relationships/hyperlink" Target="https://rarejapanesenfts.com/ja/nft/pepeeyes-ja/" TargetMode="External"/><Relationship Id="rId460" Type="http://schemas.openxmlformats.org/officeDocument/2006/relationships/hyperlink" Target="https://rarejapanesenfts.com/ja/nft/perochi-ja/" TargetMode="External"/><Relationship Id="rId1053" Type="http://schemas.openxmlformats.org/officeDocument/2006/relationships/hyperlink" Target="https://rarejapanesenfts.com/ja/nft/princessnem-ja/" TargetMode="External"/><Relationship Id="rId1054" Type="http://schemas.openxmlformats.org/officeDocument/2006/relationships/hyperlink" Target="https://rarejapanesenfts.com/ja/nft/rlockup-ja/" TargetMode="External"/><Relationship Id="rId224" Type="http://schemas.openxmlformats.org/officeDocument/2006/relationships/hyperlink" Target="https://rarejapanesenfts.com/nft/gachiho/" TargetMode="External"/><Relationship Id="rId466" Type="http://schemas.openxmlformats.org/officeDocument/2006/relationships/hyperlink" Target="https://rarejapanesenfts.com/ja/nft/pepenin-ja/" TargetMode="External"/><Relationship Id="rId1055" Type="http://schemas.openxmlformats.org/officeDocument/2006/relationships/hyperlink" Target="https://rarejapanesenfts.com/ja/nft/sarutobigif-ja/" TargetMode="External"/><Relationship Id="rId223" Type="http://schemas.openxmlformats.org/officeDocument/2006/relationships/hyperlink" Target="https://rarejapanesenfts.com/nft/dashman/" TargetMode="External"/><Relationship Id="rId465" Type="http://schemas.openxmlformats.org/officeDocument/2006/relationships/hyperlink" Target="https://rarejapanesenfts.com/nft/pepenin/" TargetMode="External"/><Relationship Id="rId1056" Type="http://schemas.openxmlformats.org/officeDocument/2006/relationships/hyperlink" Target="https://rarejapanesenfts.com/ja/nft/sncoldheartb-ja/" TargetMode="External"/><Relationship Id="rId222" Type="http://schemas.openxmlformats.org/officeDocument/2006/relationships/hyperlink" Target="https://rarejapanesenfts.com/nft/ccgetcone/" TargetMode="External"/><Relationship Id="rId464" Type="http://schemas.openxmlformats.org/officeDocument/2006/relationships/hyperlink" Target="https://rarejapanesenfts.com/ja/nft/pepehand-ja/" TargetMode="External"/><Relationship Id="rId1057" Type="http://schemas.openxmlformats.org/officeDocument/2006/relationships/hyperlink" Target="https://rarejapanesenfts.com/ja/nft/tezoscard-ja/" TargetMode="External"/><Relationship Id="rId221" Type="http://schemas.openxmlformats.org/officeDocument/2006/relationships/hyperlink" Target="https://rarejapanesenfts.com/nft/bobbywave/" TargetMode="External"/><Relationship Id="rId463" Type="http://schemas.openxmlformats.org/officeDocument/2006/relationships/hyperlink" Target="https://rarejapanesenfts.com/nft/pepehand/" TargetMode="External"/><Relationship Id="rId1058" Type="http://schemas.openxmlformats.org/officeDocument/2006/relationships/hyperlink" Target="https://rarejapanesenfts.com/ja/nft/theyoubun-ja/" TargetMode="External"/><Relationship Id="rId1048" Type="http://schemas.openxmlformats.org/officeDocument/2006/relationships/hyperlink" Target="https://rarejapanesenfts.com/ja/nft/monaplatinum-ja/" TargetMode="External"/><Relationship Id="rId1049" Type="http://schemas.openxmlformats.org/officeDocument/2006/relationships/hyperlink" Target="https://rarejapanesenfts.com/ja/nft/nembae-ja/" TargetMode="External"/><Relationship Id="rId217" Type="http://schemas.openxmlformats.org/officeDocument/2006/relationships/hyperlink" Target="https://rarejapanesenfts.com/nft/waragoncard/" TargetMode="External"/><Relationship Id="rId459" Type="http://schemas.openxmlformats.org/officeDocument/2006/relationships/hyperlink" Target="https://rarejapanesenfts.com/nft/perochi/" TargetMode="External"/><Relationship Id="rId216" Type="http://schemas.openxmlformats.org/officeDocument/2006/relationships/hyperlink" Target="https://rarejapanesenfts.com/nft/singulardtv/" TargetMode="External"/><Relationship Id="rId458" Type="http://schemas.openxmlformats.org/officeDocument/2006/relationships/hyperlink" Target="https://rarejapanesenfts.com/ja/nft/pepenal-ja/" TargetMode="External"/><Relationship Id="rId215" Type="http://schemas.openxmlformats.org/officeDocument/2006/relationships/hyperlink" Target="https://rarejapanesenfts.com/nft/sbitcoiner/" TargetMode="External"/><Relationship Id="rId457" Type="http://schemas.openxmlformats.org/officeDocument/2006/relationships/hyperlink" Target="https://rarejapanesenfts.com/nft/pepenal/" TargetMode="External"/><Relationship Id="rId699" Type="http://schemas.openxmlformats.org/officeDocument/2006/relationships/hyperlink" Target="https://rarejapanesenfts.com/ja/nft/fwcfcurashic-ja/" TargetMode="External"/><Relationship Id="rId214" Type="http://schemas.openxmlformats.org/officeDocument/2006/relationships/hyperlink" Target="https://rarejapanesenfts.com/nft/nomona/" TargetMode="External"/><Relationship Id="rId456" Type="http://schemas.openxmlformats.org/officeDocument/2006/relationships/hyperlink" Target="https://rarejapanesenfts.com/ja/nft/pepejiro-ja/" TargetMode="External"/><Relationship Id="rId698" Type="http://schemas.openxmlformats.org/officeDocument/2006/relationships/hyperlink" Target="https://rarejapanesenfts.com/nft/fwcfcurashic/" TargetMode="External"/><Relationship Id="rId219" Type="http://schemas.openxmlformats.org/officeDocument/2006/relationships/hyperlink" Target="https://rarejapanesenfts.com/nft/xrptattoo/" TargetMode="External"/><Relationship Id="rId1280" Type="http://schemas.openxmlformats.org/officeDocument/2006/relationships/hyperlink" Target="https://rarejapanesenfts.com/ja/nft/dogecoincard-ja/" TargetMode="External"/><Relationship Id="rId218" Type="http://schemas.openxmlformats.org/officeDocument/2006/relationships/hyperlink" Target="https://rarejapanesenfts.com/nft/xaorangerg/" TargetMode="External"/><Relationship Id="rId1281" Type="http://schemas.openxmlformats.org/officeDocument/2006/relationships/hyperlink" Target="https://rarejapanesenfts.com/nft/fwcfcfierycc-sog/" TargetMode="External"/><Relationship Id="rId451" Type="http://schemas.openxmlformats.org/officeDocument/2006/relationships/hyperlink" Target="https://rarejapanesenfts.com/nft/pepean/" TargetMode="External"/><Relationship Id="rId693" Type="http://schemas.openxmlformats.org/officeDocument/2006/relationships/hyperlink" Target="https://rarejapanesenfts.com/ja/nft/fwcfcofdarkc-ja/" TargetMode="External"/><Relationship Id="rId1040" Type="http://schemas.openxmlformats.org/officeDocument/2006/relationships/hyperlink" Target="https://rarejapanesenfts.com/ja/nft/bouya-ja/" TargetMode="External"/><Relationship Id="rId1282" Type="http://schemas.openxmlformats.org/officeDocument/2006/relationships/hyperlink" Target="https://rarejapanesenfts.com/ja/nft/fwcfcfierycc-sog-ja/" TargetMode="External"/><Relationship Id="rId450" Type="http://schemas.openxmlformats.org/officeDocument/2006/relationships/hyperlink" Target="https://rarejapanesenfts.com/ja/nft/pepebass-ja/" TargetMode="External"/><Relationship Id="rId692" Type="http://schemas.openxmlformats.org/officeDocument/2006/relationships/hyperlink" Target="https://rarejapanesenfts.com/nft/fwcfcofdarkc/" TargetMode="External"/><Relationship Id="rId1041" Type="http://schemas.openxmlformats.org/officeDocument/2006/relationships/hyperlink" Target="https://rarejapanesenfts.com/ja/nft/ccloversbtc-ja/" TargetMode="External"/><Relationship Id="rId1283" Type="http://schemas.openxmlformats.org/officeDocument/2006/relationships/hyperlink" Target="https://rarejapanesenfts.com/nft/fwcfcumrattc-sog/" TargetMode="External"/><Relationship Id="rId691" Type="http://schemas.openxmlformats.org/officeDocument/2006/relationships/hyperlink" Target="https://rarejapanesenfts.com/ja/nft/fwcfcofdeepc-ja/" TargetMode="External"/><Relationship Id="rId1042" Type="http://schemas.openxmlformats.org/officeDocument/2006/relationships/hyperlink" Target="https://rarejapanesenfts.com/ja/nft/chaoo-ja/" TargetMode="External"/><Relationship Id="rId1284" Type="http://schemas.openxmlformats.org/officeDocument/2006/relationships/hyperlink" Target="https://rarejapanesenfts.com/ja/nft/fwcfcumrattc-sog-ja/" TargetMode="External"/><Relationship Id="rId690" Type="http://schemas.openxmlformats.org/officeDocument/2006/relationships/hyperlink" Target="https://rarejapanesenfts.com/nft/fwcfcofdeepc/" TargetMode="External"/><Relationship Id="rId1043" Type="http://schemas.openxmlformats.org/officeDocument/2006/relationships/hyperlink" Target="https://rarejapanesenfts.com/ja/nft/ethereumon-ja/" TargetMode="External"/><Relationship Id="rId1285" Type="http://schemas.openxmlformats.org/officeDocument/2006/relationships/hyperlink" Target="https://rarejapanesenfts.com/nft/fwcfcthemonc-sog/" TargetMode="External"/><Relationship Id="rId213" Type="http://schemas.openxmlformats.org/officeDocument/2006/relationships/hyperlink" Target="https://rarejapanesenfts.com/nft/newsapp/" TargetMode="External"/><Relationship Id="rId455" Type="http://schemas.openxmlformats.org/officeDocument/2006/relationships/hyperlink" Target="https://rarejapanesenfts.com/nft/pepejiro/" TargetMode="External"/><Relationship Id="rId697" Type="http://schemas.openxmlformats.org/officeDocument/2006/relationships/hyperlink" Target="https://rarejapanesenfts.com/ja/nft/fwcfcofblacc-ja/" TargetMode="External"/><Relationship Id="rId1044" Type="http://schemas.openxmlformats.org/officeDocument/2006/relationships/hyperlink" Target="https://rarejapanesenfts.com/ja/nft/ethtattoo-ja/" TargetMode="External"/><Relationship Id="rId1286" Type="http://schemas.openxmlformats.org/officeDocument/2006/relationships/hyperlink" Target="https://rarejapanesenfts.com/nft/fwsdlicedrac-sog/" TargetMode="External"/><Relationship Id="rId212" Type="http://schemas.openxmlformats.org/officeDocument/2006/relationships/hyperlink" Target="https://rarejapanesenfts.com/nft/nembaachan/" TargetMode="External"/><Relationship Id="rId454" Type="http://schemas.openxmlformats.org/officeDocument/2006/relationships/hyperlink" Target="https://rarejapanesenfts.com/ja/nft/pepeball-ja/" TargetMode="External"/><Relationship Id="rId696" Type="http://schemas.openxmlformats.org/officeDocument/2006/relationships/hyperlink" Target="https://rarejapanesenfts.com/nft/fwcfcofblacc/" TargetMode="External"/><Relationship Id="rId1045" Type="http://schemas.openxmlformats.org/officeDocument/2006/relationships/hyperlink" Target="https://rarejapanesenfts.com/ja/nft/golemnet-ja/" TargetMode="External"/><Relationship Id="rId1287" Type="http://schemas.openxmlformats.org/officeDocument/2006/relationships/hyperlink" Target="https://rarejapanesenfts.com/ja/nft/fwsdlicedrac-sog-ja/" TargetMode="External"/><Relationship Id="rId211" Type="http://schemas.openxmlformats.org/officeDocument/2006/relationships/hyperlink" Target="https://rarejapanesenfts.com/nft/monabaachan/" TargetMode="External"/><Relationship Id="rId453" Type="http://schemas.openxmlformats.org/officeDocument/2006/relationships/hyperlink" Target="https://rarejapanesenfts.com/nft/pepeball/" TargetMode="External"/><Relationship Id="rId695" Type="http://schemas.openxmlformats.org/officeDocument/2006/relationships/hyperlink" Target="https://rarejapanesenfts.com/ja/nft/fwcfcofblasc-ja/" TargetMode="External"/><Relationship Id="rId1046" Type="http://schemas.openxmlformats.org/officeDocument/2006/relationships/hyperlink" Target="https://rarejapanesenfts.com/ja/nft/idolnemone-ja/" TargetMode="External"/><Relationship Id="rId1288" Type="http://schemas.openxmlformats.org/officeDocument/2006/relationships/hyperlink" Target="https://rarejapanesenfts.com/nft/fwsdlfiethsc-sog/" TargetMode="External"/><Relationship Id="rId210" Type="http://schemas.openxmlformats.org/officeDocument/2006/relationships/hyperlink" Target="https://rarejapanesenfts.com/nft/islandsaru/" TargetMode="External"/><Relationship Id="rId452" Type="http://schemas.openxmlformats.org/officeDocument/2006/relationships/hyperlink" Target="https://rarejapanesenfts.com/ja/nft/pepean-ja/" TargetMode="External"/><Relationship Id="rId694" Type="http://schemas.openxmlformats.org/officeDocument/2006/relationships/hyperlink" Target="https://rarejapanesenfts.com/nft/fwcfcofblasc/" TargetMode="External"/><Relationship Id="rId1047" Type="http://schemas.openxmlformats.org/officeDocument/2006/relationships/hyperlink" Target="https://rarejapanesenfts.com/ja/nft/ltcdog-ja/" TargetMode="External"/><Relationship Id="rId1289" Type="http://schemas.openxmlformats.org/officeDocument/2006/relationships/hyperlink" Target="https://rarejapanesenfts.com/ja/nft/fwsdlfiethsc-sog-ja/" TargetMode="External"/><Relationship Id="rId491" Type="http://schemas.openxmlformats.org/officeDocument/2006/relationships/hyperlink" Target="https://rarejapanesenfts.com/ja/nft/pepemerman-ja/" TargetMode="External"/><Relationship Id="rId490" Type="http://schemas.openxmlformats.org/officeDocument/2006/relationships/hyperlink" Target="https://rarejapanesenfts.com/nft/pepemerman/" TargetMode="External"/><Relationship Id="rId249" Type="http://schemas.openxmlformats.org/officeDocument/2006/relationships/hyperlink" Target="https://rarejapanesenfts.com/nft/peperaccoon/" TargetMode="External"/><Relationship Id="rId248" Type="http://schemas.openxmlformats.org/officeDocument/2006/relationships/hyperlink" Target="https://rarejapanesenfts.com/nft/pepecamo/" TargetMode="External"/><Relationship Id="rId247" Type="http://schemas.openxmlformats.org/officeDocument/2006/relationships/hyperlink" Target="https://rarejapanesenfts.com/nft/pepegreen/" TargetMode="External"/><Relationship Id="rId489" Type="http://schemas.openxmlformats.org/officeDocument/2006/relationships/hyperlink" Target="https://rarejapanesenfts.com/ja/nft/pepeflies-ja/" TargetMode="External"/><Relationship Id="rId1070" Type="http://schemas.openxmlformats.org/officeDocument/2006/relationships/hyperlink" Target="https://rarejapanesenfts.com/ja/nft/codeislaw-ja/" TargetMode="External"/><Relationship Id="rId1071" Type="http://schemas.openxmlformats.org/officeDocument/2006/relationships/hyperlink" Target="https://rarejapanesenfts.com/ja/nft/darkcoingirl-ja/" TargetMode="External"/><Relationship Id="rId1072" Type="http://schemas.openxmlformats.org/officeDocument/2006/relationships/hyperlink" Target="https://rarejapanesenfts.com/ja/nft/ehardfork-ja/" TargetMode="External"/><Relationship Id="rId242" Type="http://schemas.openxmlformats.org/officeDocument/2006/relationships/hyperlink" Target="https://rarejapanesenfts.com/nft/pepetrek/" TargetMode="External"/><Relationship Id="rId484" Type="http://schemas.openxmlformats.org/officeDocument/2006/relationships/hyperlink" Target="https://rarejapanesenfts.com/nft/pepetter/" TargetMode="External"/><Relationship Id="rId1073" Type="http://schemas.openxmlformats.org/officeDocument/2006/relationships/hyperlink" Target="https://rarejapanesenfts.com/ja/nft/gohatto-ja/" TargetMode="External"/><Relationship Id="rId241" Type="http://schemas.openxmlformats.org/officeDocument/2006/relationships/hyperlink" Target="https://rarejapanesenfts.com/nft/happyrainy/" TargetMode="External"/><Relationship Id="rId483" Type="http://schemas.openxmlformats.org/officeDocument/2006/relationships/hyperlink" Target="https://rarejapanesenfts.com/ja/nft/pepescream-ja/" TargetMode="External"/><Relationship Id="rId1074" Type="http://schemas.openxmlformats.org/officeDocument/2006/relationships/hyperlink" Target="https://rarejapanesenfts.com/ja/nft/forecasting-ja/" TargetMode="External"/><Relationship Id="rId240" Type="http://schemas.openxmlformats.org/officeDocument/2006/relationships/hyperlink" Target="https://rarejapanesenfts.com/nft/claypepe/" TargetMode="External"/><Relationship Id="rId482" Type="http://schemas.openxmlformats.org/officeDocument/2006/relationships/hyperlink" Target="https://rarejapanesenfts.com/nft/pepescream/" TargetMode="External"/><Relationship Id="rId1075" Type="http://schemas.openxmlformats.org/officeDocument/2006/relationships/hyperlink" Target="https://rarejapanesenfts.com/ja/nft/gnosiswoman-ja/" TargetMode="External"/><Relationship Id="rId481" Type="http://schemas.openxmlformats.org/officeDocument/2006/relationships/hyperlink" Target="https://rarejapanesenfts.com/ja/nft/pepetie-ja/" TargetMode="External"/><Relationship Id="rId1076" Type="http://schemas.openxmlformats.org/officeDocument/2006/relationships/hyperlink" Target="https://rarejapanesenfts.com/ja/nft/idolripplea-ja/" TargetMode="External"/><Relationship Id="rId246" Type="http://schemas.openxmlformats.org/officeDocument/2006/relationships/hyperlink" Target="https://rarejapanesenfts.com/nft/pepejapan/" TargetMode="External"/><Relationship Id="rId488" Type="http://schemas.openxmlformats.org/officeDocument/2006/relationships/hyperlink" Target="https://rarejapanesenfts.com/nft/pepeflies/" TargetMode="External"/><Relationship Id="rId1077" Type="http://schemas.openxmlformats.org/officeDocument/2006/relationships/hyperlink" Target="https://rarejapanesenfts.com/ja/nft/ininchan-ja/" TargetMode="External"/><Relationship Id="rId245" Type="http://schemas.openxmlformats.org/officeDocument/2006/relationships/hyperlink" Target="https://rarejapanesenfts.com/nft/kojipepe/" TargetMode="External"/><Relationship Id="rId487" Type="http://schemas.openxmlformats.org/officeDocument/2006/relationships/hyperlink" Target="https://rarejapanesenfts.com/ja/nft/pepebriefs-ja/" TargetMode="External"/><Relationship Id="rId1078" Type="http://schemas.openxmlformats.org/officeDocument/2006/relationships/hyperlink" Target="https://rarejapanesenfts.com/ja/nft/islandsaru-ja/" TargetMode="External"/><Relationship Id="rId244" Type="http://schemas.openxmlformats.org/officeDocument/2006/relationships/hyperlink" Target="https://rarejapanesenfts.com/nft/mandarapepe/" TargetMode="External"/><Relationship Id="rId486" Type="http://schemas.openxmlformats.org/officeDocument/2006/relationships/hyperlink" Target="https://rarejapanesenfts.com/nft/pepebriefs/" TargetMode="External"/><Relationship Id="rId1079" Type="http://schemas.openxmlformats.org/officeDocument/2006/relationships/hyperlink" Target="https://rarejapanesenfts.com/ja/nft/monabaachan-ja/" TargetMode="External"/><Relationship Id="rId243" Type="http://schemas.openxmlformats.org/officeDocument/2006/relationships/hyperlink" Target="https://rarejapanesenfts.com/nft/tadpolepepe/" TargetMode="External"/><Relationship Id="rId485" Type="http://schemas.openxmlformats.org/officeDocument/2006/relationships/hyperlink" Target="https://rarejapanesenfts.com/ja/nft/pepetter-ja/" TargetMode="External"/><Relationship Id="rId480" Type="http://schemas.openxmlformats.org/officeDocument/2006/relationships/hyperlink" Target="https://rarejapanesenfts.com/nft/pepetie/" TargetMode="External"/><Relationship Id="rId239" Type="http://schemas.openxmlformats.org/officeDocument/2006/relationships/hyperlink" Target="https://rarejapanesenfts.com/nft/kappapepe/" TargetMode="External"/><Relationship Id="rId238" Type="http://schemas.openxmlformats.org/officeDocument/2006/relationships/hyperlink" Target="https://rarejapanesenfts.com/nft/peperoncino/" TargetMode="External"/><Relationship Id="rId237" Type="http://schemas.openxmlformats.org/officeDocument/2006/relationships/hyperlink" Target="https://rarejapanesenfts.com/nft/nohpepe/" TargetMode="External"/><Relationship Id="rId479" Type="http://schemas.openxmlformats.org/officeDocument/2006/relationships/hyperlink" Target="https://rarejapanesenfts.com/ja/nft/pepezoncard-ja/" TargetMode="External"/><Relationship Id="rId236" Type="http://schemas.openxmlformats.org/officeDocument/2006/relationships/hyperlink" Target="https://rarejapanesenfts.com/nft/haikupepe/" TargetMode="External"/><Relationship Id="rId478" Type="http://schemas.openxmlformats.org/officeDocument/2006/relationships/hyperlink" Target="https://rarejapanesenfts.com/nft/pepezoncard/" TargetMode="External"/><Relationship Id="rId1060" Type="http://schemas.openxmlformats.org/officeDocument/2006/relationships/hyperlink" Target="https://rarejapanesenfts.com/ja/nft/xrpbaachan-ja/" TargetMode="External"/><Relationship Id="rId1061" Type="http://schemas.openxmlformats.org/officeDocument/2006/relationships/hyperlink" Target="https://rarejapanesenfts.com/ja/nft/xrplockup-ja/" TargetMode="External"/><Relationship Id="rId231" Type="http://schemas.openxmlformats.org/officeDocument/2006/relationships/hyperlink" Target="https://rarejapanesenfts.com/nft/ripule/" TargetMode="External"/><Relationship Id="rId473" Type="http://schemas.openxmlformats.org/officeDocument/2006/relationships/hyperlink" Target="https://rarejapanesenfts.com/ja/nft/mandarapepe-ja/" TargetMode="External"/><Relationship Id="rId1062" Type="http://schemas.openxmlformats.org/officeDocument/2006/relationships/hyperlink" Target="https://rarejapanesenfts.com/ja/nft/blacksmiths-ja/" TargetMode="External"/><Relationship Id="rId230" Type="http://schemas.openxmlformats.org/officeDocument/2006/relationships/hyperlink" Target="https://rarejapanesenfts.com/nft/penpencomsa/" TargetMode="External"/><Relationship Id="rId472" Type="http://schemas.openxmlformats.org/officeDocument/2006/relationships/hyperlink" Target="https://rarejapanesenfts.com/ja/nft/pepearrow-ja/" TargetMode="External"/><Relationship Id="rId1063" Type="http://schemas.openxmlformats.org/officeDocument/2006/relationships/hyperlink" Target="https://rarejapanesenfts.com/ja/nft/btcvipcard-ja/" TargetMode="External"/><Relationship Id="rId471" Type="http://schemas.openxmlformats.org/officeDocument/2006/relationships/hyperlink" Target="https://rarejapanesenfts.com/nft/pepearrow/" TargetMode="External"/><Relationship Id="rId1064" Type="http://schemas.openxmlformats.org/officeDocument/2006/relationships/hyperlink" Target="https://rarejapanesenfts.com/ja/nft/bullbear-ja/" TargetMode="External"/><Relationship Id="rId470" Type="http://schemas.openxmlformats.org/officeDocument/2006/relationships/hyperlink" Target="https://rarejapanesenfts.com/ja/nft/pepezaalbino-ja/" TargetMode="External"/><Relationship Id="rId1065" Type="http://schemas.openxmlformats.org/officeDocument/2006/relationships/hyperlink" Target="https://rarejapanesenfts.com/ja/nft/ccgallone-ja/" TargetMode="External"/><Relationship Id="rId235" Type="http://schemas.openxmlformats.org/officeDocument/2006/relationships/hyperlink" Target="https://rarejapanesenfts.com/nft/kabukipepe/" TargetMode="External"/><Relationship Id="rId477" Type="http://schemas.openxmlformats.org/officeDocument/2006/relationships/hyperlink" Target="https://rarejapanesenfts.com/ja/nft/pepesearch-ja/" TargetMode="External"/><Relationship Id="rId1066" Type="http://schemas.openxmlformats.org/officeDocument/2006/relationships/hyperlink" Target="https://rarejapanesenfts.com/ja/nft/ccgbtcone-ja/" TargetMode="External"/><Relationship Id="rId234" Type="http://schemas.openxmlformats.org/officeDocument/2006/relationships/hyperlink" Target="https://rarejapanesenfts.com/nft/whoissatoshi/" TargetMode="External"/><Relationship Id="rId476" Type="http://schemas.openxmlformats.org/officeDocument/2006/relationships/hyperlink" Target="https://rarejapanesenfts.com/nft/pepesearch/" TargetMode="External"/><Relationship Id="rId1067" Type="http://schemas.openxmlformats.org/officeDocument/2006/relationships/hyperlink" Target="https://rarejapanesenfts.com/ja/nft/ccloverseth-ja/" TargetMode="External"/><Relationship Id="rId233" Type="http://schemas.openxmlformats.org/officeDocument/2006/relationships/hyperlink" Target="https://rarejapanesenfts.com/nft/thetebasaki/" TargetMode="External"/><Relationship Id="rId475" Type="http://schemas.openxmlformats.org/officeDocument/2006/relationships/hyperlink" Target="https://rarejapanesenfts.com/ja/nft/sarutobipepe-ja/" TargetMode="External"/><Relationship Id="rId1068" Type="http://schemas.openxmlformats.org/officeDocument/2006/relationships/hyperlink" Target="https://rarejapanesenfts.com/ja/nft/ccloversnem-ja/" TargetMode="External"/><Relationship Id="rId232" Type="http://schemas.openxmlformats.org/officeDocument/2006/relationships/hyperlink" Target="https://rarejapanesenfts.com/nft/surfwaves/" TargetMode="External"/><Relationship Id="rId474" Type="http://schemas.openxmlformats.org/officeDocument/2006/relationships/hyperlink" Target="https://rarejapanesenfts.com/nft/sarutobipepe/" TargetMode="External"/><Relationship Id="rId1069" Type="http://schemas.openxmlformats.org/officeDocument/2006/relationships/hyperlink" Target="https://rarejapanesenfts.com/ja/nft/civiccard-ja/" TargetMode="External"/><Relationship Id="rId1015" Type="http://schemas.openxmlformats.org/officeDocument/2006/relationships/hyperlink" Target="https://rarejapanesenfts.com/ja/nft/pickupkusa-ja/" TargetMode="External"/><Relationship Id="rId1257" Type="http://schemas.openxmlformats.org/officeDocument/2006/relationships/hyperlink" Target="https://rarejapanesenfts.com/ja/nft/umenipepe-ja/" TargetMode="External"/><Relationship Id="rId1016" Type="http://schemas.openxmlformats.org/officeDocument/2006/relationships/hyperlink" Target="https://rarejapanesenfts.com/ja/nft/soooooooooon-ja/" TargetMode="External"/><Relationship Id="rId1258" Type="http://schemas.openxmlformats.org/officeDocument/2006/relationships/hyperlink" Target="https://rarejapanesenfts.com/nft/pepesurf/" TargetMode="External"/><Relationship Id="rId1017" Type="http://schemas.openxmlformats.org/officeDocument/2006/relationships/hyperlink" Target="https://rarejapanesenfts.com/ja/nft/tform-ja/" TargetMode="External"/><Relationship Id="rId1259" Type="http://schemas.openxmlformats.org/officeDocument/2006/relationships/hyperlink" Target="https://rarejapanesenfts.com/ja/nft/pepesurf-ja/" TargetMode="External"/><Relationship Id="rId1018" Type="http://schemas.openxmlformats.org/officeDocument/2006/relationships/hyperlink" Target="https://rarejapanesenfts.com/ja/nft/thebyzantine-ja/" TargetMode="External"/><Relationship Id="rId1019" Type="http://schemas.openxmlformats.org/officeDocument/2006/relationships/hyperlink" Target="https://rarejapanesenfts.com/ja/nft/ttrustcard-ja/" TargetMode="External"/><Relationship Id="rId426" Type="http://schemas.openxmlformats.org/officeDocument/2006/relationships/hyperlink" Target="https://rarejapanesenfts.com/ja/nft/kyudopepe-ja/" TargetMode="External"/><Relationship Id="rId668" Type="http://schemas.openxmlformats.org/officeDocument/2006/relationships/hyperlink" Target="https://rarejapanesenfts.com/nft/fwcfcwindmac/" TargetMode="External"/><Relationship Id="rId425" Type="http://schemas.openxmlformats.org/officeDocument/2006/relationships/hyperlink" Target="https://rarejapanesenfts.com/nft/kyudopepe/" TargetMode="External"/><Relationship Id="rId667" Type="http://schemas.openxmlformats.org/officeDocument/2006/relationships/hyperlink" Target="https://rarejapanesenfts.com/ja/nft/fwsdlconfecc-ja/" TargetMode="External"/><Relationship Id="rId424" Type="http://schemas.openxmlformats.org/officeDocument/2006/relationships/hyperlink" Target="https://rarejapanesenfts.com/ja/nft/mikopepe-ja/" TargetMode="External"/><Relationship Id="rId666" Type="http://schemas.openxmlformats.org/officeDocument/2006/relationships/hyperlink" Target="https://rarejapanesenfts.com/nft/fwsdlconfecc/" TargetMode="External"/><Relationship Id="rId423" Type="http://schemas.openxmlformats.org/officeDocument/2006/relationships/hyperlink" Target="https://rarejapanesenfts.com/nft/mikopepe/" TargetMode="External"/><Relationship Id="rId665" Type="http://schemas.openxmlformats.org/officeDocument/2006/relationships/hyperlink" Target="https://rarejapanesenfts.com/ja/nft/fwsdlfairytc-ja/" TargetMode="External"/><Relationship Id="rId429" Type="http://schemas.openxmlformats.org/officeDocument/2006/relationships/hyperlink" Target="https://rarejapanesenfts.com/nft/miyako/" TargetMode="External"/><Relationship Id="rId428" Type="http://schemas.openxmlformats.org/officeDocument/2006/relationships/hyperlink" Target="https://rarejapanesenfts.com/ja/nft/engelpepe-ja/" TargetMode="External"/><Relationship Id="rId427" Type="http://schemas.openxmlformats.org/officeDocument/2006/relationships/hyperlink" Target="https://rarejapanesenfts.com/nft/engelpepe/" TargetMode="External"/><Relationship Id="rId669" Type="http://schemas.openxmlformats.org/officeDocument/2006/relationships/hyperlink" Target="https://rarejapanesenfts.com/ja/nft/fwcfcwindmac-ja/" TargetMode="External"/><Relationship Id="rId660" Type="http://schemas.openxmlformats.org/officeDocument/2006/relationships/hyperlink" Target="https://rarejapanesenfts.com/nft/fwsdlgrimmkc/" TargetMode="External"/><Relationship Id="rId1250" Type="http://schemas.openxmlformats.org/officeDocument/2006/relationships/hyperlink" Target="https://rarejapanesenfts.com/nft/matsunipepe/" TargetMode="External"/><Relationship Id="rId1251" Type="http://schemas.openxmlformats.org/officeDocument/2006/relationships/hyperlink" Target="https://rarejapanesenfts.com/ja/nft/matsunipepe-ja/" TargetMode="External"/><Relationship Id="rId1010" Type="http://schemas.openxmlformats.org/officeDocument/2006/relationships/hyperlink" Target="https://rarejapanesenfts.com/ja/nft/foresightman-ja/" TargetMode="External"/><Relationship Id="rId1252" Type="http://schemas.openxmlformats.org/officeDocument/2006/relationships/hyperlink" Target="https://rarejapanesenfts.com/nft/susukinipepe/" TargetMode="External"/><Relationship Id="rId422" Type="http://schemas.openxmlformats.org/officeDocument/2006/relationships/hyperlink" Target="https://rarejapanesenfts.com/ja/nft/pepeforever-ja/" TargetMode="External"/><Relationship Id="rId664" Type="http://schemas.openxmlformats.org/officeDocument/2006/relationships/hyperlink" Target="https://rarejapanesenfts.com/nft/fwsdlfairytc/" TargetMode="External"/><Relationship Id="rId1011" Type="http://schemas.openxmlformats.org/officeDocument/2006/relationships/hyperlink" Target="https://rarejapanesenfts.com/ja/nft/icovacation-ja/" TargetMode="External"/><Relationship Id="rId1253" Type="http://schemas.openxmlformats.org/officeDocument/2006/relationships/hyperlink" Target="https://rarejapanesenfts.com/ja/nft/susukinipepe-ja/" TargetMode="External"/><Relationship Id="rId421" Type="http://schemas.openxmlformats.org/officeDocument/2006/relationships/hyperlink" Target="https://rarejapanesenfts.com/nft/pepeforever/" TargetMode="External"/><Relationship Id="rId663" Type="http://schemas.openxmlformats.org/officeDocument/2006/relationships/hyperlink" Target="https://rarejapanesenfts.com/ja/nft/fwsdlgourmac-ja/" TargetMode="External"/><Relationship Id="rId1012" Type="http://schemas.openxmlformats.org/officeDocument/2006/relationships/hyperlink" Target="https://rarejapanesenfts.com/ja/nft/monasummer-ja/" TargetMode="External"/><Relationship Id="rId1254" Type="http://schemas.openxmlformats.org/officeDocument/2006/relationships/hyperlink" Target="https://rarejapanesenfts.com/nft/sakuranipepe/" TargetMode="External"/><Relationship Id="rId420" Type="http://schemas.openxmlformats.org/officeDocument/2006/relationships/hyperlink" Target="https://rarejapanesenfts.com/ja/nft/kingyopepe-ja/" TargetMode="External"/><Relationship Id="rId662" Type="http://schemas.openxmlformats.org/officeDocument/2006/relationships/hyperlink" Target="https://rarejapanesenfts.com/nft/fwsdlgourmac/" TargetMode="External"/><Relationship Id="rId1013" Type="http://schemas.openxmlformats.org/officeDocument/2006/relationships/hyperlink" Target="https://rarejapanesenfts.com/ja/nft/mrhangenki-ja/" TargetMode="External"/><Relationship Id="rId1255" Type="http://schemas.openxmlformats.org/officeDocument/2006/relationships/hyperlink" Target="https://rarejapanesenfts.com/ja/nft/sakuranipepe-ja/" TargetMode="External"/><Relationship Id="rId661" Type="http://schemas.openxmlformats.org/officeDocument/2006/relationships/hyperlink" Target="https://rarejapanesenfts.com/ja/nft/fwsdlgrimmkc-ja/" TargetMode="External"/><Relationship Id="rId1014" Type="http://schemas.openxmlformats.org/officeDocument/2006/relationships/hyperlink" Target="https://rarejapanesenfts.com/ja/nft/mtgday-ja/" TargetMode="External"/><Relationship Id="rId1256" Type="http://schemas.openxmlformats.org/officeDocument/2006/relationships/hyperlink" Target="https://rarejapanesenfts.com/nft/umenipepe/" TargetMode="External"/><Relationship Id="rId1004" Type="http://schemas.openxmlformats.org/officeDocument/2006/relationships/hyperlink" Target="https://rarejapanesenfts.com/ja/nft/wacksog-ja/" TargetMode="External"/><Relationship Id="rId1246" Type="http://schemas.openxmlformats.org/officeDocument/2006/relationships/hyperlink" Target="https://rarejapanesenfts.com/nft/pppglobal/" TargetMode="External"/><Relationship Id="rId1005" Type="http://schemas.openxmlformats.org/officeDocument/2006/relationships/hyperlink" Target="https://rarejapanesenfts.com/ja/nft/bipbard-ja/" TargetMode="External"/><Relationship Id="rId1247" Type="http://schemas.openxmlformats.org/officeDocument/2006/relationships/hyperlink" Target="https://rarejapanesenfts.com/ja/nft/pppglobal-ja/" TargetMode="External"/><Relationship Id="rId1006" Type="http://schemas.openxmlformats.org/officeDocument/2006/relationships/hyperlink" Target="https://rarejapanesenfts.com/ja/nft/couplegox-ja/" TargetMode="External"/><Relationship Id="rId1248" Type="http://schemas.openxmlformats.org/officeDocument/2006/relationships/hyperlink" Target="https://rarejapanesenfts.com/nft/yanaginipepe/" TargetMode="External"/><Relationship Id="rId1007" Type="http://schemas.openxmlformats.org/officeDocument/2006/relationships/hyperlink" Target="https://rarejapanesenfts.com/ja/nft/ecnuko-ja/" TargetMode="External"/><Relationship Id="rId1249" Type="http://schemas.openxmlformats.org/officeDocument/2006/relationships/hyperlink" Target="https://rarejapanesenfts.com/ja/nft/yanaginipepe-ja/" TargetMode="External"/><Relationship Id="rId1008" Type="http://schemas.openxmlformats.org/officeDocument/2006/relationships/hyperlink" Target="https://rarejapanesenfts.com/ja/nft/ecobitrefund-ja/" TargetMode="External"/><Relationship Id="rId1009" Type="http://schemas.openxmlformats.org/officeDocument/2006/relationships/hyperlink" Target="https://rarejapanesenfts.com/ja/nft/ethchan-ja/" TargetMode="External"/><Relationship Id="rId415" Type="http://schemas.openxmlformats.org/officeDocument/2006/relationships/hyperlink" Target="https://rarejapanesenfts.com/nft/matsuripepe/" TargetMode="External"/><Relationship Id="rId657" Type="http://schemas.openxmlformats.org/officeDocument/2006/relationships/hyperlink" Target="https://rarejapanesenfts.com/ja/nft/fwsdllightdc-ja/" TargetMode="External"/><Relationship Id="rId899" Type="http://schemas.openxmlformats.org/officeDocument/2006/relationships/hyperlink" Target="https://rarejapanesenfts.com/ja/nft/xemandjapan-ja/" TargetMode="External"/><Relationship Id="rId414" Type="http://schemas.openxmlformats.org/officeDocument/2006/relationships/hyperlink" Target="https://rarejapanesenfts.com/ja/nft/cicacoinpepe-ja/" TargetMode="External"/><Relationship Id="rId656" Type="http://schemas.openxmlformats.org/officeDocument/2006/relationships/hyperlink" Target="https://rarejapanesenfts.com/nft/fwsdllightdc/" TargetMode="External"/><Relationship Id="rId898" Type="http://schemas.openxmlformats.org/officeDocument/2006/relationships/hyperlink" Target="https://rarejapanesenfts.com/ja/nft/bigonestep-ja/" TargetMode="External"/><Relationship Id="rId413" Type="http://schemas.openxmlformats.org/officeDocument/2006/relationships/hyperlink" Target="https://rarejapanesenfts.com/nft/cicacoinpepe/" TargetMode="External"/><Relationship Id="rId655" Type="http://schemas.openxmlformats.org/officeDocument/2006/relationships/hyperlink" Target="https://rarejapanesenfts.com/ja/nft/fwsdlmagicsc-ja/" TargetMode="External"/><Relationship Id="rId897" Type="http://schemas.openxmlformats.org/officeDocument/2006/relationships/hyperlink" Target="https://rarejapanesenfts.com/ja/nft/tothemooncd-ja/" TargetMode="External"/><Relationship Id="rId412" Type="http://schemas.openxmlformats.org/officeDocument/2006/relationships/hyperlink" Target="https://rarejapanesenfts.com/ja/nft/pepebricco-ja/" TargetMode="External"/><Relationship Id="rId654" Type="http://schemas.openxmlformats.org/officeDocument/2006/relationships/hyperlink" Target="https://rarejapanesenfts.com/nft/fwsdlmagicsc/" TargetMode="External"/><Relationship Id="rId896" Type="http://schemas.openxmlformats.org/officeDocument/2006/relationships/hyperlink" Target="https://rarejapanesenfts.com/ja/nft/originofmc-ja/" TargetMode="External"/><Relationship Id="rId419" Type="http://schemas.openxmlformats.org/officeDocument/2006/relationships/hyperlink" Target="https://rarejapanesenfts.com/nft/kingyopepe/" TargetMode="External"/><Relationship Id="rId418" Type="http://schemas.openxmlformats.org/officeDocument/2006/relationships/hyperlink" Target="https://rarejapanesenfts.com/ja/nft/yugurepepe-ja/" TargetMode="External"/><Relationship Id="rId417" Type="http://schemas.openxmlformats.org/officeDocument/2006/relationships/hyperlink" Target="https://rarejapanesenfts.com/nft/yugurepepe/" TargetMode="External"/><Relationship Id="rId659" Type="http://schemas.openxmlformats.org/officeDocument/2006/relationships/hyperlink" Target="https://rarejapanesenfts.com/ja/nft/fwsdlkidpusc-ja/" TargetMode="External"/><Relationship Id="rId416" Type="http://schemas.openxmlformats.org/officeDocument/2006/relationships/hyperlink" Target="https://rarejapanesenfts.com/ja/nft/matsuripepe-ja/" TargetMode="External"/><Relationship Id="rId658" Type="http://schemas.openxmlformats.org/officeDocument/2006/relationships/hyperlink" Target="https://rarejapanesenfts.com/nft/fwsdlkidpusc/" TargetMode="External"/><Relationship Id="rId891" Type="http://schemas.openxmlformats.org/officeDocument/2006/relationships/hyperlink" Target="https://rarejapanesenfts.com/ja/nft/xemurai-ja/" TargetMode="External"/><Relationship Id="rId890" Type="http://schemas.openxmlformats.org/officeDocument/2006/relationships/hyperlink" Target="https://rarejapanesenfts.com/ja/nft/thedaodead-ja/" TargetMode="External"/><Relationship Id="rId1240" Type="http://schemas.openxmlformats.org/officeDocument/2006/relationships/hyperlink" Target="https://rarejapanesenfts.com/nft/crystalpepe/" TargetMode="External"/><Relationship Id="rId1241" Type="http://schemas.openxmlformats.org/officeDocument/2006/relationships/hyperlink" Target="https://rarejapanesenfts.com/ja/nft/crystalpepe-ja/" TargetMode="External"/><Relationship Id="rId411" Type="http://schemas.openxmlformats.org/officeDocument/2006/relationships/hyperlink" Target="https://rarejapanesenfts.com/nft/pepebricco/" TargetMode="External"/><Relationship Id="rId653" Type="http://schemas.openxmlformats.org/officeDocument/2006/relationships/hyperlink" Target="https://rarejapanesenfts.com/ja/nft/fwsdlmanifec-ja/" TargetMode="External"/><Relationship Id="rId895" Type="http://schemas.openxmlformats.org/officeDocument/2006/relationships/hyperlink" Target="https://rarejapanesenfts.com/ja/nft/mikehearnalt-ja/" TargetMode="External"/><Relationship Id="rId1000" Type="http://schemas.openxmlformats.org/officeDocument/2006/relationships/hyperlink" Target="https://rarejapanesenfts.com/ja/nft/statusico-ja/" TargetMode="External"/><Relationship Id="rId1242" Type="http://schemas.openxmlformats.org/officeDocument/2006/relationships/hyperlink" Target="https://rarejapanesenfts.com/nft/pepemorphs/" TargetMode="External"/><Relationship Id="rId410" Type="http://schemas.openxmlformats.org/officeDocument/2006/relationships/hyperlink" Target="https://rarejapanesenfts.com/ja/nft/chunripepe-ja/" TargetMode="External"/><Relationship Id="rId652" Type="http://schemas.openxmlformats.org/officeDocument/2006/relationships/hyperlink" Target="https://rarejapanesenfts.com/nft/fwsdlmanifec/" TargetMode="External"/><Relationship Id="rId894" Type="http://schemas.openxmlformats.org/officeDocument/2006/relationships/hyperlink" Target="https://rarejapanesenfts.com/ja/nft/minerb-ja/" TargetMode="External"/><Relationship Id="rId1001" Type="http://schemas.openxmlformats.org/officeDocument/2006/relationships/hyperlink" Target="https://rarejapanesenfts.com/ja/nft/takane-ja/" TargetMode="External"/><Relationship Id="rId1243" Type="http://schemas.openxmlformats.org/officeDocument/2006/relationships/hyperlink" Target="https://rarejapanesenfts.com/ja/nft/pepemorphs-ja/" TargetMode="External"/><Relationship Id="rId651" Type="http://schemas.openxmlformats.org/officeDocument/2006/relationships/hyperlink" Target="https://rarejapanesenfts.com/ja/nft/fwsdlmilliuc-ja/" TargetMode="External"/><Relationship Id="rId893" Type="http://schemas.openxmlformats.org/officeDocument/2006/relationships/hyperlink" Target="https://rarejapanesenfts.com/ja/nft/monacoingirl-ja/" TargetMode="External"/><Relationship Id="rId1002" Type="http://schemas.openxmlformats.org/officeDocument/2006/relationships/hyperlink" Target="https://rarejapanesenfts.com/ja/nft/takaragps-ja/" TargetMode="External"/><Relationship Id="rId1244" Type="http://schemas.openxmlformats.org/officeDocument/2006/relationships/hyperlink" Target="https://rarejapanesenfts.com/nft/pepegiga/" TargetMode="External"/><Relationship Id="rId650" Type="http://schemas.openxmlformats.org/officeDocument/2006/relationships/hyperlink" Target="https://rarejapanesenfts.com/nft/fwsdlmilliuc/" TargetMode="External"/><Relationship Id="rId892" Type="http://schemas.openxmlformats.org/officeDocument/2006/relationships/hyperlink" Target="https://rarejapanesenfts.com/ja/nft/bitcoingirl-ja/" TargetMode="External"/><Relationship Id="rId1003" Type="http://schemas.openxmlformats.org/officeDocument/2006/relationships/hyperlink" Target="https://rarejapanesenfts.com/ja/nft/thearukamo-ja/" TargetMode="External"/><Relationship Id="rId1245" Type="http://schemas.openxmlformats.org/officeDocument/2006/relationships/hyperlink" Target="https://rarejapanesenfts.com/ja/nft/pepegiga-ja/" TargetMode="External"/><Relationship Id="rId1037" Type="http://schemas.openxmlformats.org/officeDocument/2006/relationships/hyperlink" Target="https://rarejapanesenfts.com/ja/nft/oahf-ja/" TargetMode="External"/><Relationship Id="rId1279" Type="http://schemas.openxmlformats.org/officeDocument/2006/relationships/hyperlink" Target="https://rarejapanesenfts.com/nft/dogecoincard/" TargetMode="External"/><Relationship Id="rId1038" Type="http://schemas.openxmlformats.org/officeDocument/2006/relationships/hyperlink" Target="https://rarejapanesenfts.com/ja/nft/bigman-ja/" TargetMode="External"/><Relationship Id="rId1039" Type="http://schemas.openxmlformats.org/officeDocument/2006/relationships/hyperlink" Target="https://rarejapanesenfts.com/ja/nft/bitsennin-ja/" TargetMode="External"/><Relationship Id="rId206" Type="http://schemas.openxmlformats.org/officeDocument/2006/relationships/hyperlink" Target="https://rarejapanesenfts.com/nft/gnosiswoman/" TargetMode="External"/><Relationship Id="rId448" Type="http://schemas.openxmlformats.org/officeDocument/2006/relationships/hyperlink" Target="https://rarejapanesenfts.com/ja/nft/pepepet-ja/" TargetMode="External"/><Relationship Id="rId205" Type="http://schemas.openxmlformats.org/officeDocument/2006/relationships/hyperlink" Target="https://rarejapanesenfts.com/nft/forecasting/" TargetMode="External"/><Relationship Id="rId447" Type="http://schemas.openxmlformats.org/officeDocument/2006/relationships/hyperlink" Target="https://rarejapanesenfts.com/nft/pepepet/" TargetMode="External"/><Relationship Id="rId689" Type="http://schemas.openxmlformats.org/officeDocument/2006/relationships/hyperlink" Target="https://rarejapanesenfts.com/ja/nft/fwcfcofgustc-ja/" TargetMode="External"/><Relationship Id="rId204" Type="http://schemas.openxmlformats.org/officeDocument/2006/relationships/hyperlink" Target="https://rarejapanesenfts.com/nft/ehardfork/" TargetMode="External"/><Relationship Id="rId446" Type="http://schemas.openxmlformats.org/officeDocument/2006/relationships/hyperlink" Target="https://rarejapanesenfts.com/ja/nft/pepesax-ja/" TargetMode="External"/><Relationship Id="rId688" Type="http://schemas.openxmlformats.org/officeDocument/2006/relationships/hyperlink" Target="https://rarejapanesenfts.com/nft/fwcfcofgustc/" TargetMode="External"/><Relationship Id="rId203" Type="http://schemas.openxmlformats.org/officeDocument/2006/relationships/hyperlink" Target="https://rarejapanesenfts.com/nft/darkcoingirl/" TargetMode="External"/><Relationship Id="rId445" Type="http://schemas.openxmlformats.org/officeDocument/2006/relationships/hyperlink" Target="https://rarejapanesenfts.com/nft/pepesax/" TargetMode="External"/><Relationship Id="rId687" Type="http://schemas.openxmlformats.org/officeDocument/2006/relationships/hyperlink" Target="https://rarejapanesenfts.com/ja/nft/fwcfcofhearc-ja/" TargetMode="External"/><Relationship Id="rId209" Type="http://schemas.openxmlformats.org/officeDocument/2006/relationships/hyperlink" Target="https://rarejapanesenfts.com/nft/ininchan/" TargetMode="External"/><Relationship Id="rId208" Type="http://schemas.openxmlformats.org/officeDocument/2006/relationships/hyperlink" Target="https://rarejapanesenfts.com/nft/idolripplea/" TargetMode="External"/><Relationship Id="rId207" Type="http://schemas.openxmlformats.org/officeDocument/2006/relationships/hyperlink" Target="https://rarejapanesenfts.com/nft/gohatto/" TargetMode="External"/><Relationship Id="rId449" Type="http://schemas.openxmlformats.org/officeDocument/2006/relationships/hyperlink" Target="https://rarejapanesenfts.com/nft/pepebass/" TargetMode="External"/><Relationship Id="rId1270" Type="http://schemas.openxmlformats.org/officeDocument/2006/relationships/hyperlink" Target="https://rarejapanesenfts.com/nft/mupepets/" TargetMode="External"/><Relationship Id="rId440" Type="http://schemas.openxmlformats.org/officeDocument/2006/relationships/hyperlink" Target="https://rarejapanesenfts.com/ja/nft/pepesummer-ja/" TargetMode="External"/><Relationship Id="rId682" Type="http://schemas.openxmlformats.org/officeDocument/2006/relationships/hyperlink" Target="https://rarejapanesenfts.com/nft/fwcfcofheavc/" TargetMode="External"/><Relationship Id="rId1271" Type="http://schemas.openxmlformats.org/officeDocument/2006/relationships/hyperlink" Target="https://rarejapanesenfts.com/ja/nft/mupepets-ja/" TargetMode="External"/><Relationship Id="rId681" Type="http://schemas.openxmlformats.org/officeDocument/2006/relationships/hyperlink" Target="https://rarejapanesenfts.com/ja/nft/fwcfcoflighc-ja/" TargetMode="External"/><Relationship Id="rId1030" Type="http://schemas.openxmlformats.org/officeDocument/2006/relationships/hyperlink" Target="https://rarejapanesenfts.com/ja/nft/eatsushi-ja/" TargetMode="External"/><Relationship Id="rId1272" Type="http://schemas.openxmlformats.org/officeDocument/2006/relationships/hyperlink" Target="https://rarejapanesenfts.com/ja/nft/coinportalcd-ja/" TargetMode="External"/><Relationship Id="rId680" Type="http://schemas.openxmlformats.org/officeDocument/2006/relationships/hyperlink" Target="https://rarejapanesenfts.com/nft/fwcfcoflighc/" TargetMode="External"/><Relationship Id="rId1031" Type="http://schemas.openxmlformats.org/officeDocument/2006/relationships/hyperlink" Target="https://rarejapanesenfts.com/ja/nft/cryptoholic-ja/" TargetMode="External"/><Relationship Id="rId1273" Type="http://schemas.openxmlformats.org/officeDocument/2006/relationships/hyperlink" Target="https://rarejapanesenfts.com/nft/wherebcycard/" TargetMode="External"/><Relationship Id="rId1032" Type="http://schemas.openxmlformats.org/officeDocument/2006/relationships/hyperlink" Target="https://rarejapanesenfts.com/ja/nft/neochan-ja/" TargetMode="External"/><Relationship Id="rId1274" Type="http://schemas.openxmlformats.org/officeDocument/2006/relationships/hyperlink" Target="https://rarejapanesenfts.com/ja/nft/wherebcycard-ja/" TargetMode="External"/><Relationship Id="rId202" Type="http://schemas.openxmlformats.org/officeDocument/2006/relationships/hyperlink" Target="https://rarejapanesenfts.com/nft/codeislaw/" TargetMode="External"/><Relationship Id="rId444" Type="http://schemas.openxmlformats.org/officeDocument/2006/relationships/hyperlink" Target="https://rarejapanesenfts.com/ja/nft/pepedol-ja/" TargetMode="External"/><Relationship Id="rId686" Type="http://schemas.openxmlformats.org/officeDocument/2006/relationships/hyperlink" Target="https://rarejapanesenfts.com/nft/fwcfcofhearc/" TargetMode="External"/><Relationship Id="rId1033" Type="http://schemas.openxmlformats.org/officeDocument/2006/relationships/hyperlink" Target="https://rarejapanesenfts.com/ja/nft/btcfork-ja/" TargetMode="External"/><Relationship Id="rId1275" Type="http://schemas.openxmlformats.org/officeDocument/2006/relationships/hyperlink" Target="https://rarejapanesenfts.com/nft/sarutobicard/" TargetMode="External"/><Relationship Id="rId201" Type="http://schemas.openxmlformats.org/officeDocument/2006/relationships/hyperlink" Target="https://rarejapanesenfts.com/nft/civiccard/" TargetMode="External"/><Relationship Id="rId443" Type="http://schemas.openxmlformats.org/officeDocument/2006/relationships/hyperlink" Target="https://rarejapanesenfts.com/nft/pepedol/" TargetMode="External"/><Relationship Id="rId685" Type="http://schemas.openxmlformats.org/officeDocument/2006/relationships/hyperlink" Target="https://rarejapanesenfts.com/ja/nft/fwcfcofheatc-ja/" TargetMode="External"/><Relationship Id="rId1034" Type="http://schemas.openxmlformats.org/officeDocument/2006/relationships/hyperlink" Target="https://rarejapanesenfts.com/ja/nft/takabcoin-ja/" TargetMode="External"/><Relationship Id="rId1276" Type="http://schemas.openxmlformats.org/officeDocument/2006/relationships/hyperlink" Target="https://rarejapanesenfts.com/ja/nft/sarutobicard-ja/" TargetMode="External"/><Relationship Id="rId200" Type="http://schemas.openxmlformats.org/officeDocument/2006/relationships/hyperlink" Target="https://rarejapanesenfts.com/nft/ccloversnem/" TargetMode="External"/><Relationship Id="rId442" Type="http://schemas.openxmlformats.org/officeDocument/2006/relationships/hyperlink" Target="https://rarejapanesenfts.com/ja/nft/senjupepe-ja/" TargetMode="External"/><Relationship Id="rId684" Type="http://schemas.openxmlformats.org/officeDocument/2006/relationships/hyperlink" Target="https://rarejapanesenfts.com/nft/fwcfcofheatc/" TargetMode="External"/><Relationship Id="rId1035" Type="http://schemas.openxmlformats.org/officeDocument/2006/relationships/hyperlink" Target="https://rarejapanesenfts.com/ja/nft/tanukj-ja/" TargetMode="External"/><Relationship Id="rId1277" Type="http://schemas.openxmlformats.org/officeDocument/2006/relationships/hyperlink" Target="https://rarejapanesenfts.com/nft/goxcard/" TargetMode="External"/><Relationship Id="rId441" Type="http://schemas.openxmlformats.org/officeDocument/2006/relationships/hyperlink" Target="https://rarejapanesenfts.com/nft/senjupepe/" TargetMode="External"/><Relationship Id="rId683" Type="http://schemas.openxmlformats.org/officeDocument/2006/relationships/hyperlink" Target="https://rarejapanesenfts.com/ja/nft/fwcfcofheavc-ja/" TargetMode="External"/><Relationship Id="rId1036" Type="http://schemas.openxmlformats.org/officeDocument/2006/relationships/hyperlink" Target="https://rarejapanesenfts.com/ja/nft/penpenbtc-ja/" TargetMode="External"/><Relationship Id="rId1278" Type="http://schemas.openxmlformats.org/officeDocument/2006/relationships/hyperlink" Target="https://rarejapanesenfts.com/ja/nft/goxcard-ja/" TargetMode="External"/><Relationship Id="rId1026" Type="http://schemas.openxmlformats.org/officeDocument/2006/relationships/hyperlink" Target="https://rarejapanesenfts.com/ja/nft/gamestart-ja/" TargetMode="External"/><Relationship Id="rId1268" Type="http://schemas.openxmlformats.org/officeDocument/2006/relationships/hyperlink" Target="https://rarejapanesenfts.com/nft/gangpepe/" TargetMode="External"/><Relationship Id="rId1027" Type="http://schemas.openxmlformats.org/officeDocument/2006/relationships/hyperlink" Target="https://rarejapanesenfts.com/ja/nft/mgoinvader-ja/" TargetMode="External"/><Relationship Id="rId1269" Type="http://schemas.openxmlformats.org/officeDocument/2006/relationships/hyperlink" Target="https://rarejapanesenfts.com/ja/nft/gangpepe-ja/" TargetMode="External"/><Relationship Id="rId1028" Type="http://schemas.openxmlformats.org/officeDocument/2006/relationships/hyperlink" Target="https://rarejapanesenfts.com/ja/nft/sisumaistart-ja/" TargetMode="External"/><Relationship Id="rId1029" Type="http://schemas.openxmlformats.org/officeDocument/2006/relationships/hyperlink" Target="https://rarejapanesenfts.com/ja/nft/selfgox-ja/" TargetMode="External"/><Relationship Id="rId437" Type="http://schemas.openxmlformats.org/officeDocument/2006/relationships/hyperlink" Target="https://rarejapanesenfts.com/nft/pepefuyu/" TargetMode="External"/><Relationship Id="rId679" Type="http://schemas.openxmlformats.org/officeDocument/2006/relationships/hyperlink" Target="https://rarejapanesenfts.com/ja/nft/fwcfcofscorc-ja/" TargetMode="External"/><Relationship Id="rId436" Type="http://schemas.openxmlformats.org/officeDocument/2006/relationships/hyperlink" Target="https://rarejapanesenfts.com/ja/nft/pepeaki-ja/" TargetMode="External"/><Relationship Id="rId678" Type="http://schemas.openxmlformats.org/officeDocument/2006/relationships/hyperlink" Target="https://rarejapanesenfts.com/nft/fwcfcofscorc/" TargetMode="External"/><Relationship Id="rId435" Type="http://schemas.openxmlformats.org/officeDocument/2006/relationships/hyperlink" Target="https://rarejapanesenfts.com/nft/pepeaki/" TargetMode="External"/><Relationship Id="rId677" Type="http://schemas.openxmlformats.org/officeDocument/2006/relationships/hyperlink" Target="https://rarejapanesenfts.com/ja/nft/fwcfcdarknec-ja/" TargetMode="External"/><Relationship Id="rId434" Type="http://schemas.openxmlformats.org/officeDocument/2006/relationships/hyperlink" Target="https://rarejapanesenfts.com/ja/nft/pepeharu-ja/" TargetMode="External"/><Relationship Id="rId676" Type="http://schemas.openxmlformats.org/officeDocument/2006/relationships/hyperlink" Target="https://rarejapanesenfts.com/nft/fwcfcdarknec/" TargetMode="External"/><Relationship Id="rId439" Type="http://schemas.openxmlformats.org/officeDocument/2006/relationships/hyperlink" Target="https://rarejapanesenfts.com/nft/pepesummer/" TargetMode="External"/><Relationship Id="rId438" Type="http://schemas.openxmlformats.org/officeDocument/2006/relationships/hyperlink" Target="https://rarejapanesenfts.com/ja/nft/pepefuyu-ja/" TargetMode="External"/><Relationship Id="rId671" Type="http://schemas.openxmlformats.org/officeDocument/2006/relationships/hyperlink" Target="https://rarejapanesenfts.com/ja/nft/fwcfcwatermc-ja/" TargetMode="External"/><Relationship Id="rId1260" Type="http://schemas.openxmlformats.org/officeDocument/2006/relationships/hyperlink" Target="https://rarejapanesenfts.com/nft/pokerpepe/" TargetMode="External"/><Relationship Id="rId670" Type="http://schemas.openxmlformats.org/officeDocument/2006/relationships/hyperlink" Target="https://rarejapanesenfts.com/nft/fwcfcwatermc/" TargetMode="External"/><Relationship Id="rId1261" Type="http://schemas.openxmlformats.org/officeDocument/2006/relationships/hyperlink" Target="https://rarejapanesenfts.com/ja/nft/pokerpepe-ja/" TargetMode="External"/><Relationship Id="rId1020" Type="http://schemas.openxmlformats.org/officeDocument/2006/relationships/hyperlink" Target="https://rarejapanesenfts.com/ja/nft/thecemetery-ja/" TargetMode="External"/><Relationship Id="rId1262" Type="http://schemas.openxmlformats.org/officeDocument/2006/relationships/hyperlink" Target="https://rarejapanesenfts.com/nft/pepedj/" TargetMode="External"/><Relationship Id="rId1021" Type="http://schemas.openxmlformats.org/officeDocument/2006/relationships/hyperlink" Target="https://rarejapanesenfts.com/ja/nft/mcwashoy-ja/" TargetMode="External"/><Relationship Id="rId1263" Type="http://schemas.openxmlformats.org/officeDocument/2006/relationships/hyperlink" Target="https://rarejapanesenfts.com/ja/nft/pepedj-2/" TargetMode="External"/><Relationship Id="rId433" Type="http://schemas.openxmlformats.org/officeDocument/2006/relationships/hyperlink" Target="https://rarejapanesenfts.com/nft/pepeharu/" TargetMode="External"/><Relationship Id="rId675" Type="http://schemas.openxmlformats.org/officeDocument/2006/relationships/hyperlink" Target="https://rarejapanesenfts.com/ja/nft/fwcfcfiremac-ja/" TargetMode="External"/><Relationship Id="rId1022" Type="http://schemas.openxmlformats.org/officeDocument/2006/relationships/hyperlink" Target="https://rarejapanesenfts.com/ja/nft/wannacry-ja/" TargetMode="External"/><Relationship Id="rId1264" Type="http://schemas.openxmlformats.org/officeDocument/2006/relationships/hyperlink" Target="https://rarejapanesenfts.com/nft/pepemom/" TargetMode="External"/><Relationship Id="rId432" Type="http://schemas.openxmlformats.org/officeDocument/2006/relationships/hyperlink" Target="https://rarejapanesenfts.com/ja/nft/sanpopepe-ja/" TargetMode="External"/><Relationship Id="rId674" Type="http://schemas.openxmlformats.org/officeDocument/2006/relationships/hyperlink" Target="https://rarejapanesenfts.com/nft/fwcfcfiremac/" TargetMode="External"/><Relationship Id="rId1023" Type="http://schemas.openxmlformats.org/officeDocument/2006/relationships/hyperlink" Target="https://rarejapanesenfts.com/ja/nft/willsplit-ja/" TargetMode="External"/><Relationship Id="rId1265" Type="http://schemas.openxmlformats.org/officeDocument/2006/relationships/hyperlink" Target="https://rarejapanesenfts.com/ja/nft/pepemom-ja/" TargetMode="External"/><Relationship Id="rId431" Type="http://schemas.openxmlformats.org/officeDocument/2006/relationships/hyperlink" Target="https://rarejapanesenfts.com/nft/sanpopepe/" TargetMode="External"/><Relationship Id="rId673" Type="http://schemas.openxmlformats.org/officeDocument/2006/relationships/hyperlink" Target="https://rarejapanesenfts.com/ja/nft/fwcfclightmc-ja/" TargetMode="External"/><Relationship Id="rId1024" Type="http://schemas.openxmlformats.org/officeDocument/2006/relationships/hyperlink" Target="https://rarejapanesenfts.com/ja/nft/bitcoiners-ja/" TargetMode="External"/><Relationship Id="rId1266" Type="http://schemas.openxmlformats.org/officeDocument/2006/relationships/hyperlink" Target="https://rarejapanesenfts.com/nft/cupidpepe/" TargetMode="External"/><Relationship Id="rId430" Type="http://schemas.openxmlformats.org/officeDocument/2006/relationships/hyperlink" Target="https://rarejapanesenfts.com/ja/nft/miyako-ja/" TargetMode="External"/><Relationship Id="rId672" Type="http://schemas.openxmlformats.org/officeDocument/2006/relationships/hyperlink" Target="https://rarejapanesenfts.com/nft/fwcfclightmc/" TargetMode="External"/><Relationship Id="rId1025" Type="http://schemas.openxmlformats.org/officeDocument/2006/relationships/hyperlink" Target="https://rarejapanesenfts.com/ja/nft/jbws-ja/" TargetMode="External"/><Relationship Id="rId1267" Type="http://schemas.openxmlformats.org/officeDocument/2006/relationships/hyperlink" Target="https://rarejapanesenfts.com/ja/nft/cupidpepe-j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witter.com/nemkd12" TargetMode="External"/><Relationship Id="rId2" Type="http://schemas.openxmlformats.org/officeDocument/2006/relationships/hyperlink" Target="https://xchain.io/address/15MDXC3YkR5sHL34c41YMonkxJP7RKeLK1" TargetMode="External"/><Relationship Id="rId3" Type="http://schemas.openxmlformats.org/officeDocument/2006/relationships/hyperlink" Target="https://dhpkww12.hatenablog.com/archive" TargetMode="External"/><Relationship Id="rId4" Type="http://schemas.openxmlformats.org/officeDocument/2006/relationships/hyperlink" Target="https://opensea.io/Pom779" TargetMode="External"/><Relationship Id="rId9" Type="http://schemas.openxmlformats.org/officeDocument/2006/relationships/hyperlink" Target="https://twitter.com/StArnouldnagoya" TargetMode="External"/><Relationship Id="rId5" Type="http://schemas.openxmlformats.org/officeDocument/2006/relationships/hyperlink" Target="https://twitter.com/JapepeneseMan" TargetMode="External"/><Relationship Id="rId6" Type="http://schemas.openxmlformats.org/officeDocument/2006/relationships/hyperlink" Target="https://twitter.com/SmartSpaceDogs" TargetMode="External"/><Relationship Id="rId7" Type="http://schemas.openxmlformats.org/officeDocument/2006/relationships/hyperlink" Target="https://xchain.io/address/1NDLa9HG3WsBuzn1x6RyPBHNipUHLyaE2h" TargetMode="External"/><Relationship Id="rId8" Type="http://schemas.openxmlformats.org/officeDocument/2006/relationships/hyperlink" Target="https://twitter.com/mizcored" TargetMode="External"/><Relationship Id="rId11" Type="http://schemas.openxmlformats.org/officeDocument/2006/relationships/hyperlink" Target="https://twitter.com/mizunashi_JK17" TargetMode="External"/><Relationship Id="rId10" Type="http://schemas.openxmlformats.org/officeDocument/2006/relationships/hyperlink" Target="https://twitter.com/MandelDuck/status/1451504375906570264" TargetMode="External"/><Relationship Id="rId13" Type="http://schemas.openxmlformats.org/officeDocument/2006/relationships/hyperlink" Target="https://twitter.com/tomotomo_9696" TargetMode="External"/><Relationship Id="rId12" Type="http://schemas.openxmlformats.org/officeDocument/2006/relationships/hyperlink" Target="https://twitter.com/CryptoKaiketsuZ" TargetMode="External"/><Relationship Id="rId15" Type="http://schemas.openxmlformats.org/officeDocument/2006/relationships/drawing" Target="../drawings/drawing4.xml"/><Relationship Id="rId14" Type="http://schemas.openxmlformats.org/officeDocument/2006/relationships/hyperlink" Target="https://twitter.com/masia0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5" max="5" width="31.75"/>
    <col customWidth="1" min="6" max="6" width="18.25"/>
    <col customWidth="1" min="14" max="14" width="18.25"/>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P1" s="1">
        <v>16.0</v>
      </c>
    </row>
    <row r="2">
      <c r="A2" s="1" t="s">
        <v>14</v>
      </c>
      <c r="B2" s="3" t="s">
        <v>15</v>
      </c>
      <c r="C2" s="1" t="s">
        <v>16</v>
      </c>
      <c r="D2" s="1" t="s">
        <v>17</v>
      </c>
      <c r="E2" s="1" t="s">
        <v>18</v>
      </c>
      <c r="F2" s="1" t="str">
        <f>IFERROR(__xludf.DUMMYFUNCTION("SPLIT(E2,""&gt;"")"),"Badger Capsule")</f>
        <v>Badger Capsule</v>
      </c>
      <c r="G2" s="1" t="str">
        <f>IFERROR(__xludf.DUMMYFUNCTION("""COMPUTED_VALUE"""),"Series 1")</f>
        <v>Series 1</v>
      </c>
      <c r="H2" s="1" t="s">
        <v>17</v>
      </c>
      <c r="I2" s="1" t="s">
        <v>19</v>
      </c>
      <c r="J2" s="4">
        <v>44501.0</v>
      </c>
      <c r="K2" s="1">
        <v>250.0</v>
      </c>
      <c r="L2" s="1">
        <v>250.0</v>
      </c>
      <c r="M2" s="1">
        <v>12.0</v>
      </c>
      <c r="N2" s="5" t="s">
        <v>20</v>
      </c>
      <c r="P2" s="6" t="str">
        <f>VLOOKUP(D2,'シート2'!A:B, 2, 0)</f>
        <v>@kartanbitcoin</v>
      </c>
    </row>
    <row r="3">
      <c r="A3" s="1" t="s">
        <v>21</v>
      </c>
      <c r="B3" s="3" t="s">
        <v>22</v>
      </c>
      <c r="C3" s="1" t="s">
        <v>16</v>
      </c>
      <c r="D3" s="1" t="s">
        <v>23</v>
      </c>
      <c r="E3" s="1" t="s">
        <v>18</v>
      </c>
      <c r="F3" s="1" t="str">
        <f>IFERROR(__xludf.DUMMYFUNCTION("SPLIT(E3,""&gt;"")"),"Badger Capsule")</f>
        <v>Badger Capsule</v>
      </c>
      <c r="G3" s="1" t="str">
        <f>IFERROR(__xludf.DUMMYFUNCTION("""COMPUTED_VALUE"""),"Series 1")</f>
        <v>Series 1</v>
      </c>
      <c r="H3" s="1" t="s">
        <v>23</v>
      </c>
      <c r="I3" s="1" t="s">
        <v>19</v>
      </c>
      <c r="J3" s="4">
        <v>44501.0</v>
      </c>
      <c r="K3" s="1">
        <v>250.0</v>
      </c>
      <c r="L3" s="1">
        <v>250.0</v>
      </c>
      <c r="M3" s="1">
        <v>9.0</v>
      </c>
      <c r="N3" s="5" t="s">
        <v>20</v>
      </c>
      <c r="P3" s="6" t="str">
        <f>VLOOKUP(D3,'シート2'!A:B, 2, 0)</f>
        <v>@ChunriMD</v>
      </c>
    </row>
    <row r="4">
      <c r="A4" s="1" t="s">
        <v>24</v>
      </c>
      <c r="B4" s="3" t="s">
        <v>25</v>
      </c>
      <c r="C4" s="1" t="s">
        <v>16</v>
      </c>
      <c r="D4" s="1" t="s">
        <v>23</v>
      </c>
      <c r="E4" s="1" t="s">
        <v>18</v>
      </c>
      <c r="F4" s="1" t="str">
        <f>IFERROR(__xludf.DUMMYFUNCTION("SPLIT(E4,""&gt;"")"),"Badger Capsule")</f>
        <v>Badger Capsule</v>
      </c>
      <c r="G4" s="1" t="str">
        <f>IFERROR(__xludf.DUMMYFUNCTION("""COMPUTED_VALUE"""),"Series 1")</f>
        <v>Series 1</v>
      </c>
      <c r="H4" s="1" t="s">
        <v>23</v>
      </c>
      <c r="I4" s="1" t="s">
        <v>19</v>
      </c>
      <c r="J4" s="4">
        <v>44501.0</v>
      </c>
      <c r="K4" s="1">
        <v>250.0</v>
      </c>
      <c r="L4" s="1">
        <v>250.0</v>
      </c>
      <c r="M4" s="1">
        <v>10.0</v>
      </c>
      <c r="N4" s="5" t="s">
        <v>20</v>
      </c>
      <c r="P4" s="6" t="str">
        <f>VLOOKUP(D4,'シート2'!A:B, 2, 0)</f>
        <v>@ChunriMD</v>
      </c>
    </row>
    <row r="5">
      <c r="A5" s="1" t="s">
        <v>26</v>
      </c>
      <c r="B5" s="3" t="s">
        <v>27</v>
      </c>
      <c r="C5" s="1" t="s">
        <v>16</v>
      </c>
      <c r="D5" s="1" t="s">
        <v>28</v>
      </c>
      <c r="E5" s="1" t="s">
        <v>18</v>
      </c>
      <c r="F5" s="1" t="str">
        <f>IFERROR(__xludf.DUMMYFUNCTION("SPLIT(E5,""&gt;"")"),"Badger Capsule")</f>
        <v>Badger Capsule</v>
      </c>
      <c r="G5" s="1" t="str">
        <f>IFERROR(__xludf.DUMMYFUNCTION("""COMPUTED_VALUE"""),"Series 1")</f>
        <v>Series 1</v>
      </c>
      <c r="H5" s="1" t="s">
        <v>28</v>
      </c>
      <c r="I5" s="1" t="s">
        <v>29</v>
      </c>
      <c r="J5" s="4">
        <v>44440.0</v>
      </c>
      <c r="K5" s="1">
        <v>250.0</v>
      </c>
      <c r="L5" s="1">
        <v>250.0</v>
      </c>
      <c r="M5" s="1">
        <v>2.0</v>
      </c>
      <c r="N5" s="5" t="s">
        <v>20</v>
      </c>
      <c r="P5" s="6" t="str">
        <f>VLOOKUP(D5,'シート2'!A:B, 2, 0)</f>
        <v>@MetaBB_eth</v>
      </c>
    </row>
    <row r="6">
      <c r="A6" s="1" t="s">
        <v>30</v>
      </c>
      <c r="B6" s="3" t="s">
        <v>31</v>
      </c>
      <c r="C6" s="1" t="s">
        <v>16</v>
      </c>
      <c r="D6" s="1" t="s">
        <v>28</v>
      </c>
      <c r="E6" s="1" t="s">
        <v>18</v>
      </c>
      <c r="F6" s="1" t="str">
        <f>IFERROR(__xludf.DUMMYFUNCTION("SPLIT(E6,""&gt;"")"),"Badger Capsule")</f>
        <v>Badger Capsule</v>
      </c>
      <c r="G6" s="1" t="str">
        <f>IFERROR(__xludf.DUMMYFUNCTION("""COMPUTED_VALUE"""),"Series 1")</f>
        <v>Series 1</v>
      </c>
      <c r="H6" s="1" t="s">
        <v>28</v>
      </c>
      <c r="I6" s="1" t="s">
        <v>19</v>
      </c>
      <c r="J6" s="4">
        <v>44501.0</v>
      </c>
      <c r="K6" s="1">
        <v>250.0</v>
      </c>
      <c r="L6" s="1">
        <v>250.0</v>
      </c>
      <c r="M6" s="1">
        <v>11.0</v>
      </c>
      <c r="N6" s="5" t="s">
        <v>20</v>
      </c>
      <c r="P6" s="6" t="str">
        <f>VLOOKUP(D6,'シート2'!A:B, 2, 0)</f>
        <v>@MetaBB_eth</v>
      </c>
    </row>
    <row r="7">
      <c r="A7" s="1" t="s">
        <v>32</v>
      </c>
      <c r="B7" s="3" t="s">
        <v>33</v>
      </c>
      <c r="C7" s="1" t="s">
        <v>16</v>
      </c>
      <c r="D7" s="1" t="s">
        <v>34</v>
      </c>
      <c r="E7" s="1" t="s">
        <v>18</v>
      </c>
      <c r="F7" s="1" t="str">
        <f>IFERROR(__xludf.DUMMYFUNCTION("SPLIT(E7,""&gt;"")"),"Badger Capsule")</f>
        <v>Badger Capsule</v>
      </c>
      <c r="G7" s="1" t="str">
        <f>IFERROR(__xludf.DUMMYFUNCTION("""COMPUTED_VALUE"""),"Series 1")</f>
        <v>Series 1</v>
      </c>
      <c r="H7" s="1" t="s">
        <v>34</v>
      </c>
      <c r="I7" s="1" t="s">
        <v>35</v>
      </c>
      <c r="J7" s="4">
        <v>44470.0</v>
      </c>
      <c r="K7" s="1">
        <v>250.0</v>
      </c>
      <c r="L7" s="1">
        <v>250.0</v>
      </c>
      <c r="M7" s="1">
        <v>3.0</v>
      </c>
      <c r="N7" s="5" t="s">
        <v>20</v>
      </c>
      <c r="P7" s="6" t="str">
        <f>VLOOKUP(D7,'シート2'!A:B, 2, 0)</f>
        <v>@pom779</v>
      </c>
    </row>
    <row r="8">
      <c r="A8" s="1" t="s">
        <v>36</v>
      </c>
      <c r="B8" s="3" t="s">
        <v>37</v>
      </c>
      <c r="C8" s="1" t="s">
        <v>16</v>
      </c>
      <c r="D8" s="1" t="s">
        <v>38</v>
      </c>
      <c r="E8" s="1" t="s">
        <v>39</v>
      </c>
      <c r="F8" s="1" t="str">
        <f>IFERROR(__xludf.DUMMYFUNCTION("SPLIT(E8,""&gt;"")"),"Badger Capsule")</f>
        <v>Badger Capsule</v>
      </c>
      <c r="G8" s="1" t="str">
        <f>IFERROR(__xludf.DUMMYFUNCTION("""COMPUTED_VALUE"""),"Badger Innovation Zone")</f>
        <v>Badger Innovation Zone</v>
      </c>
      <c r="H8" s="1" t="s">
        <v>38</v>
      </c>
      <c r="I8" s="1" t="s">
        <v>35</v>
      </c>
      <c r="J8" s="4">
        <v>44470.0</v>
      </c>
      <c r="K8" s="1">
        <v>500.0</v>
      </c>
      <c r="L8" s="1">
        <v>500.0</v>
      </c>
      <c r="M8" s="1">
        <v>7.0</v>
      </c>
      <c r="N8" s="5" t="s">
        <v>20</v>
      </c>
      <c r="P8" s="6" t="str">
        <f>VLOOKUP(D8,'シート2'!A:B, 2, 0)</f>
        <v>くわ</v>
      </c>
    </row>
    <row r="9">
      <c r="A9" s="1" t="s">
        <v>40</v>
      </c>
      <c r="B9" s="3" t="s">
        <v>41</v>
      </c>
      <c r="C9" s="1" t="s">
        <v>16</v>
      </c>
      <c r="D9" s="1" t="s">
        <v>34</v>
      </c>
      <c r="E9" s="1" t="s">
        <v>39</v>
      </c>
      <c r="F9" s="1" t="str">
        <f>IFERROR(__xludf.DUMMYFUNCTION("SPLIT(E9,""&gt;"")"),"Badger Capsule")</f>
        <v>Badger Capsule</v>
      </c>
      <c r="G9" s="1" t="str">
        <f>IFERROR(__xludf.DUMMYFUNCTION("""COMPUTED_VALUE"""),"Badger Innovation Zone")</f>
        <v>Badger Innovation Zone</v>
      </c>
      <c r="H9" s="1" t="s">
        <v>34</v>
      </c>
      <c r="I9" s="1" t="s">
        <v>35</v>
      </c>
      <c r="J9" s="4">
        <v>44470.0</v>
      </c>
      <c r="K9" s="1">
        <v>500.0</v>
      </c>
      <c r="L9" s="1">
        <v>500.0</v>
      </c>
      <c r="M9" s="1">
        <v>8.0</v>
      </c>
      <c r="N9" s="5" t="s">
        <v>20</v>
      </c>
      <c r="P9" s="6" t="str">
        <f>VLOOKUP(D9,'シート2'!A:B, 2, 0)</f>
        <v>@pom779</v>
      </c>
    </row>
    <row r="10">
      <c r="A10" s="1" t="s">
        <v>42</v>
      </c>
      <c r="B10" s="3" t="s">
        <v>43</v>
      </c>
      <c r="C10" s="1" t="s">
        <v>16</v>
      </c>
      <c r="D10" s="1" t="s">
        <v>44</v>
      </c>
      <c r="E10" s="1" t="s">
        <v>18</v>
      </c>
      <c r="F10" s="1" t="str">
        <f>IFERROR(__xludf.DUMMYFUNCTION("SPLIT(E10,""&gt;"")"),"Badger Capsule")</f>
        <v>Badger Capsule</v>
      </c>
      <c r="G10" s="1" t="str">
        <f>IFERROR(__xludf.DUMMYFUNCTION("""COMPUTED_VALUE"""),"Series 1")</f>
        <v>Series 1</v>
      </c>
      <c r="H10" s="1" t="s">
        <v>44</v>
      </c>
      <c r="I10" s="1" t="s">
        <v>35</v>
      </c>
      <c r="J10" s="4">
        <v>44470.0</v>
      </c>
      <c r="K10" s="1">
        <v>250.0</v>
      </c>
      <c r="L10" s="1">
        <v>250.0</v>
      </c>
      <c r="M10" s="1">
        <v>5.0</v>
      </c>
      <c r="N10" s="5" t="s">
        <v>20</v>
      </c>
      <c r="P10" s="6" t="str">
        <f>VLOOKUP(D10,'シート2'!A:B, 2, 0)</f>
        <v>Anonymous</v>
      </c>
    </row>
    <row r="11">
      <c r="A11" s="1" t="s">
        <v>45</v>
      </c>
      <c r="B11" s="3" t="s">
        <v>46</v>
      </c>
      <c r="C11" s="1" t="s">
        <v>16</v>
      </c>
      <c r="D11" s="1" t="s">
        <v>47</v>
      </c>
      <c r="E11" s="1" t="s">
        <v>18</v>
      </c>
      <c r="F11" s="1" t="str">
        <f>IFERROR(__xludf.DUMMYFUNCTION("SPLIT(E11,""&gt;"")"),"Badger Capsule")</f>
        <v>Badger Capsule</v>
      </c>
      <c r="G11" s="1" t="str">
        <f>IFERROR(__xludf.DUMMYFUNCTION("""COMPUTED_VALUE"""),"Series 1")</f>
        <v>Series 1</v>
      </c>
      <c r="H11" s="1" t="s">
        <v>47</v>
      </c>
      <c r="I11" s="1" t="s">
        <v>35</v>
      </c>
      <c r="J11" s="4">
        <v>44470.0</v>
      </c>
      <c r="K11" s="1">
        <v>250.0</v>
      </c>
      <c r="L11" s="1">
        <v>250.0</v>
      </c>
      <c r="M11" s="1">
        <v>6.0</v>
      </c>
      <c r="N11" s="5" t="s">
        <v>20</v>
      </c>
      <c r="P11" s="6" t="str">
        <f>VLOOKUP(D11,'シート2'!A:B, 2, 0)</f>
        <v>nonsugar</v>
      </c>
    </row>
    <row r="12">
      <c r="A12" s="1" t="s">
        <v>48</v>
      </c>
      <c r="B12" s="3" t="s">
        <v>49</v>
      </c>
      <c r="C12" s="1" t="s">
        <v>16</v>
      </c>
      <c r="D12" s="1" t="s">
        <v>50</v>
      </c>
      <c r="E12" s="1" t="s">
        <v>18</v>
      </c>
      <c r="F12" s="1" t="str">
        <f>IFERROR(__xludf.DUMMYFUNCTION("SPLIT(E12,""&gt;"")"),"Badger Capsule")</f>
        <v>Badger Capsule</v>
      </c>
      <c r="G12" s="1" t="str">
        <f>IFERROR(__xludf.DUMMYFUNCTION("""COMPUTED_VALUE"""),"Series 1")</f>
        <v>Series 1</v>
      </c>
      <c r="H12" s="1" t="s">
        <v>50</v>
      </c>
      <c r="I12" s="1" t="s">
        <v>35</v>
      </c>
      <c r="J12" s="4">
        <v>44470.0</v>
      </c>
      <c r="K12" s="1">
        <v>250.0</v>
      </c>
      <c r="L12" s="1">
        <v>250.0</v>
      </c>
      <c r="M12" s="1">
        <v>4.0</v>
      </c>
      <c r="N12" s="5" t="s">
        <v>20</v>
      </c>
      <c r="P12" s="6" t="str">
        <f>VLOOKUP(D12,'シート2'!A:B, 2, 0)</f>
        <v>ブロック男</v>
      </c>
    </row>
    <row r="13">
      <c r="A13" s="1" t="s">
        <v>51</v>
      </c>
      <c r="B13" s="3" t="s">
        <v>52</v>
      </c>
      <c r="C13" s="1" t="s">
        <v>16</v>
      </c>
      <c r="D13" s="1" t="s">
        <v>53</v>
      </c>
      <c r="E13" s="1" t="s">
        <v>18</v>
      </c>
      <c r="F13" s="1" t="str">
        <f>IFERROR(__xludf.DUMMYFUNCTION("SPLIT(E13,""&gt;"")"),"Badger Capsule")</f>
        <v>Badger Capsule</v>
      </c>
      <c r="G13" s="1" t="str">
        <f>IFERROR(__xludf.DUMMYFUNCTION("""COMPUTED_VALUE"""),"Series 1")</f>
        <v>Series 1</v>
      </c>
      <c r="H13" s="1" t="s">
        <v>53</v>
      </c>
      <c r="I13" s="1" t="s">
        <v>19</v>
      </c>
      <c r="J13" s="4">
        <v>44501.0</v>
      </c>
      <c r="K13" s="1">
        <v>250.0</v>
      </c>
      <c r="L13" s="1">
        <v>250.0</v>
      </c>
      <c r="M13" s="1">
        <v>13.0</v>
      </c>
      <c r="N13" s="5" t="s">
        <v>20</v>
      </c>
      <c r="O13" s="1"/>
      <c r="P13" s="6" t="str">
        <f>VLOOKUP(D13,'シート2'!A:B, 2, 0)</f>
        <v>@Taky_Taky_</v>
      </c>
    </row>
    <row r="14">
      <c r="A14" s="1" t="s">
        <v>54</v>
      </c>
      <c r="B14" s="3" t="s">
        <v>55</v>
      </c>
      <c r="C14" s="1" t="s">
        <v>16</v>
      </c>
      <c r="D14" s="1" t="s">
        <v>34</v>
      </c>
      <c r="E14" s="1" t="s">
        <v>39</v>
      </c>
      <c r="F14" s="1" t="str">
        <f>IFERROR(__xludf.DUMMYFUNCTION("SPLIT(E14,""&gt;"")"),"Badger Capsule")</f>
        <v>Badger Capsule</v>
      </c>
      <c r="G14" s="1" t="str">
        <f>IFERROR(__xludf.DUMMYFUNCTION("""COMPUTED_VALUE"""),"Badger Innovation Zone")</f>
        <v>Badger Innovation Zone</v>
      </c>
      <c r="H14" s="1" t="s">
        <v>34</v>
      </c>
      <c r="I14" s="1" t="s">
        <v>56</v>
      </c>
      <c r="J14" s="4">
        <v>44531.0</v>
      </c>
      <c r="K14" s="1">
        <v>500.0</v>
      </c>
      <c r="L14" s="1">
        <v>500.0</v>
      </c>
      <c r="M14" s="1">
        <v>14.0</v>
      </c>
      <c r="N14" s="5" t="s">
        <v>20</v>
      </c>
      <c r="P14" s="6" t="str">
        <f>VLOOKUP(D14,'シート2'!A:B, 2, 0)</f>
        <v>@pom779</v>
      </c>
    </row>
    <row r="15">
      <c r="A15" s="1" t="s">
        <v>57</v>
      </c>
      <c r="B15" s="3" t="s">
        <v>58</v>
      </c>
      <c r="C15" s="1" t="s">
        <v>16</v>
      </c>
      <c r="D15" s="1" t="s">
        <v>17</v>
      </c>
      <c r="E15" s="1" t="s">
        <v>18</v>
      </c>
      <c r="F15" s="1" t="str">
        <f>IFERROR(__xludf.DUMMYFUNCTION("SPLIT(E15,""&gt;"")"),"Badger Capsule")</f>
        <v>Badger Capsule</v>
      </c>
      <c r="G15" s="1" t="str">
        <f>IFERROR(__xludf.DUMMYFUNCTION("""COMPUTED_VALUE"""),"Series 1")</f>
        <v>Series 1</v>
      </c>
      <c r="H15" s="1" t="s">
        <v>17</v>
      </c>
      <c r="I15" s="1" t="s">
        <v>56</v>
      </c>
      <c r="J15" s="4">
        <v>44531.0</v>
      </c>
      <c r="K15" s="1">
        <v>250.0</v>
      </c>
      <c r="L15" s="1">
        <v>250.0</v>
      </c>
      <c r="M15" s="1">
        <v>15.0</v>
      </c>
      <c r="N15" s="5" t="s">
        <v>20</v>
      </c>
      <c r="P15" s="6" t="str">
        <f>VLOOKUP(D15,'シート2'!A:B, 2, 0)</f>
        <v>@kartanbitcoin</v>
      </c>
    </row>
    <row r="16">
      <c r="A16" s="1" t="s">
        <v>59</v>
      </c>
      <c r="B16" s="3" t="s">
        <v>60</v>
      </c>
      <c r="C16" s="1" t="s">
        <v>16</v>
      </c>
      <c r="D16" s="1" t="s">
        <v>61</v>
      </c>
      <c r="E16" s="1" t="s">
        <v>39</v>
      </c>
      <c r="F16" s="1" t="str">
        <f>IFERROR(__xludf.DUMMYFUNCTION("SPLIT(E16,""&gt;"")"),"Badger Capsule")</f>
        <v>Badger Capsule</v>
      </c>
      <c r="G16" s="1" t="str">
        <f>IFERROR(__xludf.DUMMYFUNCTION("""COMPUTED_VALUE"""),"Badger Innovation Zone")</f>
        <v>Badger Innovation Zone</v>
      </c>
      <c r="H16" s="1" t="s">
        <v>61</v>
      </c>
      <c r="I16" s="1" t="s">
        <v>56</v>
      </c>
      <c r="J16" s="4">
        <v>44531.0</v>
      </c>
      <c r="K16" s="1">
        <v>500.0</v>
      </c>
      <c r="L16" s="1">
        <v>500.0</v>
      </c>
      <c r="M16" s="1">
        <v>17.0</v>
      </c>
      <c r="N16" s="5" t="s">
        <v>20</v>
      </c>
      <c r="P16" s="6" t="str">
        <f>VLOOKUP(D16,'シート2'!A:B, 2, 0)</f>
        <v>@NFTuber</v>
      </c>
    </row>
    <row r="17">
      <c r="A17" s="1" t="s">
        <v>62</v>
      </c>
      <c r="B17" s="3" t="s">
        <v>63</v>
      </c>
      <c r="C17" s="1" t="s">
        <v>16</v>
      </c>
      <c r="D17" s="1" t="s">
        <v>17</v>
      </c>
      <c r="E17" s="1" t="s">
        <v>39</v>
      </c>
      <c r="F17" s="1" t="str">
        <f>IFERROR(__xludf.DUMMYFUNCTION("SPLIT(E17,""&gt;"")"),"Badger Capsule")</f>
        <v>Badger Capsule</v>
      </c>
      <c r="G17" s="1" t="str">
        <f>IFERROR(__xludf.DUMMYFUNCTION("""COMPUTED_VALUE"""),"Badger Innovation Zone")</f>
        <v>Badger Innovation Zone</v>
      </c>
      <c r="H17" s="1" t="s">
        <v>17</v>
      </c>
      <c r="I17" s="1" t="s">
        <v>56</v>
      </c>
      <c r="J17" s="4">
        <v>44531.0</v>
      </c>
      <c r="K17" s="1">
        <v>250.0</v>
      </c>
      <c r="L17" s="1">
        <v>250.0</v>
      </c>
      <c r="M17" s="1">
        <v>16.0</v>
      </c>
      <c r="N17" s="5" t="s">
        <v>20</v>
      </c>
      <c r="P17" s="6" t="str">
        <f>VLOOKUP(D17,'シート2'!A:B, 2, 0)</f>
        <v>@kartanbitcoin</v>
      </c>
    </row>
    <row r="18">
      <c r="A18" s="1" t="s">
        <v>64</v>
      </c>
      <c r="B18" s="3" t="s">
        <v>65</v>
      </c>
      <c r="C18" s="1" t="s">
        <v>16</v>
      </c>
      <c r="D18" s="2" t="s">
        <v>66</v>
      </c>
      <c r="E18" s="1" t="s">
        <v>67</v>
      </c>
      <c r="F18" s="1" t="str">
        <f>IFERROR(__xludf.DUMMYFUNCTION("SPLIT(E18,""&gt;"")"),"Memorychain")</f>
        <v>Memorychain</v>
      </c>
      <c r="G18" s="1" t="str">
        <f>IFERROR(__xludf.DUMMYFUNCTION("""COMPUTED_VALUE"""),"Series 1")</f>
        <v>Series 1</v>
      </c>
      <c r="H18" s="1" t="s">
        <v>66</v>
      </c>
      <c r="I18" s="1" t="s">
        <v>68</v>
      </c>
      <c r="J18" s="4">
        <v>42826.0</v>
      </c>
      <c r="K18" s="1">
        <v>10000.0</v>
      </c>
      <c r="L18" s="1">
        <v>10000.0</v>
      </c>
      <c r="M18" s="1">
        <v>1.0</v>
      </c>
      <c r="N18" s="6" t="str">
        <f t="shared" ref="N18:N169" si="1">F18&amp;"🇯🇵"</f>
        <v>Memorychain🇯🇵</v>
      </c>
      <c r="P18" s="6" t="str">
        <f>VLOOKUP(D18,'シート2'!A:B, 2, 0)</f>
        <v>@nemkd12</v>
      </c>
    </row>
    <row r="19">
      <c r="A19" s="1" t="s">
        <v>69</v>
      </c>
      <c r="B19" s="3" t="s">
        <v>70</v>
      </c>
      <c r="C19" s="1" t="s">
        <v>16</v>
      </c>
      <c r="D19" s="1" t="s">
        <v>71</v>
      </c>
      <c r="E19" s="1" t="s">
        <v>67</v>
      </c>
      <c r="F19" s="1" t="str">
        <f>IFERROR(__xludf.DUMMYFUNCTION("SPLIT(E19,""&gt;"")"),"Memorychain")</f>
        <v>Memorychain</v>
      </c>
      <c r="G19" s="1" t="str">
        <f>IFERROR(__xludf.DUMMYFUNCTION("""COMPUTED_VALUE"""),"Series 1")</f>
        <v>Series 1</v>
      </c>
      <c r="H19" s="1" t="s">
        <v>71</v>
      </c>
      <c r="I19" s="1" t="s">
        <v>68</v>
      </c>
      <c r="J19" s="4">
        <v>42826.0</v>
      </c>
      <c r="K19" s="1">
        <v>100.0</v>
      </c>
      <c r="L19" s="1">
        <v>100.0</v>
      </c>
      <c r="M19" s="1">
        <v>2.0</v>
      </c>
      <c r="N19" s="6" t="str">
        <f t="shared" si="1"/>
        <v>Memorychain🇯🇵</v>
      </c>
      <c r="P19" s="6" t="str">
        <f>VLOOKUP(D19,'シート2'!A:B, 2, 0)</f>
        <v>@DavinciNine</v>
      </c>
    </row>
    <row r="20">
      <c r="A20" s="1" t="s">
        <v>72</v>
      </c>
      <c r="B20" s="3" t="s">
        <v>73</v>
      </c>
      <c r="C20" s="1" t="s">
        <v>16</v>
      </c>
      <c r="D20" s="1" t="s">
        <v>71</v>
      </c>
      <c r="E20" s="1" t="s">
        <v>67</v>
      </c>
      <c r="F20" s="1" t="str">
        <f>IFERROR(__xludf.DUMMYFUNCTION("SPLIT(E20,""&gt;"")"),"Memorychain")</f>
        <v>Memorychain</v>
      </c>
      <c r="G20" s="1" t="str">
        <f>IFERROR(__xludf.DUMMYFUNCTION("""COMPUTED_VALUE"""),"Series 1")</f>
        <v>Series 1</v>
      </c>
      <c r="H20" s="1" t="s">
        <v>71</v>
      </c>
      <c r="I20" s="1" t="s">
        <v>68</v>
      </c>
      <c r="J20" s="4">
        <v>42826.0</v>
      </c>
      <c r="K20" s="1">
        <v>100.0</v>
      </c>
      <c r="L20" s="1">
        <v>100.0</v>
      </c>
      <c r="M20" s="1">
        <v>3.0</v>
      </c>
      <c r="N20" s="6" t="str">
        <f t="shared" si="1"/>
        <v>Memorychain🇯🇵</v>
      </c>
      <c r="P20" s="6" t="str">
        <f>VLOOKUP(D20,'シート2'!A:B, 2, 0)</f>
        <v>@DavinciNine</v>
      </c>
    </row>
    <row r="21">
      <c r="A21" s="1" t="s">
        <v>74</v>
      </c>
      <c r="B21" s="3" t="s">
        <v>75</v>
      </c>
      <c r="C21" s="1" t="s">
        <v>16</v>
      </c>
      <c r="D21" s="1" t="s">
        <v>76</v>
      </c>
      <c r="E21" s="1" t="s">
        <v>67</v>
      </c>
      <c r="F21" s="1" t="str">
        <f>IFERROR(__xludf.DUMMYFUNCTION("SPLIT(E21,""&gt;"")"),"Memorychain")</f>
        <v>Memorychain</v>
      </c>
      <c r="G21" s="1" t="str">
        <f>IFERROR(__xludf.DUMMYFUNCTION("""COMPUTED_VALUE"""),"Series 1")</f>
        <v>Series 1</v>
      </c>
      <c r="H21" s="1" t="s">
        <v>76</v>
      </c>
      <c r="I21" s="1" t="s">
        <v>68</v>
      </c>
      <c r="J21" s="4">
        <v>42826.0</v>
      </c>
      <c r="K21" s="1">
        <v>777.0</v>
      </c>
      <c r="L21" s="1">
        <v>777.0</v>
      </c>
      <c r="M21" s="1">
        <v>4.0</v>
      </c>
      <c r="N21" s="6" t="str">
        <f t="shared" si="1"/>
        <v>Memorychain🇯🇵</v>
      </c>
      <c r="P21" s="6" t="str">
        <f>VLOOKUP(D21,'シート2'!A:B, 2, 0)</f>
        <v>@JapepeneseMan</v>
      </c>
    </row>
    <row r="22">
      <c r="A22" s="1" t="s">
        <v>77</v>
      </c>
      <c r="B22" s="3" t="s">
        <v>78</v>
      </c>
      <c r="C22" s="1" t="s">
        <v>16</v>
      </c>
      <c r="D22" s="1" t="s">
        <v>79</v>
      </c>
      <c r="E22" s="1" t="s">
        <v>67</v>
      </c>
      <c r="F22" s="1" t="str">
        <f>IFERROR(__xludf.DUMMYFUNCTION("SPLIT(E22,""&gt;"")"),"Memorychain")</f>
        <v>Memorychain</v>
      </c>
      <c r="G22" s="1" t="str">
        <f>IFERROR(__xludf.DUMMYFUNCTION("""COMPUTED_VALUE"""),"Series 1")</f>
        <v>Series 1</v>
      </c>
      <c r="H22" s="1" t="s">
        <v>79</v>
      </c>
      <c r="I22" s="1" t="s">
        <v>68</v>
      </c>
      <c r="J22" s="4">
        <v>42826.0</v>
      </c>
      <c r="K22" s="1">
        <v>300.0</v>
      </c>
      <c r="L22" s="1">
        <v>300.0</v>
      </c>
      <c r="M22" s="1">
        <v>5.0</v>
      </c>
      <c r="N22" s="6" t="str">
        <f t="shared" si="1"/>
        <v>Memorychain🇯🇵</v>
      </c>
      <c r="P22" s="6" t="str">
        <f>VLOOKUP(D22,'シート2'!A:B, 2, 0)</f>
        <v>@TrendStream</v>
      </c>
    </row>
    <row r="23">
      <c r="A23" s="1" t="s">
        <v>80</v>
      </c>
      <c r="B23" s="3" t="s">
        <v>81</v>
      </c>
      <c r="C23" s="1" t="s">
        <v>16</v>
      </c>
      <c r="D23" s="1" t="s">
        <v>79</v>
      </c>
      <c r="E23" s="1" t="s">
        <v>67</v>
      </c>
      <c r="F23" s="1" t="str">
        <f>IFERROR(__xludf.DUMMYFUNCTION("SPLIT(E23,""&gt;"")"),"Memorychain")</f>
        <v>Memorychain</v>
      </c>
      <c r="G23" s="1" t="str">
        <f>IFERROR(__xludf.DUMMYFUNCTION("""COMPUTED_VALUE"""),"Series 1")</f>
        <v>Series 1</v>
      </c>
      <c r="H23" s="1" t="s">
        <v>79</v>
      </c>
      <c r="I23" s="1" t="s">
        <v>68</v>
      </c>
      <c r="J23" s="4">
        <v>42826.0</v>
      </c>
      <c r="K23" s="1">
        <v>100.0</v>
      </c>
      <c r="L23" s="1">
        <v>100.0</v>
      </c>
      <c r="M23" s="1">
        <v>6.0</v>
      </c>
      <c r="N23" s="6" t="str">
        <f t="shared" si="1"/>
        <v>Memorychain🇯🇵</v>
      </c>
      <c r="P23" s="6" t="str">
        <f>VLOOKUP(D23,'シート2'!A:B, 2, 0)</f>
        <v>@TrendStream</v>
      </c>
    </row>
    <row r="24">
      <c r="A24" s="1" t="s">
        <v>82</v>
      </c>
      <c r="B24" s="3" t="s">
        <v>83</v>
      </c>
      <c r="C24" s="1" t="s">
        <v>16</v>
      </c>
      <c r="D24" s="1" t="s">
        <v>84</v>
      </c>
      <c r="E24" s="1" t="s">
        <v>67</v>
      </c>
      <c r="F24" s="1" t="str">
        <f>IFERROR(__xludf.DUMMYFUNCTION("SPLIT(E24,""&gt;"")"),"Memorychain")</f>
        <v>Memorychain</v>
      </c>
      <c r="G24" s="1" t="str">
        <f>IFERROR(__xludf.DUMMYFUNCTION("""COMPUTED_VALUE"""),"Series 1")</f>
        <v>Series 1</v>
      </c>
      <c r="H24" s="1" t="s">
        <v>84</v>
      </c>
      <c r="I24" s="1" t="s">
        <v>68</v>
      </c>
      <c r="J24" s="4">
        <v>42826.0</v>
      </c>
      <c r="K24" s="1">
        <v>1000.0</v>
      </c>
      <c r="L24" s="1">
        <v>1000.0</v>
      </c>
      <c r="M24" s="1">
        <v>7.0</v>
      </c>
      <c r="N24" s="6" t="str">
        <f t="shared" si="1"/>
        <v>Memorychain🇯🇵</v>
      </c>
      <c r="P24" s="6" t="str">
        <f>VLOOKUP(D24,'シート2'!A:B, 2, 0)</f>
        <v>@aria_minase</v>
      </c>
    </row>
    <row r="25">
      <c r="A25" s="1" t="s">
        <v>85</v>
      </c>
      <c r="B25" s="3" t="s">
        <v>86</v>
      </c>
      <c r="C25" s="1" t="s">
        <v>16</v>
      </c>
      <c r="D25" s="1" t="s">
        <v>84</v>
      </c>
      <c r="E25" s="1" t="s">
        <v>67</v>
      </c>
      <c r="F25" s="1" t="str">
        <f>IFERROR(__xludf.DUMMYFUNCTION("SPLIT(E25,""&gt;"")"),"Memorychain")</f>
        <v>Memorychain</v>
      </c>
      <c r="G25" s="1" t="str">
        <f>IFERROR(__xludf.DUMMYFUNCTION("""COMPUTED_VALUE"""),"Series 1")</f>
        <v>Series 1</v>
      </c>
      <c r="H25" s="1" t="s">
        <v>84</v>
      </c>
      <c r="I25" s="1" t="s">
        <v>68</v>
      </c>
      <c r="J25" s="4">
        <v>42826.0</v>
      </c>
      <c r="K25" s="1">
        <v>1000.0</v>
      </c>
      <c r="L25" s="1">
        <v>1000.0</v>
      </c>
      <c r="M25" s="1">
        <v>8.0</v>
      </c>
      <c r="N25" s="6" t="str">
        <f t="shared" si="1"/>
        <v>Memorychain🇯🇵</v>
      </c>
      <c r="P25" s="6" t="str">
        <f>VLOOKUP(D25,'シート2'!A:B, 2, 0)</f>
        <v>@aria_minase</v>
      </c>
    </row>
    <row r="26">
      <c r="A26" s="1" t="s">
        <v>87</v>
      </c>
      <c r="B26" s="3" t="s">
        <v>88</v>
      </c>
      <c r="C26" s="1" t="s">
        <v>16</v>
      </c>
      <c r="D26" s="1" t="s">
        <v>89</v>
      </c>
      <c r="E26" s="1" t="s">
        <v>67</v>
      </c>
      <c r="F26" s="1" t="str">
        <f>IFERROR(__xludf.DUMMYFUNCTION("SPLIT(E26,""&gt;"")"),"Memorychain")</f>
        <v>Memorychain</v>
      </c>
      <c r="G26" s="1" t="str">
        <f>IFERROR(__xludf.DUMMYFUNCTION("""COMPUTED_VALUE"""),"Series 1")</f>
        <v>Series 1</v>
      </c>
      <c r="H26" s="1" t="s">
        <v>89</v>
      </c>
      <c r="I26" s="1" t="s">
        <v>68</v>
      </c>
      <c r="J26" s="4">
        <v>42826.0</v>
      </c>
      <c r="K26" s="1">
        <v>1000.0</v>
      </c>
      <c r="L26" s="1">
        <v>1000.0</v>
      </c>
      <c r="M26" s="1">
        <v>9.0</v>
      </c>
      <c r="N26" s="6" t="str">
        <f t="shared" si="1"/>
        <v>Memorychain🇯🇵</v>
      </c>
      <c r="P26" s="6" t="str">
        <f>VLOOKUP(D26,'シート2'!A:B, 2, 0)</f>
        <v>@sai33211</v>
      </c>
    </row>
    <row r="27">
      <c r="A27" s="1" t="s">
        <v>90</v>
      </c>
      <c r="B27" s="3" t="s">
        <v>91</v>
      </c>
      <c r="C27" s="1" t="s">
        <v>16</v>
      </c>
      <c r="D27" s="1" t="s">
        <v>92</v>
      </c>
      <c r="E27" s="1" t="s">
        <v>67</v>
      </c>
      <c r="F27" s="1" t="str">
        <f>IFERROR(__xludf.DUMMYFUNCTION("SPLIT(E27,""&gt;"")"),"Memorychain")</f>
        <v>Memorychain</v>
      </c>
      <c r="G27" s="1" t="str">
        <f>IFERROR(__xludf.DUMMYFUNCTION("""COMPUTED_VALUE"""),"Series 1")</f>
        <v>Series 1</v>
      </c>
      <c r="H27" s="1" t="s">
        <v>92</v>
      </c>
      <c r="I27" s="1" t="s">
        <v>68</v>
      </c>
      <c r="J27" s="4">
        <v>42826.0</v>
      </c>
      <c r="K27" s="1">
        <v>317.0</v>
      </c>
      <c r="L27" s="1">
        <v>317.0</v>
      </c>
      <c r="M27" s="1">
        <v>10.0</v>
      </c>
      <c r="N27" s="6" t="str">
        <f t="shared" si="1"/>
        <v>Memorychain🇯🇵</v>
      </c>
      <c r="P27" s="6" t="str">
        <f>VLOOKUP(D27,'シート2'!A:B, 2, 0)</f>
        <v>@Myon9</v>
      </c>
    </row>
    <row r="28">
      <c r="A28" s="1" t="s">
        <v>93</v>
      </c>
      <c r="B28" s="3" t="s">
        <v>94</v>
      </c>
      <c r="C28" s="1" t="s">
        <v>16</v>
      </c>
      <c r="D28" s="1" t="s">
        <v>95</v>
      </c>
      <c r="E28" s="1" t="s">
        <v>67</v>
      </c>
      <c r="F28" s="1" t="str">
        <f>IFERROR(__xludf.DUMMYFUNCTION("SPLIT(E28,""&gt;"")"),"Memorychain")</f>
        <v>Memorychain</v>
      </c>
      <c r="G28" s="1" t="str">
        <f>IFERROR(__xludf.DUMMYFUNCTION("""COMPUTED_VALUE"""),"Series 1")</f>
        <v>Series 1</v>
      </c>
      <c r="H28" s="1" t="s">
        <v>95</v>
      </c>
      <c r="I28" s="1" t="s">
        <v>68</v>
      </c>
      <c r="J28" s="4">
        <v>42826.0</v>
      </c>
      <c r="K28" s="1">
        <v>100.0</v>
      </c>
      <c r="L28" s="1">
        <v>99.0</v>
      </c>
      <c r="M28" s="1">
        <v>11.0</v>
      </c>
      <c r="N28" s="6" t="str">
        <f t="shared" si="1"/>
        <v>Memorychain🇯🇵</v>
      </c>
      <c r="P28" s="6" t="str">
        <f>VLOOKUP(D28,'シート2'!A:B, 2, 0)</f>
        <v>@SmartSpaceDogs</v>
      </c>
    </row>
    <row r="29">
      <c r="A29" s="1" t="s">
        <v>96</v>
      </c>
      <c r="B29" s="3" t="s">
        <v>97</v>
      </c>
      <c r="C29" s="1" t="s">
        <v>16</v>
      </c>
      <c r="D29" s="1" t="s">
        <v>23</v>
      </c>
      <c r="E29" s="1" t="s">
        <v>67</v>
      </c>
      <c r="F29" s="1" t="str">
        <f>IFERROR(__xludf.DUMMYFUNCTION("SPLIT(E29,""&gt;"")"),"Memorychain")</f>
        <v>Memorychain</v>
      </c>
      <c r="G29" s="1" t="str">
        <f>IFERROR(__xludf.DUMMYFUNCTION("""COMPUTED_VALUE"""),"Series 1")</f>
        <v>Series 1</v>
      </c>
      <c r="H29" s="1" t="s">
        <v>23</v>
      </c>
      <c r="I29" s="1" t="s">
        <v>68</v>
      </c>
      <c r="J29" s="4">
        <v>42826.0</v>
      </c>
      <c r="K29" s="1">
        <v>500.0</v>
      </c>
      <c r="L29" s="1">
        <v>500.0</v>
      </c>
      <c r="M29" s="1">
        <v>12.0</v>
      </c>
      <c r="N29" s="6" t="str">
        <f t="shared" si="1"/>
        <v>Memorychain🇯🇵</v>
      </c>
      <c r="P29" s="6" t="str">
        <f>VLOOKUP(D29,'シート2'!A:B, 2, 0)</f>
        <v>@ChunriMD</v>
      </c>
    </row>
    <row r="30">
      <c r="A30" s="1" t="s">
        <v>98</v>
      </c>
      <c r="B30" s="3" t="s">
        <v>99</v>
      </c>
      <c r="C30" s="1" t="s">
        <v>16</v>
      </c>
      <c r="D30" s="1" t="s">
        <v>89</v>
      </c>
      <c r="E30" s="1" t="s">
        <v>67</v>
      </c>
      <c r="F30" s="1" t="str">
        <f>IFERROR(__xludf.DUMMYFUNCTION("SPLIT(E30,""&gt;"")"),"Memorychain")</f>
        <v>Memorychain</v>
      </c>
      <c r="G30" s="1" t="str">
        <f>IFERROR(__xludf.DUMMYFUNCTION("""COMPUTED_VALUE"""),"Series 1")</f>
        <v>Series 1</v>
      </c>
      <c r="H30" s="1" t="s">
        <v>89</v>
      </c>
      <c r="I30" s="1" t="s">
        <v>68</v>
      </c>
      <c r="J30" s="4">
        <v>42826.0</v>
      </c>
      <c r="K30" s="1">
        <v>300.0</v>
      </c>
      <c r="L30" s="1">
        <v>299.0</v>
      </c>
      <c r="M30" s="1">
        <v>13.0</v>
      </c>
      <c r="N30" s="6" t="str">
        <f t="shared" si="1"/>
        <v>Memorychain🇯🇵</v>
      </c>
      <c r="P30" s="6" t="str">
        <f>VLOOKUP(D30,'シート2'!A:B, 2, 0)</f>
        <v>@sai33211</v>
      </c>
    </row>
    <row r="31">
      <c r="A31" s="1" t="s">
        <v>100</v>
      </c>
      <c r="B31" s="3" t="s">
        <v>101</v>
      </c>
      <c r="C31" s="1" t="s">
        <v>16</v>
      </c>
      <c r="D31" s="1" t="s">
        <v>102</v>
      </c>
      <c r="E31" s="1" t="s">
        <v>67</v>
      </c>
      <c r="F31" s="1" t="str">
        <f>IFERROR(__xludf.DUMMYFUNCTION("SPLIT(E31,""&gt;"")"),"Memorychain")</f>
        <v>Memorychain</v>
      </c>
      <c r="G31" s="1" t="str">
        <f>IFERROR(__xludf.DUMMYFUNCTION("""COMPUTED_VALUE"""),"Series 1")</f>
        <v>Series 1</v>
      </c>
      <c r="H31" s="1" t="s">
        <v>102</v>
      </c>
      <c r="I31" s="1" t="s">
        <v>68</v>
      </c>
      <c r="J31" s="4">
        <v>42826.0</v>
      </c>
      <c r="K31" s="1">
        <v>100.0</v>
      </c>
      <c r="L31" s="1">
        <v>100.0</v>
      </c>
      <c r="M31" s="1">
        <v>14.0</v>
      </c>
      <c r="N31" s="6" t="str">
        <f t="shared" si="1"/>
        <v>Memorychain🇯🇵</v>
      </c>
      <c r="P31" s="6" t="str">
        <f>VLOOKUP(D31,'シート2'!A:B, 2, 0)</f>
        <v>安心院まおら</v>
      </c>
    </row>
    <row r="32">
      <c r="A32" s="1" t="s">
        <v>103</v>
      </c>
      <c r="B32" s="3" t="s">
        <v>104</v>
      </c>
      <c r="C32" s="1" t="s">
        <v>16</v>
      </c>
      <c r="D32" s="1" t="s">
        <v>105</v>
      </c>
      <c r="E32" s="1" t="s">
        <v>67</v>
      </c>
      <c r="F32" s="1" t="str">
        <f>IFERROR(__xludf.DUMMYFUNCTION("SPLIT(E32,""&gt;"")"),"Memorychain")</f>
        <v>Memorychain</v>
      </c>
      <c r="G32" s="1" t="str">
        <f>IFERROR(__xludf.DUMMYFUNCTION("""COMPUTED_VALUE"""),"Series 1")</f>
        <v>Series 1</v>
      </c>
      <c r="H32" s="1" t="s">
        <v>105</v>
      </c>
      <c r="I32" s="1" t="s">
        <v>68</v>
      </c>
      <c r="J32" s="4">
        <v>42826.0</v>
      </c>
      <c r="K32" s="1">
        <v>100.0</v>
      </c>
      <c r="L32" s="1">
        <v>100.0</v>
      </c>
      <c r="M32" s="1">
        <v>15.0</v>
      </c>
      <c r="N32" s="6" t="str">
        <f t="shared" si="1"/>
        <v>Memorychain🇯🇵</v>
      </c>
      <c r="P32" s="6" t="str">
        <f>VLOOKUP(D32,'シート2'!A:B, 2, 0)</f>
        <v>@rkgk_ac</v>
      </c>
    </row>
    <row r="33">
      <c r="A33" s="1" t="s">
        <v>106</v>
      </c>
      <c r="B33" s="3" t="s">
        <v>107</v>
      </c>
      <c r="C33" s="1" t="s">
        <v>16</v>
      </c>
      <c r="D33" s="1" t="s">
        <v>71</v>
      </c>
      <c r="E33" s="1" t="s">
        <v>108</v>
      </c>
      <c r="F33" s="1" t="str">
        <f>IFERROR(__xludf.DUMMYFUNCTION("SPLIT(E33,""&gt;"")"),"Memorychain")</f>
        <v>Memorychain</v>
      </c>
      <c r="G33" s="1" t="str">
        <f>IFERROR(__xludf.DUMMYFUNCTION("""COMPUTED_VALUE"""),"Series 2")</f>
        <v>Series 2</v>
      </c>
      <c r="H33" s="1" t="s">
        <v>71</v>
      </c>
      <c r="I33" s="1" t="s">
        <v>68</v>
      </c>
      <c r="J33" s="4">
        <v>42826.0</v>
      </c>
      <c r="K33" s="1">
        <v>100.0</v>
      </c>
      <c r="L33" s="1">
        <v>100.0</v>
      </c>
      <c r="M33" s="1">
        <v>16.0</v>
      </c>
      <c r="N33" s="6" t="str">
        <f t="shared" si="1"/>
        <v>Memorychain🇯🇵</v>
      </c>
      <c r="P33" s="6" t="str">
        <f>VLOOKUP(D33,'シート2'!A:B, 2, 0)</f>
        <v>@DavinciNine</v>
      </c>
    </row>
    <row r="34">
      <c r="A34" s="1" t="s">
        <v>109</v>
      </c>
      <c r="B34" s="3" t="s">
        <v>110</v>
      </c>
      <c r="C34" s="1" t="s">
        <v>16</v>
      </c>
      <c r="D34" s="1" t="s">
        <v>71</v>
      </c>
      <c r="E34" s="1" t="s">
        <v>108</v>
      </c>
      <c r="F34" s="1" t="str">
        <f>IFERROR(__xludf.DUMMYFUNCTION("SPLIT(E34,""&gt;"")"),"Memorychain")</f>
        <v>Memorychain</v>
      </c>
      <c r="G34" s="1" t="str">
        <f>IFERROR(__xludf.DUMMYFUNCTION("""COMPUTED_VALUE"""),"Series 2")</f>
        <v>Series 2</v>
      </c>
      <c r="H34" s="1" t="s">
        <v>71</v>
      </c>
      <c r="I34" s="1" t="s">
        <v>68</v>
      </c>
      <c r="J34" s="4">
        <v>42826.0</v>
      </c>
      <c r="K34" s="1">
        <v>100.0</v>
      </c>
      <c r="L34" s="1">
        <v>100.0</v>
      </c>
      <c r="M34" s="1">
        <v>17.0</v>
      </c>
      <c r="N34" s="6" t="str">
        <f t="shared" si="1"/>
        <v>Memorychain🇯🇵</v>
      </c>
      <c r="P34" s="6" t="str">
        <f>VLOOKUP(D34,'シート2'!A:B, 2, 0)</f>
        <v>@DavinciNine</v>
      </c>
    </row>
    <row r="35">
      <c r="A35" s="1" t="s">
        <v>111</v>
      </c>
      <c r="B35" s="3" t="s">
        <v>112</v>
      </c>
      <c r="C35" s="1" t="s">
        <v>16</v>
      </c>
      <c r="D35" s="1" t="s">
        <v>84</v>
      </c>
      <c r="E35" s="1" t="s">
        <v>108</v>
      </c>
      <c r="F35" s="1" t="str">
        <f>IFERROR(__xludf.DUMMYFUNCTION("SPLIT(E35,""&gt;"")"),"Memorychain")</f>
        <v>Memorychain</v>
      </c>
      <c r="G35" s="1" t="str">
        <f>IFERROR(__xludf.DUMMYFUNCTION("""COMPUTED_VALUE"""),"Series 2")</f>
        <v>Series 2</v>
      </c>
      <c r="H35" s="1" t="s">
        <v>84</v>
      </c>
      <c r="I35" s="1" t="s">
        <v>68</v>
      </c>
      <c r="J35" s="4">
        <v>42826.0</v>
      </c>
      <c r="K35" s="1">
        <v>1000.0</v>
      </c>
      <c r="L35" s="1">
        <v>1000.0</v>
      </c>
      <c r="M35" s="1">
        <v>18.0</v>
      </c>
      <c r="N35" s="6" t="str">
        <f t="shared" si="1"/>
        <v>Memorychain🇯🇵</v>
      </c>
      <c r="P35" s="6" t="str">
        <f>VLOOKUP(D35,'シート2'!A:B, 2, 0)</f>
        <v>@aria_minase</v>
      </c>
    </row>
    <row r="36">
      <c r="A36" s="1" t="s">
        <v>113</v>
      </c>
      <c r="B36" s="3" t="s">
        <v>114</v>
      </c>
      <c r="C36" s="1" t="s">
        <v>16</v>
      </c>
      <c r="D36" s="1" t="s">
        <v>84</v>
      </c>
      <c r="E36" s="1" t="s">
        <v>108</v>
      </c>
      <c r="F36" s="1" t="str">
        <f>IFERROR(__xludf.DUMMYFUNCTION("SPLIT(E36,""&gt;"")"),"Memorychain")</f>
        <v>Memorychain</v>
      </c>
      <c r="G36" s="1" t="str">
        <f>IFERROR(__xludf.DUMMYFUNCTION("""COMPUTED_VALUE"""),"Series 2")</f>
        <v>Series 2</v>
      </c>
      <c r="H36" s="1" t="s">
        <v>84</v>
      </c>
      <c r="I36" s="1" t="s">
        <v>68</v>
      </c>
      <c r="J36" s="4">
        <v>42826.0</v>
      </c>
      <c r="K36" s="1">
        <v>1000.0</v>
      </c>
      <c r="L36" s="1">
        <v>1000.0</v>
      </c>
      <c r="M36" s="1">
        <v>19.0</v>
      </c>
      <c r="N36" s="6" t="str">
        <f t="shared" si="1"/>
        <v>Memorychain🇯🇵</v>
      </c>
      <c r="P36" s="6" t="str">
        <f>VLOOKUP(D36,'シート2'!A:B, 2, 0)</f>
        <v>@aria_minase</v>
      </c>
    </row>
    <row r="37">
      <c r="A37" s="1" t="s">
        <v>115</v>
      </c>
      <c r="B37" s="3" t="s">
        <v>116</v>
      </c>
      <c r="C37" s="1" t="s">
        <v>16</v>
      </c>
      <c r="D37" s="1" t="s">
        <v>84</v>
      </c>
      <c r="E37" s="1" t="s">
        <v>108</v>
      </c>
      <c r="F37" s="1" t="str">
        <f>IFERROR(__xludf.DUMMYFUNCTION("SPLIT(E37,""&gt;"")"),"Memorychain")</f>
        <v>Memorychain</v>
      </c>
      <c r="G37" s="1" t="str">
        <f>IFERROR(__xludf.DUMMYFUNCTION("""COMPUTED_VALUE"""),"Series 2")</f>
        <v>Series 2</v>
      </c>
      <c r="H37" s="1" t="s">
        <v>84</v>
      </c>
      <c r="I37" s="1" t="s">
        <v>68</v>
      </c>
      <c r="J37" s="4">
        <v>42826.0</v>
      </c>
      <c r="K37" s="1">
        <v>1000.0</v>
      </c>
      <c r="L37" s="1">
        <v>1000.0</v>
      </c>
      <c r="M37" s="1">
        <v>20.0</v>
      </c>
      <c r="N37" s="6" t="str">
        <f t="shared" si="1"/>
        <v>Memorychain🇯🇵</v>
      </c>
      <c r="P37" s="6" t="str">
        <f>VLOOKUP(D37,'シート2'!A:B, 2, 0)</f>
        <v>@aria_minase</v>
      </c>
    </row>
    <row r="38">
      <c r="A38" s="1" t="s">
        <v>117</v>
      </c>
      <c r="B38" s="3" t="s">
        <v>118</v>
      </c>
      <c r="C38" s="1" t="s">
        <v>16</v>
      </c>
      <c r="D38" s="1" t="s">
        <v>95</v>
      </c>
      <c r="E38" s="1" t="s">
        <v>108</v>
      </c>
      <c r="F38" s="1" t="str">
        <f>IFERROR(__xludf.DUMMYFUNCTION("SPLIT(E38,""&gt;"")"),"Memorychain")</f>
        <v>Memorychain</v>
      </c>
      <c r="G38" s="1" t="str">
        <f>IFERROR(__xludf.DUMMYFUNCTION("""COMPUTED_VALUE"""),"Series 2")</f>
        <v>Series 2</v>
      </c>
      <c r="H38" s="1" t="s">
        <v>95</v>
      </c>
      <c r="I38" s="1" t="s">
        <v>68</v>
      </c>
      <c r="J38" s="4">
        <v>42826.0</v>
      </c>
      <c r="K38" s="1">
        <v>100.0</v>
      </c>
      <c r="L38" s="1">
        <v>100.0</v>
      </c>
      <c r="M38" s="1">
        <v>21.0</v>
      </c>
      <c r="N38" s="6" t="str">
        <f t="shared" si="1"/>
        <v>Memorychain🇯🇵</v>
      </c>
      <c r="P38" s="6" t="str">
        <f>VLOOKUP(D38,'シート2'!A:B, 2, 0)</f>
        <v>@SmartSpaceDogs</v>
      </c>
    </row>
    <row r="39">
      <c r="A39" s="1" t="s">
        <v>119</v>
      </c>
      <c r="B39" s="3" t="s">
        <v>120</v>
      </c>
      <c r="C39" s="1" t="s">
        <v>16</v>
      </c>
      <c r="D39" s="1" t="s">
        <v>92</v>
      </c>
      <c r="E39" s="1" t="s">
        <v>108</v>
      </c>
      <c r="F39" s="1" t="str">
        <f>IFERROR(__xludf.DUMMYFUNCTION("SPLIT(E39,""&gt;"")"),"Memorychain")</f>
        <v>Memorychain</v>
      </c>
      <c r="G39" s="1" t="str">
        <f>IFERROR(__xludf.DUMMYFUNCTION("""COMPUTED_VALUE"""),"Series 2")</f>
        <v>Series 2</v>
      </c>
      <c r="H39" s="1" t="s">
        <v>92</v>
      </c>
      <c r="I39" s="1" t="s">
        <v>68</v>
      </c>
      <c r="J39" s="4">
        <v>42826.0</v>
      </c>
      <c r="K39" s="1">
        <v>700.0</v>
      </c>
      <c r="L39" s="1">
        <v>700.0</v>
      </c>
      <c r="M39" s="1">
        <v>22.0</v>
      </c>
      <c r="N39" s="6" t="str">
        <f t="shared" si="1"/>
        <v>Memorychain🇯🇵</v>
      </c>
      <c r="P39" s="6" t="str">
        <f>VLOOKUP(D39,'シート2'!A:B, 2, 0)</f>
        <v>@Myon9</v>
      </c>
    </row>
    <row r="40">
      <c r="A40" s="1" t="s">
        <v>121</v>
      </c>
      <c r="B40" s="3" t="s">
        <v>122</v>
      </c>
      <c r="C40" s="1" t="s">
        <v>16</v>
      </c>
      <c r="D40" s="1" t="s">
        <v>123</v>
      </c>
      <c r="E40" s="1" t="s">
        <v>108</v>
      </c>
      <c r="F40" s="1" t="str">
        <f>IFERROR(__xludf.DUMMYFUNCTION("SPLIT(E40,""&gt;"")"),"Memorychain")</f>
        <v>Memorychain</v>
      </c>
      <c r="G40" s="1" t="str">
        <f>IFERROR(__xludf.DUMMYFUNCTION("""COMPUTED_VALUE"""),"Series 2")</f>
        <v>Series 2</v>
      </c>
      <c r="H40" s="1" t="s">
        <v>123</v>
      </c>
      <c r="I40" s="1" t="s">
        <v>68</v>
      </c>
      <c r="J40" s="4">
        <v>42826.0</v>
      </c>
      <c r="K40" s="1">
        <v>150.0</v>
      </c>
      <c r="L40" s="1">
        <v>149.0</v>
      </c>
      <c r="M40" s="1">
        <v>23.0</v>
      </c>
      <c r="N40" s="6" t="str">
        <f t="shared" si="1"/>
        <v>Memorychain🇯🇵</v>
      </c>
      <c r="P40" s="6" t="str">
        <f>VLOOKUP(D40,'シート2'!A:B, 2, 0)</f>
        <v>@kassy_nara</v>
      </c>
    </row>
    <row r="41">
      <c r="A41" s="1" t="s">
        <v>124</v>
      </c>
      <c r="B41" s="3" t="s">
        <v>125</v>
      </c>
      <c r="C41" s="1" t="s">
        <v>16</v>
      </c>
      <c r="D41" s="1" t="s">
        <v>79</v>
      </c>
      <c r="E41" s="1" t="s">
        <v>108</v>
      </c>
      <c r="F41" s="1" t="str">
        <f>IFERROR(__xludf.DUMMYFUNCTION("SPLIT(E41,""&gt;"")"),"Memorychain")</f>
        <v>Memorychain</v>
      </c>
      <c r="G41" s="1" t="str">
        <f>IFERROR(__xludf.DUMMYFUNCTION("""COMPUTED_VALUE"""),"Series 2")</f>
        <v>Series 2</v>
      </c>
      <c r="H41" s="1" t="s">
        <v>79</v>
      </c>
      <c r="I41" s="1" t="s">
        <v>68</v>
      </c>
      <c r="J41" s="4">
        <v>42826.0</v>
      </c>
      <c r="K41" s="1">
        <v>100.0</v>
      </c>
      <c r="L41" s="1">
        <v>100.0</v>
      </c>
      <c r="M41" s="1">
        <v>24.0</v>
      </c>
      <c r="N41" s="6" t="str">
        <f t="shared" si="1"/>
        <v>Memorychain🇯🇵</v>
      </c>
      <c r="P41" s="6" t="str">
        <f>VLOOKUP(D41,'シート2'!A:B, 2, 0)</f>
        <v>@TrendStream</v>
      </c>
    </row>
    <row r="42">
      <c r="A42" s="1" t="s">
        <v>126</v>
      </c>
      <c r="B42" s="3" t="s">
        <v>127</v>
      </c>
      <c r="C42" s="1" t="s">
        <v>16</v>
      </c>
      <c r="D42" s="1" t="s">
        <v>128</v>
      </c>
      <c r="E42" s="1" t="s">
        <v>108</v>
      </c>
      <c r="F42" s="1" t="str">
        <f>IFERROR(__xludf.DUMMYFUNCTION("SPLIT(E42,""&gt;"")"),"Memorychain")</f>
        <v>Memorychain</v>
      </c>
      <c r="G42" s="1" t="str">
        <f>IFERROR(__xludf.DUMMYFUNCTION("""COMPUTED_VALUE"""),"Series 2")</f>
        <v>Series 2</v>
      </c>
      <c r="H42" s="1" t="s">
        <v>128</v>
      </c>
      <c r="I42" s="1" t="s">
        <v>68</v>
      </c>
      <c r="J42" s="4">
        <v>42826.0</v>
      </c>
      <c r="K42" s="1">
        <v>500.0</v>
      </c>
      <c r="L42" s="1">
        <v>499.0</v>
      </c>
      <c r="M42" s="1">
        <v>25.0</v>
      </c>
      <c r="N42" s="6" t="str">
        <f t="shared" si="1"/>
        <v>Memorychain🇯🇵</v>
      </c>
      <c r="P42" s="6" t="str">
        <f>VLOOKUP(D42,'シート2'!A:B, 2, 0)</f>
        <v>@mizcored</v>
      </c>
    </row>
    <row r="43">
      <c r="A43" s="1" t="s">
        <v>129</v>
      </c>
      <c r="B43" s="3" t="s">
        <v>130</v>
      </c>
      <c r="C43" s="1" t="s">
        <v>16</v>
      </c>
      <c r="D43" s="1" t="s">
        <v>23</v>
      </c>
      <c r="E43" s="1" t="s">
        <v>131</v>
      </c>
      <c r="F43" s="1" t="str">
        <f>IFERROR(__xludf.DUMMYFUNCTION("SPLIT(E43,""&gt;"")"),"Memorychain")</f>
        <v>Memorychain</v>
      </c>
      <c r="G43" s="1" t="str">
        <f>IFERROR(__xludf.DUMMYFUNCTION("""COMPUTED_VALUE"""),"Series 3")</f>
        <v>Series 3</v>
      </c>
      <c r="H43" s="1" t="s">
        <v>23</v>
      </c>
      <c r="I43" s="1" t="s">
        <v>132</v>
      </c>
      <c r="J43" s="4">
        <v>42856.0</v>
      </c>
      <c r="K43" s="1">
        <v>500.0</v>
      </c>
      <c r="L43" s="1">
        <v>500.0</v>
      </c>
      <c r="M43" s="1">
        <v>26.0</v>
      </c>
      <c r="N43" s="6" t="str">
        <f t="shared" si="1"/>
        <v>Memorychain🇯🇵</v>
      </c>
      <c r="P43" s="6" t="str">
        <f>VLOOKUP(D43,'シート2'!A:B, 2, 0)</f>
        <v>@ChunriMD</v>
      </c>
    </row>
    <row r="44">
      <c r="A44" s="1" t="s">
        <v>133</v>
      </c>
      <c r="B44" s="3" t="s">
        <v>134</v>
      </c>
      <c r="C44" s="1" t="s">
        <v>16</v>
      </c>
      <c r="D44" s="1" t="s">
        <v>135</v>
      </c>
      <c r="E44" s="1" t="s">
        <v>131</v>
      </c>
      <c r="F44" s="1" t="str">
        <f>IFERROR(__xludf.DUMMYFUNCTION("SPLIT(E44,""&gt;"")"),"Memorychain")</f>
        <v>Memorychain</v>
      </c>
      <c r="G44" s="1" t="str">
        <f>IFERROR(__xludf.DUMMYFUNCTION("""COMPUTED_VALUE"""),"Series 3")</f>
        <v>Series 3</v>
      </c>
      <c r="H44" s="1" t="s">
        <v>135</v>
      </c>
      <c r="I44" s="1" t="s">
        <v>132</v>
      </c>
      <c r="J44" s="4">
        <v>42856.0</v>
      </c>
      <c r="K44" s="1">
        <v>108.0</v>
      </c>
      <c r="L44" s="1">
        <v>108.0</v>
      </c>
      <c r="M44" s="1">
        <v>27.0</v>
      </c>
      <c r="N44" s="6" t="str">
        <f t="shared" si="1"/>
        <v>Memorychain🇯🇵</v>
      </c>
      <c r="P44" s="6" t="str">
        <f>VLOOKUP(D44,'シート2'!A:B, 2, 0)</f>
        <v>たろふあ</v>
      </c>
    </row>
    <row r="45">
      <c r="A45" s="1" t="s">
        <v>136</v>
      </c>
      <c r="B45" s="3" t="s">
        <v>137</v>
      </c>
      <c r="C45" s="1" t="s">
        <v>16</v>
      </c>
      <c r="D45" s="1" t="s">
        <v>76</v>
      </c>
      <c r="E45" s="1" t="s">
        <v>131</v>
      </c>
      <c r="F45" s="1" t="str">
        <f>IFERROR(__xludf.DUMMYFUNCTION("SPLIT(E45,""&gt;"")"),"Memorychain")</f>
        <v>Memorychain</v>
      </c>
      <c r="G45" s="1" t="str">
        <f>IFERROR(__xludf.DUMMYFUNCTION("""COMPUTED_VALUE"""),"Series 3")</f>
        <v>Series 3</v>
      </c>
      <c r="H45" s="1" t="s">
        <v>76</v>
      </c>
      <c r="I45" s="1" t="s">
        <v>132</v>
      </c>
      <c r="J45" s="4">
        <v>42856.0</v>
      </c>
      <c r="K45" s="1">
        <v>500.0</v>
      </c>
      <c r="L45" s="1">
        <v>500.0</v>
      </c>
      <c r="M45" s="1">
        <v>28.0</v>
      </c>
      <c r="N45" s="6" t="str">
        <f t="shared" si="1"/>
        <v>Memorychain🇯🇵</v>
      </c>
      <c r="P45" s="6" t="str">
        <f>VLOOKUP(D45,'シート2'!A:B, 2, 0)</f>
        <v>@JapepeneseMan</v>
      </c>
    </row>
    <row r="46">
      <c r="A46" s="1" t="s">
        <v>138</v>
      </c>
      <c r="B46" s="3" t="s">
        <v>139</v>
      </c>
      <c r="C46" s="1" t="s">
        <v>16</v>
      </c>
      <c r="D46" s="1" t="s">
        <v>76</v>
      </c>
      <c r="E46" s="1" t="s">
        <v>131</v>
      </c>
      <c r="F46" s="1" t="str">
        <f>IFERROR(__xludf.DUMMYFUNCTION("SPLIT(E46,""&gt;"")"),"Memorychain")</f>
        <v>Memorychain</v>
      </c>
      <c r="G46" s="1" t="str">
        <f>IFERROR(__xludf.DUMMYFUNCTION("""COMPUTED_VALUE"""),"Series 3")</f>
        <v>Series 3</v>
      </c>
      <c r="H46" s="1" t="s">
        <v>76</v>
      </c>
      <c r="I46" s="1" t="s">
        <v>132</v>
      </c>
      <c r="J46" s="4">
        <v>42856.0</v>
      </c>
      <c r="K46" s="1">
        <v>500.0</v>
      </c>
      <c r="L46" s="1">
        <v>500.0</v>
      </c>
      <c r="M46" s="1">
        <v>29.0</v>
      </c>
      <c r="N46" s="6" t="str">
        <f t="shared" si="1"/>
        <v>Memorychain🇯🇵</v>
      </c>
      <c r="P46" s="6" t="str">
        <f>VLOOKUP(D46,'シート2'!A:B, 2, 0)</f>
        <v>@JapepeneseMan</v>
      </c>
    </row>
    <row r="47">
      <c r="A47" s="1" t="s">
        <v>140</v>
      </c>
      <c r="B47" s="3" t="s">
        <v>141</v>
      </c>
      <c r="C47" s="1" t="s">
        <v>16</v>
      </c>
      <c r="D47" s="1" t="s">
        <v>89</v>
      </c>
      <c r="E47" s="1" t="s">
        <v>131</v>
      </c>
      <c r="F47" s="1" t="str">
        <f>IFERROR(__xludf.DUMMYFUNCTION("SPLIT(E47,""&gt;"")"),"Memorychain")</f>
        <v>Memorychain</v>
      </c>
      <c r="G47" s="1" t="str">
        <f>IFERROR(__xludf.DUMMYFUNCTION("""COMPUTED_VALUE"""),"Series 3")</f>
        <v>Series 3</v>
      </c>
      <c r="H47" s="1" t="s">
        <v>89</v>
      </c>
      <c r="I47" s="1" t="s">
        <v>132</v>
      </c>
      <c r="J47" s="4">
        <v>42856.0</v>
      </c>
      <c r="K47" s="1">
        <v>100.0</v>
      </c>
      <c r="L47" s="1">
        <v>100.0</v>
      </c>
      <c r="M47" s="1">
        <v>30.0</v>
      </c>
      <c r="N47" s="6" t="str">
        <f t="shared" si="1"/>
        <v>Memorychain🇯🇵</v>
      </c>
      <c r="P47" s="6" t="str">
        <f>VLOOKUP(D47,'シート2'!A:B, 2, 0)</f>
        <v>@sai33211</v>
      </c>
    </row>
    <row r="48">
      <c r="A48" s="1" t="s">
        <v>142</v>
      </c>
      <c r="B48" s="3" t="s">
        <v>143</v>
      </c>
      <c r="C48" s="1" t="s">
        <v>16</v>
      </c>
      <c r="D48" s="1" t="s">
        <v>123</v>
      </c>
      <c r="E48" s="1" t="s">
        <v>131</v>
      </c>
      <c r="F48" s="1" t="str">
        <f>IFERROR(__xludf.DUMMYFUNCTION("SPLIT(E48,""&gt;"")"),"Memorychain")</f>
        <v>Memorychain</v>
      </c>
      <c r="G48" s="1" t="str">
        <f>IFERROR(__xludf.DUMMYFUNCTION("""COMPUTED_VALUE"""),"Series 3")</f>
        <v>Series 3</v>
      </c>
      <c r="H48" s="1" t="s">
        <v>123</v>
      </c>
      <c r="I48" s="1" t="s">
        <v>132</v>
      </c>
      <c r="J48" s="4">
        <v>42856.0</v>
      </c>
      <c r="K48" s="1">
        <v>108.0</v>
      </c>
      <c r="L48" s="1">
        <v>108.0</v>
      </c>
      <c r="M48" s="1">
        <v>31.0</v>
      </c>
      <c r="N48" s="6" t="str">
        <f t="shared" si="1"/>
        <v>Memorychain🇯🇵</v>
      </c>
      <c r="P48" s="6" t="str">
        <f>VLOOKUP(D48,'シート2'!A:B, 2, 0)</f>
        <v>@kassy_nara</v>
      </c>
    </row>
    <row r="49">
      <c r="A49" s="1" t="s">
        <v>144</v>
      </c>
      <c r="B49" s="3" t="s">
        <v>145</v>
      </c>
      <c r="C49" s="1" t="s">
        <v>16</v>
      </c>
      <c r="D49" s="1" t="s">
        <v>146</v>
      </c>
      <c r="E49" s="1" t="s">
        <v>131</v>
      </c>
      <c r="F49" s="1" t="str">
        <f>IFERROR(__xludf.DUMMYFUNCTION("SPLIT(E49,""&gt;"")"),"Memorychain")</f>
        <v>Memorychain</v>
      </c>
      <c r="G49" s="1" t="str">
        <f>IFERROR(__xludf.DUMMYFUNCTION("""COMPUTED_VALUE"""),"Series 3")</f>
        <v>Series 3</v>
      </c>
      <c r="H49" s="1" t="s">
        <v>146</v>
      </c>
      <c r="I49" s="1" t="s">
        <v>132</v>
      </c>
      <c r="J49" s="4">
        <v>42856.0</v>
      </c>
      <c r="K49" s="1">
        <v>1000.0</v>
      </c>
      <c r="L49" s="1">
        <v>1000.0</v>
      </c>
      <c r="M49" s="1">
        <v>32.0</v>
      </c>
      <c r="N49" s="6" t="str">
        <f t="shared" si="1"/>
        <v>Memorychain🇯🇵</v>
      </c>
      <c r="P49" s="6" t="str">
        <f>VLOOKUP(D49,'シート2'!A:B, 2, 0)</f>
        <v>VeryLongUnagi</v>
      </c>
    </row>
    <row r="50">
      <c r="A50" s="1" t="s">
        <v>147</v>
      </c>
      <c r="B50" s="3" t="s">
        <v>148</v>
      </c>
      <c r="C50" s="1" t="s">
        <v>16</v>
      </c>
      <c r="D50" s="1" t="s">
        <v>84</v>
      </c>
      <c r="E50" s="1" t="s">
        <v>131</v>
      </c>
      <c r="F50" s="1" t="str">
        <f>IFERROR(__xludf.DUMMYFUNCTION("SPLIT(E50,""&gt;"")"),"Memorychain")</f>
        <v>Memorychain</v>
      </c>
      <c r="G50" s="1" t="str">
        <f>IFERROR(__xludf.DUMMYFUNCTION("""COMPUTED_VALUE"""),"Series 3")</f>
        <v>Series 3</v>
      </c>
      <c r="H50" s="1" t="s">
        <v>84</v>
      </c>
      <c r="I50" s="1" t="s">
        <v>132</v>
      </c>
      <c r="J50" s="4">
        <v>42856.0</v>
      </c>
      <c r="K50" s="1">
        <v>1000.0</v>
      </c>
      <c r="L50" s="1">
        <v>1000.0</v>
      </c>
      <c r="M50" s="1">
        <v>33.0</v>
      </c>
      <c r="N50" s="6" t="str">
        <f t="shared" si="1"/>
        <v>Memorychain🇯🇵</v>
      </c>
      <c r="P50" s="6" t="str">
        <f>VLOOKUP(D50,'シート2'!A:B, 2, 0)</f>
        <v>@aria_minase</v>
      </c>
    </row>
    <row r="51">
      <c r="A51" s="1" t="s">
        <v>149</v>
      </c>
      <c r="B51" s="3" t="s">
        <v>150</v>
      </c>
      <c r="C51" s="1" t="s">
        <v>16</v>
      </c>
      <c r="D51" s="1" t="s">
        <v>84</v>
      </c>
      <c r="E51" s="1" t="s">
        <v>131</v>
      </c>
      <c r="F51" s="1" t="str">
        <f>IFERROR(__xludf.DUMMYFUNCTION("SPLIT(E51,""&gt;"")"),"Memorychain")</f>
        <v>Memorychain</v>
      </c>
      <c r="G51" s="1" t="str">
        <f>IFERROR(__xludf.DUMMYFUNCTION("""COMPUTED_VALUE"""),"Series 3")</f>
        <v>Series 3</v>
      </c>
      <c r="H51" s="1" t="s">
        <v>84</v>
      </c>
      <c r="I51" s="1" t="s">
        <v>132</v>
      </c>
      <c r="J51" s="4">
        <v>42856.0</v>
      </c>
      <c r="K51" s="1">
        <v>1000.0</v>
      </c>
      <c r="L51" s="1">
        <v>1000.0</v>
      </c>
      <c r="M51" s="1">
        <v>34.0</v>
      </c>
      <c r="N51" s="6" t="str">
        <f t="shared" si="1"/>
        <v>Memorychain🇯🇵</v>
      </c>
      <c r="P51" s="6" t="str">
        <f>VLOOKUP(D51,'シート2'!A:B, 2, 0)</f>
        <v>@aria_minase</v>
      </c>
    </row>
    <row r="52">
      <c r="A52" s="1" t="s">
        <v>151</v>
      </c>
      <c r="B52" s="3" t="s">
        <v>152</v>
      </c>
      <c r="C52" s="1" t="s">
        <v>16</v>
      </c>
      <c r="D52" s="1" t="s">
        <v>79</v>
      </c>
      <c r="E52" s="1" t="s">
        <v>131</v>
      </c>
      <c r="F52" s="1" t="str">
        <f>IFERROR(__xludf.DUMMYFUNCTION("SPLIT(E52,""&gt;"")"),"Memorychain")</f>
        <v>Memorychain</v>
      </c>
      <c r="G52" s="1" t="str">
        <f>IFERROR(__xludf.DUMMYFUNCTION("""COMPUTED_VALUE"""),"Series 3")</f>
        <v>Series 3</v>
      </c>
      <c r="H52" s="1" t="s">
        <v>79</v>
      </c>
      <c r="I52" s="1" t="s">
        <v>132</v>
      </c>
      <c r="J52" s="4">
        <v>42856.0</v>
      </c>
      <c r="K52" s="1">
        <v>100.0</v>
      </c>
      <c r="L52" s="1">
        <v>100.0</v>
      </c>
      <c r="M52" s="1">
        <v>35.0</v>
      </c>
      <c r="N52" s="6" t="str">
        <f t="shared" si="1"/>
        <v>Memorychain🇯🇵</v>
      </c>
      <c r="P52" s="6" t="str">
        <f>VLOOKUP(D52,'シート2'!A:B, 2, 0)</f>
        <v>@TrendStream</v>
      </c>
    </row>
    <row r="53">
      <c r="A53" s="1" t="s">
        <v>153</v>
      </c>
      <c r="B53" s="3" t="s">
        <v>154</v>
      </c>
      <c r="C53" s="1" t="s">
        <v>16</v>
      </c>
      <c r="D53" s="1" t="s">
        <v>79</v>
      </c>
      <c r="E53" s="1" t="s">
        <v>131</v>
      </c>
      <c r="F53" s="1" t="str">
        <f>IFERROR(__xludf.DUMMYFUNCTION("SPLIT(E53,""&gt;"")"),"Memorychain")</f>
        <v>Memorychain</v>
      </c>
      <c r="G53" s="1" t="str">
        <f>IFERROR(__xludf.DUMMYFUNCTION("""COMPUTED_VALUE"""),"Series 3")</f>
        <v>Series 3</v>
      </c>
      <c r="H53" s="1" t="s">
        <v>79</v>
      </c>
      <c r="I53" s="1" t="s">
        <v>132</v>
      </c>
      <c r="J53" s="4">
        <v>42856.0</v>
      </c>
      <c r="K53" s="1">
        <v>100.0</v>
      </c>
      <c r="L53" s="1">
        <v>100.0</v>
      </c>
      <c r="M53" s="1">
        <v>36.0</v>
      </c>
      <c r="N53" s="6" t="str">
        <f t="shared" si="1"/>
        <v>Memorychain🇯🇵</v>
      </c>
      <c r="P53" s="6" t="str">
        <f>VLOOKUP(D53,'シート2'!A:B, 2, 0)</f>
        <v>@TrendStream</v>
      </c>
    </row>
    <row r="54">
      <c r="A54" s="1" t="s">
        <v>155</v>
      </c>
      <c r="B54" s="3" t="s">
        <v>156</v>
      </c>
      <c r="C54" s="1" t="s">
        <v>16</v>
      </c>
      <c r="D54" s="1" t="s">
        <v>79</v>
      </c>
      <c r="E54" s="1" t="s">
        <v>131</v>
      </c>
      <c r="F54" s="1" t="str">
        <f>IFERROR(__xludf.DUMMYFUNCTION("SPLIT(E54,""&gt;"")"),"Memorychain")</f>
        <v>Memorychain</v>
      </c>
      <c r="G54" s="1" t="str">
        <f>IFERROR(__xludf.DUMMYFUNCTION("""COMPUTED_VALUE"""),"Series 3")</f>
        <v>Series 3</v>
      </c>
      <c r="H54" s="1" t="s">
        <v>79</v>
      </c>
      <c r="I54" s="1" t="s">
        <v>132</v>
      </c>
      <c r="J54" s="4">
        <v>42856.0</v>
      </c>
      <c r="K54" s="1">
        <v>100.0</v>
      </c>
      <c r="L54" s="1">
        <v>100.0</v>
      </c>
      <c r="M54" s="1">
        <v>37.0</v>
      </c>
      <c r="N54" s="6" t="str">
        <f t="shared" si="1"/>
        <v>Memorychain🇯🇵</v>
      </c>
      <c r="P54" s="6" t="str">
        <f>VLOOKUP(D54,'シート2'!A:B, 2, 0)</f>
        <v>@TrendStream</v>
      </c>
    </row>
    <row r="55">
      <c r="A55" s="1" t="s">
        <v>157</v>
      </c>
      <c r="B55" s="3" t="s">
        <v>158</v>
      </c>
      <c r="C55" s="1" t="s">
        <v>16</v>
      </c>
      <c r="D55" s="1" t="s">
        <v>159</v>
      </c>
      <c r="E55" s="1" t="s">
        <v>131</v>
      </c>
      <c r="F55" s="1" t="str">
        <f>IFERROR(__xludf.DUMMYFUNCTION("SPLIT(E55,""&gt;"")"),"Memorychain")</f>
        <v>Memorychain</v>
      </c>
      <c r="G55" s="1" t="str">
        <f>IFERROR(__xludf.DUMMYFUNCTION("""COMPUTED_VALUE"""),"Series 3")</f>
        <v>Series 3</v>
      </c>
      <c r="H55" s="1" t="s">
        <v>159</v>
      </c>
      <c r="I55" s="1" t="s">
        <v>132</v>
      </c>
      <c r="J55" s="4">
        <v>42856.0</v>
      </c>
      <c r="K55" s="1">
        <v>200.0</v>
      </c>
      <c r="L55" s="1">
        <v>199.0</v>
      </c>
      <c r="M55" s="1">
        <v>38.0</v>
      </c>
      <c r="N55" s="6" t="str">
        <f t="shared" si="1"/>
        <v>Memorychain🇯🇵</v>
      </c>
      <c r="P55" s="6" t="str">
        <f>VLOOKUP(D55,'シート2'!A:B, 2, 0)</f>
        <v>@1aughingcat</v>
      </c>
    </row>
    <row r="56">
      <c r="A56" s="1" t="s">
        <v>160</v>
      </c>
      <c r="B56" s="3" t="s">
        <v>161</v>
      </c>
      <c r="C56" s="1" t="s">
        <v>16</v>
      </c>
      <c r="D56" s="1" t="s">
        <v>162</v>
      </c>
      <c r="E56" s="1" t="s">
        <v>163</v>
      </c>
      <c r="F56" s="1" t="str">
        <f>IFERROR(__xludf.DUMMYFUNCTION("SPLIT(E56,""&gt;"")"),"Memorychain")</f>
        <v>Memorychain</v>
      </c>
      <c r="G56" s="1" t="str">
        <f>IFERROR(__xludf.DUMMYFUNCTION("""COMPUTED_VALUE"""),"Series 4")</f>
        <v>Series 4</v>
      </c>
      <c r="H56" s="1" t="s">
        <v>162</v>
      </c>
      <c r="I56" s="1" t="s">
        <v>132</v>
      </c>
      <c r="J56" s="4">
        <v>42856.0</v>
      </c>
      <c r="K56" s="1">
        <v>1000.0</v>
      </c>
      <c r="L56" s="1">
        <v>1000.0</v>
      </c>
      <c r="M56" s="1">
        <v>39.0</v>
      </c>
      <c r="N56" s="6" t="str">
        <f t="shared" si="1"/>
        <v>Memorychain🇯🇵</v>
      </c>
      <c r="P56" s="6" t="str">
        <f>VLOOKUP(D56,'シート2'!A:B, 2, 0)</f>
        <v>@urawazakun</v>
      </c>
    </row>
    <row r="57">
      <c r="A57" s="1" t="s">
        <v>164</v>
      </c>
      <c r="B57" s="3" t="s">
        <v>165</v>
      </c>
      <c r="C57" s="1" t="s">
        <v>16</v>
      </c>
      <c r="D57" s="1" t="s">
        <v>146</v>
      </c>
      <c r="E57" s="1" t="s">
        <v>163</v>
      </c>
      <c r="F57" s="1" t="str">
        <f>IFERROR(__xludf.DUMMYFUNCTION("SPLIT(E57,""&gt;"")"),"Memorychain")</f>
        <v>Memorychain</v>
      </c>
      <c r="G57" s="1" t="str">
        <f>IFERROR(__xludf.DUMMYFUNCTION("""COMPUTED_VALUE"""),"Series 4")</f>
        <v>Series 4</v>
      </c>
      <c r="H57" s="1" t="s">
        <v>146</v>
      </c>
      <c r="I57" s="1" t="s">
        <v>132</v>
      </c>
      <c r="J57" s="4">
        <v>42856.0</v>
      </c>
      <c r="K57" s="1">
        <v>1000.0</v>
      </c>
      <c r="L57" s="1">
        <v>1000.0</v>
      </c>
      <c r="M57" s="1">
        <v>40.0</v>
      </c>
      <c r="N57" s="6" t="str">
        <f t="shared" si="1"/>
        <v>Memorychain🇯🇵</v>
      </c>
      <c r="P57" s="6" t="str">
        <f>VLOOKUP(D57,'シート2'!A:B, 2, 0)</f>
        <v>VeryLongUnagi</v>
      </c>
    </row>
    <row r="58">
      <c r="A58" s="1" t="s">
        <v>166</v>
      </c>
      <c r="B58" s="3" t="s">
        <v>167</v>
      </c>
      <c r="C58" s="1" t="s">
        <v>16</v>
      </c>
      <c r="D58" s="1" t="s">
        <v>168</v>
      </c>
      <c r="E58" s="1" t="s">
        <v>163</v>
      </c>
      <c r="F58" s="1" t="str">
        <f>IFERROR(__xludf.DUMMYFUNCTION("SPLIT(E58,""&gt;"")"),"Memorychain")</f>
        <v>Memorychain</v>
      </c>
      <c r="G58" s="1" t="str">
        <f>IFERROR(__xludf.DUMMYFUNCTION("""COMPUTED_VALUE"""),"Series 4")</f>
        <v>Series 4</v>
      </c>
      <c r="H58" s="1" t="s">
        <v>168</v>
      </c>
      <c r="I58" s="1" t="s">
        <v>132</v>
      </c>
      <c r="J58" s="4">
        <v>42856.0</v>
      </c>
      <c r="K58" s="1">
        <v>300.0</v>
      </c>
      <c r="L58" s="1">
        <v>150.0</v>
      </c>
      <c r="M58" s="1">
        <v>41.0</v>
      </c>
      <c r="N58" s="6" t="str">
        <f t="shared" si="1"/>
        <v>Memorychain🇯🇵</v>
      </c>
      <c r="P58" s="6" t="str">
        <f>VLOOKUP(D58,'シート2'!A:B, 2, 0)</f>
        <v>@Whiskey_bonbon_</v>
      </c>
    </row>
    <row r="59">
      <c r="A59" s="1" t="s">
        <v>169</v>
      </c>
      <c r="B59" s="3" t="s">
        <v>170</v>
      </c>
      <c r="C59" s="1" t="s">
        <v>16</v>
      </c>
      <c r="D59" s="1" t="s">
        <v>128</v>
      </c>
      <c r="E59" s="1" t="s">
        <v>163</v>
      </c>
      <c r="F59" s="1" t="str">
        <f>IFERROR(__xludf.DUMMYFUNCTION("SPLIT(E59,""&gt;"")"),"Memorychain")</f>
        <v>Memorychain</v>
      </c>
      <c r="G59" s="1" t="str">
        <f>IFERROR(__xludf.DUMMYFUNCTION("""COMPUTED_VALUE"""),"Series 4")</f>
        <v>Series 4</v>
      </c>
      <c r="H59" s="1" t="s">
        <v>128</v>
      </c>
      <c r="I59" s="1" t="s">
        <v>132</v>
      </c>
      <c r="J59" s="4">
        <v>42856.0</v>
      </c>
      <c r="K59" s="1">
        <v>500.0</v>
      </c>
      <c r="L59" s="1">
        <v>500.0</v>
      </c>
      <c r="M59" s="1">
        <v>42.0</v>
      </c>
      <c r="N59" s="6" t="str">
        <f t="shared" si="1"/>
        <v>Memorychain🇯🇵</v>
      </c>
      <c r="P59" s="6" t="str">
        <f>VLOOKUP(D59,'シート2'!A:B, 2, 0)</f>
        <v>@mizcored</v>
      </c>
    </row>
    <row r="60">
      <c r="A60" s="1" t="s">
        <v>171</v>
      </c>
      <c r="B60" s="3" t="s">
        <v>172</v>
      </c>
      <c r="C60" s="1" t="s">
        <v>16</v>
      </c>
      <c r="D60" s="1" t="s">
        <v>79</v>
      </c>
      <c r="E60" s="1" t="s">
        <v>163</v>
      </c>
      <c r="F60" s="1" t="str">
        <f>IFERROR(__xludf.DUMMYFUNCTION("SPLIT(E60,""&gt;"")"),"Memorychain")</f>
        <v>Memorychain</v>
      </c>
      <c r="G60" s="1" t="str">
        <f>IFERROR(__xludf.DUMMYFUNCTION("""COMPUTED_VALUE"""),"Series 4")</f>
        <v>Series 4</v>
      </c>
      <c r="H60" s="1" t="s">
        <v>79</v>
      </c>
      <c r="I60" s="1" t="s">
        <v>132</v>
      </c>
      <c r="J60" s="4">
        <v>42856.0</v>
      </c>
      <c r="K60" s="1">
        <v>100.0</v>
      </c>
      <c r="L60" s="1">
        <v>100.0</v>
      </c>
      <c r="M60" s="1">
        <v>43.0</v>
      </c>
      <c r="N60" s="6" t="str">
        <f t="shared" si="1"/>
        <v>Memorychain🇯🇵</v>
      </c>
      <c r="P60" s="6" t="str">
        <f>VLOOKUP(D60,'シート2'!A:B, 2, 0)</f>
        <v>@TrendStream</v>
      </c>
    </row>
    <row r="61">
      <c r="A61" s="1" t="s">
        <v>173</v>
      </c>
      <c r="B61" s="3" t="s">
        <v>174</v>
      </c>
      <c r="C61" s="1" t="s">
        <v>16</v>
      </c>
      <c r="D61" s="1" t="s">
        <v>79</v>
      </c>
      <c r="E61" s="1" t="s">
        <v>163</v>
      </c>
      <c r="F61" s="1" t="str">
        <f>IFERROR(__xludf.DUMMYFUNCTION("SPLIT(E61,""&gt;"")"),"Memorychain")</f>
        <v>Memorychain</v>
      </c>
      <c r="G61" s="1" t="str">
        <f>IFERROR(__xludf.DUMMYFUNCTION("""COMPUTED_VALUE"""),"Series 4")</f>
        <v>Series 4</v>
      </c>
      <c r="H61" s="1" t="s">
        <v>79</v>
      </c>
      <c r="I61" s="1" t="s">
        <v>132</v>
      </c>
      <c r="J61" s="4">
        <v>42856.0</v>
      </c>
      <c r="K61" s="1">
        <v>100.0</v>
      </c>
      <c r="L61" s="1">
        <v>100.0</v>
      </c>
      <c r="M61" s="1">
        <v>44.0</v>
      </c>
      <c r="N61" s="6" t="str">
        <f t="shared" si="1"/>
        <v>Memorychain🇯🇵</v>
      </c>
      <c r="P61" s="6" t="str">
        <f>VLOOKUP(D61,'シート2'!A:B, 2, 0)</f>
        <v>@TrendStream</v>
      </c>
    </row>
    <row r="62">
      <c r="A62" s="1" t="s">
        <v>175</v>
      </c>
      <c r="B62" s="3" t="s">
        <v>176</v>
      </c>
      <c r="C62" s="1" t="s">
        <v>16</v>
      </c>
      <c r="D62" s="1" t="s">
        <v>79</v>
      </c>
      <c r="E62" s="1" t="s">
        <v>163</v>
      </c>
      <c r="F62" s="1" t="str">
        <f>IFERROR(__xludf.DUMMYFUNCTION("SPLIT(E62,""&gt;"")"),"Memorychain")</f>
        <v>Memorychain</v>
      </c>
      <c r="G62" s="1" t="str">
        <f>IFERROR(__xludf.DUMMYFUNCTION("""COMPUTED_VALUE"""),"Series 4")</f>
        <v>Series 4</v>
      </c>
      <c r="H62" s="1" t="s">
        <v>79</v>
      </c>
      <c r="I62" s="1" t="s">
        <v>132</v>
      </c>
      <c r="J62" s="4">
        <v>42856.0</v>
      </c>
      <c r="K62" s="1">
        <v>100.0</v>
      </c>
      <c r="L62" s="1">
        <v>100.0</v>
      </c>
      <c r="M62" s="1">
        <v>45.0</v>
      </c>
      <c r="N62" s="6" t="str">
        <f t="shared" si="1"/>
        <v>Memorychain🇯🇵</v>
      </c>
      <c r="P62" s="6" t="str">
        <f>VLOOKUP(D62,'シート2'!A:B, 2, 0)</f>
        <v>@TrendStream</v>
      </c>
    </row>
    <row r="63">
      <c r="A63" s="1" t="s">
        <v>177</v>
      </c>
      <c r="B63" s="3" t="s">
        <v>178</v>
      </c>
      <c r="C63" s="1" t="s">
        <v>16</v>
      </c>
      <c r="D63" s="1" t="s">
        <v>179</v>
      </c>
      <c r="E63" s="1" t="s">
        <v>163</v>
      </c>
      <c r="F63" s="1" t="str">
        <f>IFERROR(__xludf.DUMMYFUNCTION("SPLIT(E63,""&gt;"")"),"Memorychain")</f>
        <v>Memorychain</v>
      </c>
      <c r="G63" s="1" t="str">
        <f>IFERROR(__xludf.DUMMYFUNCTION("""COMPUTED_VALUE"""),"Series 4")</f>
        <v>Series 4</v>
      </c>
      <c r="H63" s="1" t="s">
        <v>179</v>
      </c>
      <c r="I63" s="1" t="s">
        <v>132</v>
      </c>
      <c r="J63" s="4">
        <v>42856.0</v>
      </c>
      <c r="K63" s="1">
        <v>10000.0</v>
      </c>
      <c r="L63" s="1">
        <v>10000.0</v>
      </c>
      <c r="M63" s="1">
        <v>46.0</v>
      </c>
      <c r="N63" s="6" t="str">
        <f t="shared" si="1"/>
        <v>Memorychain🇯🇵</v>
      </c>
      <c r="P63" s="6" t="str">
        <f>VLOOKUP(D63,'シート2'!A:B, 2, 0)</f>
        <v>@todokasumi</v>
      </c>
    </row>
    <row r="64">
      <c r="A64" s="1" t="s">
        <v>180</v>
      </c>
      <c r="B64" s="3" t="s">
        <v>181</v>
      </c>
      <c r="C64" s="1" t="s">
        <v>16</v>
      </c>
      <c r="D64" s="1" t="s">
        <v>71</v>
      </c>
      <c r="E64" s="1" t="s">
        <v>163</v>
      </c>
      <c r="F64" s="1" t="str">
        <f>IFERROR(__xludf.DUMMYFUNCTION("SPLIT(E64,""&gt;"")"),"Memorychain")</f>
        <v>Memorychain</v>
      </c>
      <c r="G64" s="1" t="str">
        <f>IFERROR(__xludf.DUMMYFUNCTION("""COMPUTED_VALUE"""),"Series 4")</f>
        <v>Series 4</v>
      </c>
      <c r="H64" s="1" t="s">
        <v>71</v>
      </c>
      <c r="I64" s="1" t="s">
        <v>132</v>
      </c>
      <c r="J64" s="4">
        <v>42856.0</v>
      </c>
      <c r="K64" s="1">
        <v>100.0</v>
      </c>
      <c r="L64" s="1">
        <v>100.0</v>
      </c>
      <c r="M64" s="1">
        <v>47.0</v>
      </c>
      <c r="N64" s="6" t="str">
        <f t="shared" si="1"/>
        <v>Memorychain🇯🇵</v>
      </c>
      <c r="P64" s="6" t="str">
        <f>VLOOKUP(D64,'シート2'!A:B, 2, 0)</f>
        <v>@DavinciNine</v>
      </c>
    </row>
    <row r="65">
      <c r="A65" s="1" t="s">
        <v>182</v>
      </c>
      <c r="B65" s="3" t="s">
        <v>183</v>
      </c>
      <c r="C65" s="1" t="s">
        <v>16</v>
      </c>
      <c r="D65" s="1" t="s">
        <v>76</v>
      </c>
      <c r="E65" s="1" t="s">
        <v>163</v>
      </c>
      <c r="F65" s="1" t="str">
        <f>IFERROR(__xludf.DUMMYFUNCTION("SPLIT(E65,""&gt;"")"),"Memorychain")</f>
        <v>Memorychain</v>
      </c>
      <c r="G65" s="1" t="str">
        <f>IFERROR(__xludf.DUMMYFUNCTION("""COMPUTED_VALUE"""),"Series 4")</f>
        <v>Series 4</v>
      </c>
      <c r="H65" s="1" t="s">
        <v>76</v>
      </c>
      <c r="I65" s="1" t="s">
        <v>132</v>
      </c>
      <c r="J65" s="4">
        <v>42856.0</v>
      </c>
      <c r="K65" s="1">
        <v>555.0</v>
      </c>
      <c r="L65" s="1">
        <v>555.0</v>
      </c>
      <c r="M65" s="1">
        <v>48.0</v>
      </c>
      <c r="N65" s="6" t="str">
        <f t="shared" si="1"/>
        <v>Memorychain🇯🇵</v>
      </c>
      <c r="P65" s="6" t="str">
        <f>VLOOKUP(D65,'シート2'!A:B, 2, 0)</f>
        <v>@JapepeneseMan</v>
      </c>
    </row>
    <row r="66">
      <c r="A66" s="1" t="s">
        <v>184</v>
      </c>
      <c r="B66" s="3" t="s">
        <v>185</v>
      </c>
      <c r="C66" s="1" t="s">
        <v>16</v>
      </c>
      <c r="D66" s="1" t="s">
        <v>186</v>
      </c>
      <c r="E66" s="1" t="s">
        <v>163</v>
      </c>
      <c r="F66" s="1" t="str">
        <f>IFERROR(__xludf.DUMMYFUNCTION("SPLIT(E66,""&gt;"")"),"Memorychain")</f>
        <v>Memorychain</v>
      </c>
      <c r="G66" s="1" t="str">
        <f>IFERROR(__xludf.DUMMYFUNCTION("""COMPUTED_VALUE"""),"Series 4")</f>
        <v>Series 4</v>
      </c>
      <c r="H66" s="1" t="s">
        <v>186</v>
      </c>
      <c r="I66" s="1" t="s">
        <v>132</v>
      </c>
      <c r="J66" s="4">
        <v>42856.0</v>
      </c>
      <c r="K66" s="1">
        <v>500.0</v>
      </c>
      <c r="L66" s="1">
        <v>500.0</v>
      </c>
      <c r="M66" s="1">
        <v>49.0</v>
      </c>
      <c r="N66" s="6" t="str">
        <f t="shared" si="1"/>
        <v>Memorychain🇯🇵</v>
      </c>
      <c r="P66" s="6" t="str">
        <f>VLOOKUP(D66,'シート2'!A:B, 2, 0)</f>
        <v>@x0xb0x1</v>
      </c>
    </row>
    <row r="67">
      <c r="A67" s="1" t="s">
        <v>187</v>
      </c>
      <c r="B67" s="3" t="s">
        <v>188</v>
      </c>
      <c r="C67" s="1" t="s">
        <v>16</v>
      </c>
      <c r="D67" s="1" t="s">
        <v>189</v>
      </c>
      <c r="E67" s="1" t="s">
        <v>163</v>
      </c>
      <c r="F67" s="1" t="str">
        <f>IFERROR(__xludf.DUMMYFUNCTION("SPLIT(E67,""&gt;"")"),"Memorychain")</f>
        <v>Memorychain</v>
      </c>
      <c r="G67" s="1" t="str">
        <f>IFERROR(__xludf.DUMMYFUNCTION("""COMPUTED_VALUE"""),"Series 4")</f>
        <v>Series 4</v>
      </c>
      <c r="H67" s="1" t="s">
        <v>189</v>
      </c>
      <c r="I67" s="1" t="s">
        <v>132</v>
      </c>
      <c r="J67" s="4">
        <v>42856.0</v>
      </c>
      <c r="K67" s="1">
        <v>1300.0</v>
      </c>
      <c r="L67" s="1">
        <v>1300.0</v>
      </c>
      <c r="M67" s="1">
        <v>50.0</v>
      </c>
      <c r="N67" s="6" t="str">
        <f t="shared" si="1"/>
        <v>Memorychain🇯🇵</v>
      </c>
      <c r="P67" s="6" t="str">
        <f>VLOOKUP(D67,'シート2'!A:B, 2, 0)</f>
        <v>@ethereumon</v>
      </c>
    </row>
    <row r="68">
      <c r="A68" s="1" t="s">
        <v>190</v>
      </c>
      <c r="B68" s="3" t="s">
        <v>191</v>
      </c>
      <c r="C68" s="1" t="s">
        <v>16</v>
      </c>
      <c r="D68" s="1" t="s">
        <v>123</v>
      </c>
      <c r="E68" s="1" t="s">
        <v>163</v>
      </c>
      <c r="F68" s="1" t="str">
        <f>IFERROR(__xludf.DUMMYFUNCTION("SPLIT(E68,""&gt;"")"),"Memorychain")</f>
        <v>Memorychain</v>
      </c>
      <c r="G68" s="1" t="str">
        <f>IFERROR(__xludf.DUMMYFUNCTION("""COMPUTED_VALUE"""),"Series 4")</f>
        <v>Series 4</v>
      </c>
      <c r="H68" s="1" t="s">
        <v>123</v>
      </c>
      <c r="I68" s="1" t="s">
        <v>132</v>
      </c>
      <c r="J68" s="4">
        <v>42856.0</v>
      </c>
      <c r="K68" s="1">
        <v>100.0</v>
      </c>
      <c r="L68" s="1">
        <v>100.0</v>
      </c>
      <c r="M68" s="1">
        <v>51.0</v>
      </c>
      <c r="N68" s="6" t="str">
        <f t="shared" si="1"/>
        <v>Memorychain🇯🇵</v>
      </c>
      <c r="P68" s="6" t="str">
        <f>VLOOKUP(D68,'シート2'!A:B, 2, 0)</f>
        <v>@kassy_nara</v>
      </c>
    </row>
    <row r="69">
      <c r="A69" s="1" t="s">
        <v>192</v>
      </c>
      <c r="B69" s="3" t="s">
        <v>193</v>
      </c>
      <c r="C69" s="1" t="s">
        <v>16</v>
      </c>
      <c r="D69" s="2" t="s">
        <v>66</v>
      </c>
      <c r="E69" s="1" t="s">
        <v>163</v>
      </c>
      <c r="F69" s="1" t="str">
        <f>IFERROR(__xludf.DUMMYFUNCTION("SPLIT(E69,""&gt;"")"),"Memorychain")</f>
        <v>Memorychain</v>
      </c>
      <c r="G69" s="1" t="str">
        <f>IFERROR(__xludf.DUMMYFUNCTION("""COMPUTED_VALUE"""),"Series 4")</f>
        <v>Series 4</v>
      </c>
      <c r="H69" s="1" t="s">
        <v>66</v>
      </c>
      <c r="I69" s="1" t="s">
        <v>132</v>
      </c>
      <c r="J69" s="4">
        <v>42856.0</v>
      </c>
      <c r="K69" s="1">
        <v>2014.0</v>
      </c>
      <c r="L69" s="1">
        <v>2014.0</v>
      </c>
      <c r="M69" s="1">
        <v>52.0</v>
      </c>
      <c r="N69" s="6" t="str">
        <f t="shared" si="1"/>
        <v>Memorychain🇯🇵</v>
      </c>
      <c r="P69" s="6" t="str">
        <f>VLOOKUP(D69,'シート2'!A:B, 2, 0)</f>
        <v>@nemkd12</v>
      </c>
    </row>
    <row r="70">
      <c r="A70" s="1" t="s">
        <v>194</v>
      </c>
      <c r="B70" s="3" t="s">
        <v>195</v>
      </c>
      <c r="C70" s="1" t="s">
        <v>16</v>
      </c>
      <c r="D70" s="1" t="s">
        <v>84</v>
      </c>
      <c r="E70" s="1" t="s">
        <v>163</v>
      </c>
      <c r="F70" s="1" t="str">
        <f>IFERROR(__xludf.DUMMYFUNCTION("SPLIT(E70,""&gt;"")"),"Memorychain")</f>
        <v>Memorychain</v>
      </c>
      <c r="G70" s="1" t="str">
        <f>IFERROR(__xludf.DUMMYFUNCTION("""COMPUTED_VALUE"""),"Series 4")</f>
        <v>Series 4</v>
      </c>
      <c r="H70" s="1" t="s">
        <v>84</v>
      </c>
      <c r="I70" s="1" t="s">
        <v>132</v>
      </c>
      <c r="J70" s="4">
        <v>42856.0</v>
      </c>
      <c r="K70" s="1">
        <v>1000.0</v>
      </c>
      <c r="L70" s="1">
        <v>1000.0</v>
      </c>
      <c r="M70" s="1">
        <v>53.0</v>
      </c>
      <c r="N70" s="6" t="str">
        <f t="shared" si="1"/>
        <v>Memorychain🇯🇵</v>
      </c>
      <c r="P70" s="6" t="str">
        <f>VLOOKUP(D70,'シート2'!A:B, 2, 0)</f>
        <v>@aria_minase</v>
      </c>
    </row>
    <row r="71">
      <c r="A71" s="1" t="s">
        <v>196</v>
      </c>
      <c r="B71" s="3" t="s">
        <v>197</v>
      </c>
      <c r="C71" s="1" t="s">
        <v>16</v>
      </c>
      <c r="D71" s="1" t="s">
        <v>123</v>
      </c>
      <c r="E71" s="1" t="s">
        <v>198</v>
      </c>
      <c r="F71" s="1" t="str">
        <f>IFERROR(__xludf.DUMMYFUNCTION("SPLIT(E71,""&gt;"")"),"Memorychain")</f>
        <v>Memorychain</v>
      </c>
      <c r="G71" s="1" t="str">
        <f>IFERROR(__xludf.DUMMYFUNCTION("""COMPUTED_VALUE"""),"Series 5")</f>
        <v>Series 5</v>
      </c>
      <c r="H71" s="1" t="s">
        <v>123</v>
      </c>
      <c r="I71" s="1" t="s">
        <v>199</v>
      </c>
      <c r="J71" s="4">
        <v>42887.0</v>
      </c>
      <c r="K71" s="1">
        <v>100.0</v>
      </c>
      <c r="L71" s="1">
        <v>100.0</v>
      </c>
      <c r="M71" s="1">
        <v>54.0</v>
      </c>
      <c r="N71" s="6" t="str">
        <f t="shared" si="1"/>
        <v>Memorychain🇯🇵</v>
      </c>
      <c r="P71" s="6" t="str">
        <f>VLOOKUP(D71,'シート2'!A:B, 2, 0)</f>
        <v>@kassy_nara</v>
      </c>
    </row>
    <row r="72">
      <c r="A72" s="1" t="s">
        <v>200</v>
      </c>
      <c r="B72" s="3" t="s">
        <v>201</v>
      </c>
      <c r="C72" s="1" t="s">
        <v>16</v>
      </c>
      <c r="D72" s="1" t="s">
        <v>123</v>
      </c>
      <c r="E72" s="1" t="s">
        <v>198</v>
      </c>
      <c r="F72" s="1" t="str">
        <f>IFERROR(__xludf.DUMMYFUNCTION("SPLIT(E72,""&gt;"")"),"Memorychain")</f>
        <v>Memorychain</v>
      </c>
      <c r="G72" s="1" t="str">
        <f>IFERROR(__xludf.DUMMYFUNCTION("""COMPUTED_VALUE"""),"Series 5")</f>
        <v>Series 5</v>
      </c>
      <c r="H72" s="1" t="s">
        <v>123</v>
      </c>
      <c r="I72" s="1" t="s">
        <v>199</v>
      </c>
      <c r="J72" s="4">
        <v>42887.0</v>
      </c>
      <c r="K72" s="1">
        <v>100.0</v>
      </c>
      <c r="L72" s="1">
        <v>100.0</v>
      </c>
      <c r="M72" s="1">
        <v>55.0</v>
      </c>
      <c r="N72" s="6" t="str">
        <f t="shared" si="1"/>
        <v>Memorychain🇯🇵</v>
      </c>
      <c r="P72" s="6" t="str">
        <f>VLOOKUP(D72,'シート2'!A:B, 2, 0)</f>
        <v>@kassy_nara</v>
      </c>
    </row>
    <row r="73">
      <c r="A73" s="1" t="s">
        <v>202</v>
      </c>
      <c r="B73" s="3" t="s">
        <v>203</v>
      </c>
      <c r="C73" s="1" t="s">
        <v>16</v>
      </c>
      <c r="D73" s="1" t="s">
        <v>204</v>
      </c>
      <c r="E73" s="1" t="s">
        <v>198</v>
      </c>
      <c r="F73" s="1" t="str">
        <f>IFERROR(__xludf.DUMMYFUNCTION("SPLIT(E73,""&gt;"")"),"Memorychain")</f>
        <v>Memorychain</v>
      </c>
      <c r="G73" s="1" t="str">
        <f>IFERROR(__xludf.DUMMYFUNCTION("""COMPUTED_VALUE"""),"Series 5")</f>
        <v>Series 5</v>
      </c>
      <c r="H73" s="1" t="s">
        <v>204</v>
      </c>
      <c r="I73" s="1" t="s">
        <v>199</v>
      </c>
      <c r="J73" s="4">
        <v>42887.0</v>
      </c>
      <c r="K73" s="1">
        <v>1000.0</v>
      </c>
      <c r="L73" s="1">
        <v>1000.0</v>
      </c>
      <c r="M73" s="1">
        <v>56.0</v>
      </c>
      <c r="N73" s="6" t="str">
        <f t="shared" si="1"/>
        <v>Memorychain🇯🇵</v>
      </c>
      <c r="P73" s="6" t="str">
        <f>VLOOKUP(D73,'シート2'!A:B, 2, 0)</f>
        <v>PJ</v>
      </c>
    </row>
    <row r="74">
      <c r="A74" s="1" t="s">
        <v>205</v>
      </c>
      <c r="B74" s="3" t="s">
        <v>206</v>
      </c>
      <c r="C74" s="1" t="s">
        <v>16</v>
      </c>
      <c r="D74" s="1" t="s">
        <v>95</v>
      </c>
      <c r="E74" s="1" t="s">
        <v>198</v>
      </c>
      <c r="F74" s="1" t="str">
        <f>IFERROR(__xludf.DUMMYFUNCTION("SPLIT(E74,""&gt;"")"),"Memorychain")</f>
        <v>Memorychain</v>
      </c>
      <c r="G74" s="1" t="str">
        <f>IFERROR(__xludf.DUMMYFUNCTION("""COMPUTED_VALUE"""),"Series 5")</f>
        <v>Series 5</v>
      </c>
      <c r="H74" s="1" t="s">
        <v>95</v>
      </c>
      <c r="I74" s="1" t="s">
        <v>199</v>
      </c>
      <c r="J74" s="4">
        <v>42887.0</v>
      </c>
      <c r="K74" s="1">
        <v>100.0</v>
      </c>
      <c r="L74" s="1">
        <v>100.0</v>
      </c>
      <c r="M74" s="1">
        <v>57.0</v>
      </c>
      <c r="N74" s="6" t="str">
        <f t="shared" si="1"/>
        <v>Memorychain🇯🇵</v>
      </c>
      <c r="P74" s="6" t="str">
        <f>VLOOKUP(D74,'シート2'!A:B, 2, 0)</f>
        <v>@SmartSpaceDogs</v>
      </c>
    </row>
    <row r="75">
      <c r="A75" s="1" t="s">
        <v>207</v>
      </c>
      <c r="B75" s="3" t="s">
        <v>208</v>
      </c>
      <c r="C75" s="1" t="s">
        <v>16</v>
      </c>
      <c r="D75" s="1" t="s">
        <v>84</v>
      </c>
      <c r="E75" s="1" t="s">
        <v>198</v>
      </c>
      <c r="F75" s="1" t="str">
        <f>IFERROR(__xludf.DUMMYFUNCTION("SPLIT(E75,""&gt;"")"),"Memorychain")</f>
        <v>Memorychain</v>
      </c>
      <c r="G75" s="1" t="str">
        <f>IFERROR(__xludf.DUMMYFUNCTION("""COMPUTED_VALUE"""),"Series 5")</f>
        <v>Series 5</v>
      </c>
      <c r="H75" s="1" t="s">
        <v>84</v>
      </c>
      <c r="I75" s="1" t="s">
        <v>199</v>
      </c>
      <c r="J75" s="4">
        <v>42887.0</v>
      </c>
      <c r="K75" s="1">
        <v>1000.0</v>
      </c>
      <c r="L75" s="1">
        <v>1000.0</v>
      </c>
      <c r="M75" s="1">
        <v>58.0</v>
      </c>
      <c r="N75" s="6" t="str">
        <f t="shared" si="1"/>
        <v>Memorychain🇯🇵</v>
      </c>
      <c r="P75" s="6" t="str">
        <f>VLOOKUP(D75,'シート2'!A:B, 2, 0)</f>
        <v>@aria_minase</v>
      </c>
    </row>
    <row r="76">
      <c r="A76" s="1" t="s">
        <v>209</v>
      </c>
      <c r="B76" s="3" t="s">
        <v>210</v>
      </c>
      <c r="C76" s="1" t="s">
        <v>16</v>
      </c>
      <c r="D76" s="1" t="s">
        <v>84</v>
      </c>
      <c r="E76" s="1" t="s">
        <v>198</v>
      </c>
      <c r="F76" s="1" t="str">
        <f>IFERROR(__xludf.DUMMYFUNCTION("SPLIT(E76,""&gt;"")"),"Memorychain")</f>
        <v>Memorychain</v>
      </c>
      <c r="G76" s="1" t="str">
        <f>IFERROR(__xludf.DUMMYFUNCTION("""COMPUTED_VALUE"""),"Series 5")</f>
        <v>Series 5</v>
      </c>
      <c r="H76" s="1" t="s">
        <v>84</v>
      </c>
      <c r="I76" s="1" t="s">
        <v>199</v>
      </c>
      <c r="J76" s="4">
        <v>42887.0</v>
      </c>
      <c r="K76" s="1">
        <v>1000.0</v>
      </c>
      <c r="L76" s="1">
        <v>1000.0</v>
      </c>
      <c r="M76" s="1">
        <v>59.0</v>
      </c>
      <c r="N76" s="6" t="str">
        <f t="shared" si="1"/>
        <v>Memorychain🇯🇵</v>
      </c>
      <c r="P76" s="6" t="str">
        <f>VLOOKUP(D76,'シート2'!A:B, 2, 0)</f>
        <v>@aria_minase</v>
      </c>
    </row>
    <row r="77">
      <c r="A77" s="1" t="s">
        <v>211</v>
      </c>
      <c r="B77" s="3" t="s">
        <v>212</v>
      </c>
      <c r="C77" s="1" t="s">
        <v>16</v>
      </c>
      <c r="D77" s="1" t="s">
        <v>53</v>
      </c>
      <c r="E77" s="1" t="s">
        <v>198</v>
      </c>
      <c r="F77" s="1" t="str">
        <f>IFERROR(__xludf.DUMMYFUNCTION("SPLIT(E77,""&gt;"")"),"Memorychain")</f>
        <v>Memorychain</v>
      </c>
      <c r="G77" s="1" t="str">
        <f>IFERROR(__xludf.DUMMYFUNCTION("""COMPUTED_VALUE"""),"Series 5")</f>
        <v>Series 5</v>
      </c>
      <c r="H77" s="1" t="s">
        <v>53</v>
      </c>
      <c r="I77" s="1" t="s">
        <v>199</v>
      </c>
      <c r="J77" s="4">
        <v>42887.0</v>
      </c>
      <c r="K77" s="1">
        <v>150.0</v>
      </c>
      <c r="L77" s="1">
        <v>150.0</v>
      </c>
      <c r="M77" s="1">
        <v>60.0</v>
      </c>
      <c r="N77" s="6" t="str">
        <f t="shared" si="1"/>
        <v>Memorychain🇯🇵</v>
      </c>
      <c r="P77" s="6" t="str">
        <f>VLOOKUP(D77,'シート2'!A:B, 2, 0)</f>
        <v>@Taky_Taky_</v>
      </c>
    </row>
    <row r="78">
      <c r="A78" s="1" t="s">
        <v>213</v>
      </c>
      <c r="B78" s="3" t="s">
        <v>214</v>
      </c>
      <c r="C78" s="1" t="s">
        <v>16</v>
      </c>
      <c r="D78" s="1" t="s">
        <v>168</v>
      </c>
      <c r="E78" s="1" t="s">
        <v>198</v>
      </c>
      <c r="F78" s="1" t="str">
        <f>IFERROR(__xludf.DUMMYFUNCTION("SPLIT(E78,""&gt;"")"),"Memorychain")</f>
        <v>Memorychain</v>
      </c>
      <c r="G78" s="1" t="str">
        <f>IFERROR(__xludf.DUMMYFUNCTION("""COMPUTED_VALUE"""),"Series 5")</f>
        <v>Series 5</v>
      </c>
      <c r="H78" s="1" t="s">
        <v>168</v>
      </c>
      <c r="I78" s="1" t="s">
        <v>199</v>
      </c>
      <c r="J78" s="4">
        <v>42887.0</v>
      </c>
      <c r="K78" s="1">
        <v>300.0</v>
      </c>
      <c r="L78" s="1">
        <v>100.0</v>
      </c>
      <c r="M78" s="1">
        <v>61.0</v>
      </c>
      <c r="N78" s="6" t="str">
        <f t="shared" si="1"/>
        <v>Memorychain🇯🇵</v>
      </c>
      <c r="P78" s="6" t="str">
        <f>VLOOKUP(D78,'シート2'!A:B, 2, 0)</f>
        <v>@Whiskey_bonbon_</v>
      </c>
    </row>
    <row r="79">
      <c r="A79" s="1" t="s">
        <v>215</v>
      </c>
      <c r="B79" s="3" t="s">
        <v>216</v>
      </c>
      <c r="C79" s="1" t="s">
        <v>16</v>
      </c>
      <c r="D79" s="1" t="s">
        <v>168</v>
      </c>
      <c r="E79" s="1" t="s">
        <v>198</v>
      </c>
      <c r="F79" s="1" t="str">
        <f>IFERROR(__xludf.DUMMYFUNCTION("SPLIT(E79,""&gt;"")"),"Memorychain")</f>
        <v>Memorychain</v>
      </c>
      <c r="G79" s="1" t="str">
        <f>IFERROR(__xludf.DUMMYFUNCTION("""COMPUTED_VALUE"""),"Series 5")</f>
        <v>Series 5</v>
      </c>
      <c r="H79" s="1" t="s">
        <v>168</v>
      </c>
      <c r="I79" s="1" t="s">
        <v>199</v>
      </c>
      <c r="J79" s="4">
        <v>42887.0</v>
      </c>
      <c r="K79" s="1">
        <v>300.0</v>
      </c>
      <c r="L79" s="1">
        <v>100.0</v>
      </c>
      <c r="M79" s="1">
        <v>62.0</v>
      </c>
      <c r="N79" s="6" t="str">
        <f t="shared" si="1"/>
        <v>Memorychain🇯🇵</v>
      </c>
      <c r="P79" s="6" t="str">
        <f>VLOOKUP(D79,'シート2'!A:B, 2, 0)</f>
        <v>@Whiskey_bonbon_</v>
      </c>
    </row>
    <row r="80">
      <c r="A80" s="1" t="s">
        <v>217</v>
      </c>
      <c r="B80" s="3" t="s">
        <v>218</v>
      </c>
      <c r="C80" s="1" t="s">
        <v>16</v>
      </c>
      <c r="D80" s="1" t="s">
        <v>95</v>
      </c>
      <c r="E80" s="1" t="s">
        <v>198</v>
      </c>
      <c r="F80" s="1" t="str">
        <f>IFERROR(__xludf.DUMMYFUNCTION("SPLIT(E80,""&gt;"")"),"Memorychain")</f>
        <v>Memorychain</v>
      </c>
      <c r="G80" s="1" t="str">
        <f>IFERROR(__xludf.DUMMYFUNCTION("""COMPUTED_VALUE"""),"Series 5")</f>
        <v>Series 5</v>
      </c>
      <c r="H80" s="1" t="s">
        <v>95</v>
      </c>
      <c r="I80" s="1" t="s">
        <v>199</v>
      </c>
      <c r="J80" s="4">
        <v>42887.0</v>
      </c>
      <c r="K80" s="1">
        <v>100.0</v>
      </c>
      <c r="L80" s="1">
        <v>100.0</v>
      </c>
      <c r="M80" s="1">
        <v>63.0</v>
      </c>
      <c r="N80" s="6" t="str">
        <f t="shared" si="1"/>
        <v>Memorychain🇯🇵</v>
      </c>
      <c r="P80" s="6" t="str">
        <f>VLOOKUP(D80,'シート2'!A:B, 2, 0)</f>
        <v>@SmartSpaceDogs</v>
      </c>
    </row>
    <row r="81">
      <c r="A81" s="1" t="s">
        <v>219</v>
      </c>
      <c r="B81" s="3" t="s">
        <v>220</v>
      </c>
      <c r="C81" s="1" t="s">
        <v>16</v>
      </c>
      <c r="D81" s="1" t="s">
        <v>79</v>
      </c>
      <c r="E81" s="1" t="s">
        <v>198</v>
      </c>
      <c r="F81" s="1" t="str">
        <f>IFERROR(__xludf.DUMMYFUNCTION("SPLIT(E81,""&gt;"")"),"Memorychain")</f>
        <v>Memorychain</v>
      </c>
      <c r="G81" s="1" t="str">
        <f>IFERROR(__xludf.DUMMYFUNCTION("""COMPUTED_VALUE"""),"Series 5")</f>
        <v>Series 5</v>
      </c>
      <c r="H81" s="1" t="s">
        <v>79</v>
      </c>
      <c r="I81" s="1" t="s">
        <v>199</v>
      </c>
      <c r="J81" s="4">
        <v>42887.0</v>
      </c>
      <c r="K81" s="1">
        <v>300.0</v>
      </c>
      <c r="L81" s="1">
        <v>300.0</v>
      </c>
      <c r="M81" s="1">
        <v>64.0</v>
      </c>
      <c r="N81" s="6" t="str">
        <f t="shared" si="1"/>
        <v>Memorychain🇯🇵</v>
      </c>
      <c r="P81" s="6" t="str">
        <f>VLOOKUP(D81,'シート2'!A:B, 2, 0)</f>
        <v>@TrendStream</v>
      </c>
    </row>
    <row r="82">
      <c r="A82" s="1" t="s">
        <v>221</v>
      </c>
      <c r="B82" s="3" t="s">
        <v>222</v>
      </c>
      <c r="C82" s="1" t="s">
        <v>16</v>
      </c>
      <c r="D82" s="1" t="s">
        <v>79</v>
      </c>
      <c r="E82" s="1" t="s">
        <v>198</v>
      </c>
      <c r="F82" s="1" t="str">
        <f>IFERROR(__xludf.DUMMYFUNCTION("SPLIT(E82,""&gt;"")"),"Memorychain")</f>
        <v>Memorychain</v>
      </c>
      <c r="G82" s="1" t="str">
        <f>IFERROR(__xludf.DUMMYFUNCTION("""COMPUTED_VALUE"""),"Series 5")</f>
        <v>Series 5</v>
      </c>
      <c r="H82" s="1" t="s">
        <v>79</v>
      </c>
      <c r="I82" s="1" t="s">
        <v>199</v>
      </c>
      <c r="J82" s="4">
        <v>42887.0</v>
      </c>
      <c r="K82" s="1">
        <v>100.0</v>
      </c>
      <c r="L82" s="1">
        <v>100.0</v>
      </c>
      <c r="M82" s="1">
        <v>65.0</v>
      </c>
      <c r="N82" s="6" t="str">
        <f t="shared" si="1"/>
        <v>Memorychain🇯🇵</v>
      </c>
      <c r="P82" s="6" t="str">
        <f>VLOOKUP(D82,'シート2'!A:B, 2, 0)</f>
        <v>@TrendStream</v>
      </c>
    </row>
    <row r="83">
      <c r="A83" s="1" t="s">
        <v>223</v>
      </c>
      <c r="B83" s="3" t="s">
        <v>224</v>
      </c>
      <c r="C83" s="1" t="s">
        <v>16</v>
      </c>
      <c r="D83" s="1" t="s">
        <v>79</v>
      </c>
      <c r="E83" s="1" t="s">
        <v>198</v>
      </c>
      <c r="F83" s="1" t="str">
        <f>IFERROR(__xludf.DUMMYFUNCTION("SPLIT(E83,""&gt;"")"),"Memorychain")</f>
        <v>Memorychain</v>
      </c>
      <c r="G83" s="1" t="str">
        <f>IFERROR(__xludf.DUMMYFUNCTION("""COMPUTED_VALUE"""),"Series 5")</f>
        <v>Series 5</v>
      </c>
      <c r="H83" s="1" t="s">
        <v>79</v>
      </c>
      <c r="I83" s="1" t="s">
        <v>199</v>
      </c>
      <c r="J83" s="4">
        <v>42887.0</v>
      </c>
      <c r="K83" s="1">
        <v>100.0</v>
      </c>
      <c r="L83" s="1">
        <v>100.0</v>
      </c>
      <c r="M83" s="1">
        <v>66.0</v>
      </c>
      <c r="N83" s="6" t="str">
        <f t="shared" si="1"/>
        <v>Memorychain🇯🇵</v>
      </c>
      <c r="P83" s="6" t="str">
        <f>VLOOKUP(D83,'シート2'!A:B, 2, 0)</f>
        <v>@TrendStream</v>
      </c>
    </row>
    <row r="84">
      <c r="A84" s="1" t="s">
        <v>225</v>
      </c>
      <c r="B84" s="3" t="s">
        <v>226</v>
      </c>
      <c r="C84" s="1" t="s">
        <v>16</v>
      </c>
      <c r="D84" s="1" t="s">
        <v>227</v>
      </c>
      <c r="E84" s="1" t="s">
        <v>198</v>
      </c>
      <c r="F84" s="1" t="str">
        <f>IFERROR(__xludf.DUMMYFUNCTION("SPLIT(E84,""&gt;"")"),"Memorychain")</f>
        <v>Memorychain</v>
      </c>
      <c r="G84" s="1" t="str">
        <f>IFERROR(__xludf.DUMMYFUNCTION("""COMPUTED_VALUE"""),"Series 5")</f>
        <v>Series 5</v>
      </c>
      <c r="H84" s="1" t="s">
        <v>227</v>
      </c>
      <c r="I84" s="1" t="s">
        <v>199</v>
      </c>
      <c r="J84" s="4">
        <v>42887.0</v>
      </c>
      <c r="K84" s="1">
        <v>1000.0</v>
      </c>
      <c r="L84" s="1">
        <v>1000.0</v>
      </c>
      <c r="M84" s="1">
        <v>67.0</v>
      </c>
      <c r="N84" s="6" t="str">
        <f t="shared" si="1"/>
        <v>Memorychain🇯🇵</v>
      </c>
      <c r="P84" s="6" t="str">
        <f>VLOOKUP(D84,'シート2'!A:B, 2, 0)</f>
        <v>メルキャット</v>
      </c>
    </row>
    <row r="85">
      <c r="A85" s="1" t="s">
        <v>228</v>
      </c>
      <c r="B85" s="3" t="s">
        <v>229</v>
      </c>
      <c r="C85" s="1" t="s">
        <v>16</v>
      </c>
      <c r="D85" s="1" t="s">
        <v>146</v>
      </c>
      <c r="E85" s="1" t="s">
        <v>198</v>
      </c>
      <c r="F85" s="1" t="str">
        <f>IFERROR(__xludf.DUMMYFUNCTION("SPLIT(E85,""&gt;"")"),"Memorychain")</f>
        <v>Memorychain</v>
      </c>
      <c r="G85" s="1" t="str">
        <f>IFERROR(__xludf.DUMMYFUNCTION("""COMPUTED_VALUE"""),"Series 5")</f>
        <v>Series 5</v>
      </c>
      <c r="H85" s="1" t="s">
        <v>146</v>
      </c>
      <c r="I85" s="1" t="s">
        <v>199</v>
      </c>
      <c r="J85" s="4">
        <v>42887.0</v>
      </c>
      <c r="K85" s="1">
        <v>500.0</v>
      </c>
      <c r="L85" s="1">
        <v>500.0</v>
      </c>
      <c r="M85" s="1">
        <v>68.0</v>
      </c>
      <c r="N85" s="6" t="str">
        <f t="shared" si="1"/>
        <v>Memorychain🇯🇵</v>
      </c>
      <c r="P85" s="6" t="str">
        <f>VLOOKUP(D85,'シート2'!A:B, 2, 0)</f>
        <v>VeryLongUnagi</v>
      </c>
    </row>
    <row r="86">
      <c r="A86" s="1" t="s">
        <v>230</v>
      </c>
      <c r="B86" s="3" t="s">
        <v>231</v>
      </c>
      <c r="C86" s="1" t="s">
        <v>16</v>
      </c>
      <c r="D86" s="1" t="s">
        <v>71</v>
      </c>
      <c r="E86" s="1" t="s">
        <v>198</v>
      </c>
      <c r="F86" s="1" t="str">
        <f>IFERROR(__xludf.DUMMYFUNCTION("SPLIT(E86,""&gt;"")"),"Memorychain")</f>
        <v>Memorychain</v>
      </c>
      <c r="G86" s="1" t="str">
        <f>IFERROR(__xludf.DUMMYFUNCTION("""COMPUTED_VALUE"""),"Series 5")</f>
        <v>Series 5</v>
      </c>
      <c r="H86" s="1" t="s">
        <v>71</v>
      </c>
      <c r="I86" s="1" t="s">
        <v>199</v>
      </c>
      <c r="J86" s="4">
        <v>42887.0</v>
      </c>
      <c r="K86" s="1">
        <v>100.0</v>
      </c>
      <c r="L86" s="1">
        <v>100.0</v>
      </c>
      <c r="M86" s="1">
        <v>69.0</v>
      </c>
      <c r="N86" s="6" t="str">
        <f t="shared" si="1"/>
        <v>Memorychain🇯🇵</v>
      </c>
      <c r="P86" s="6" t="str">
        <f>VLOOKUP(D86,'シート2'!A:B, 2, 0)</f>
        <v>@DavinciNine</v>
      </c>
    </row>
    <row r="87">
      <c r="A87" s="1" t="s">
        <v>232</v>
      </c>
      <c r="B87" s="3" t="s">
        <v>233</v>
      </c>
      <c r="C87" s="1" t="s">
        <v>16</v>
      </c>
      <c r="D87" s="1" t="s">
        <v>234</v>
      </c>
      <c r="E87" s="1" t="s">
        <v>198</v>
      </c>
      <c r="F87" s="1" t="str">
        <f>IFERROR(__xludf.DUMMYFUNCTION("SPLIT(E87,""&gt;"")"),"Memorychain")</f>
        <v>Memorychain</v>
      </c>
      <c r="G87" s="1" t="str">
        <f>IFERROR(__xludf.DUMMYFUNCTION("""COMPUTED_VALUE"""),"Series 5")</f>
        <v>Series 5</v>
      </c>
      <c r="H87" s="1" t="s">
        <v>234</v>
      </c>
      <c r="I87" s="1" t="s">
        <v>199</v>
      </c>
      <c r="J87" s="4">
        <v>42887.0</v>
      </c>
      <c r="K87" s="1">
        <v>100.0</v>
      </c>
      <c r="L87" s="1">
        <v>100.0</v>
      </c>
      <c r="M87" s="1">
        <v>70.0</v>
      </c>
      <c r="N87" s="6" t="str">
        <f t="shared" si="1"/>
        <v>Memorychain🇯🇵</v>
      </c>
      <c r="P87" s="6" t="str">
        <f>VLOOKUP(D87,'シート2'!A:B, 2, 0)</f>
        <v>栗饅頭</v>
      </c>
    </row>
    <row r="88">
      <c r="A88" s="1" t="s">
        <v>235</v>
      </c>
      <c r="B88" s="3" t="s">
        <v>236</v>
      </c>
      <c r="C88" s="1" t="s">
        <v>16</v>
      </c>
      <c r="D88" s="1" t="s">
        <v>237</v>
      </c>
      <c r="E88" s="1" t="s">
        <v>238</v>
      </c>
      <c r="F88" s="1" t="str">
        <f>IFERROR(__xludf.DUMMYFUNCTION("SPLIT(E88,""&gt;"")"),"Memorychain")</f>
        <v>Memorychain</v>
      </c>
      <c r="G88" s="1" t="str">
        <f>IFERROR(__xludf.DUMMYFUNCTION("""COMPUTED_VALUE"""),"Series 6")</f>
        <v>Series 6</v>
      </c>
      <c r="H88" s="1" t="s">
        <v>237</v>
      </c>
      <c r="I88" s="1" t="s">
        <v>199</v>
      </c>
      <c r="J88" s="4">
        <v>42887.0</v>
      </c>
      <c r="K88" s="1">
        <v>222.0</v>
      </c>
      <c r="L88" s="1">
        <v>222.0</v>
      </c>
      <c r="M88" s="1">
        <v>71.0</v>
      </c>
      <c r="N88" s="6" t="str">
        <f t="shared" si="1"/>
        <v>Memorychain🇯🇵</v>
      </c>
      <c r="P88" s="6" t="str">
        <f>VLOOKUP(D88,'シート2'!A:B, 2, 0)</f>
        <v>五所川原銭夫</v>
      </c>
    </row>
    <row r="89">
      <c r="A89" s="1" t="s">
        <v>239</v>
      </c>
      <c r="B89" s="3" t="s">
        <v>240</v>
      </c>
      <c r="C89" s="1" t="s">
        <v>16</v>
      </c>
      <c r="D89" s="1" t="s">
        <v>76</v>
      </c>
      <c r="E89" s="1" t="s">
        <v>238</v>
      </c>
      <c r="F89" s="1" t="str">
        <f>IFERROR(__xludf.DUMMYFUNCTION("SPLIT(E89,""&gt;"")"),"Memorychain")</f>
        <v>Memorychain</v>
      </c>
      <c r="G89" s="1" t="str">
        <f>IFERROR(__xludf.DUMMYFUNCTION("""COMPUTED_VALUE"""),"Series 6")</f>
        <v>Series 6</v>
      </c>
      <c r="H89" s="1" t="s">
        <v>76</v>
      </c>
      <c r="I89" s="1" t="s">
        <v>199</v>
      </c>
      <c r="J89" s="4">
        <v>42887.0</v>
      </c>
      <c r="K89" s="1">
        <v>555.0</v>
      </c>
      <c r="L89" s="1">
        <v>555.0</v>
      </c>
      <c r="M89" s="1">
        <v>72.0</v>
      </c>
      <c r="N89" s="6" t="str">
        <f t="shared" si="1"/>
        <v>Memorychain🇯🇵</v>
      </c>
      <c r="P89" s="6" t="str">
        <f>VLOOKUP(D89,'シート2'!A:B, 2, 0)</f>
        <v>@JapepeneseMan</v>
      </c>
    </row>
    <row r="90">
      <c r="A90" s="1" t="s">
        <v>241</v>
      </c>
      <c r="B90" s="3" t="s">
        <v>242</v>
      </c>
      <c r="C90" s="1" t="s">
        <v>16</v>
      </c>
      <c r="D90" s="1" t="s">
        <v>76</v>
      </c>
      <c r="E90" s="1" t="s">
        <v>238</v>
      </c>
      <c r="F90" s="1" t="str">
        <f>IFERROR(__xludf.DUMMYFUNCTION("SPLIT(E90,""&gt;"")"),"Memorychain")</f>
        <v>Memorychain</v>
      </c>
      <c r="G90" s="1" t="str">
        <f>IFERROR(__xludf.DUMMYFUNCTION("""COMPUTED_VALUE"""),"Series 6")</f>
        <v>Series 6</v>
      </c>
      <c r="H90" s="1" t="s">
        <v>76</v>
      </c>
      <c r="I90" s="1" t="s">
        <v>199</v>
      </c>
      <c r="J90" s="4">
        <v>42887.0</v>
      </c>
      <c r="K90" s="1">
        <v>555.0</v>
      </c>
      <c r="L90" s="1">
        <v>555.0</v>
      </c>
      <c r="M90" s="1">
        <v>73.0</v>
      </c>
      <c r="N90" s="6" t="str">
        <f t="shared" si="1"/>
        <v>Memorychain🇯🇵</v>
      </c>
      <c r="P90" s="6" t="str">
        <f>VLOOKUP(D90,'シート2'!A:B, 2, 0)</f>
        <v>@JapepeneseMan</v>
      </c>
    </row>
    <row r="91">
      <c r="A91" s="1" t="s">
        <v>243</v>
      </c>
      <c r="B91" s="3" t="s">
        <v>244</v>
      </c>
      <c r="C91" s="1" t="s">
        <v>16</v>
      </c>
      <c r="D91" s="1" t="s">
        <v>168</v>
      </c>
      <c r="E91" s="1" t="s">
        <v>238</v>
      </c>
      <c r="F91" s="1" t="str">
        <f>IFERROR(__xludf.DUMMYFUNCTION("SPLIT(E91,""&gt;"")"),"Memorychain")</f>
        <v>Memorychain</v>
      </c>
      <c r="G91" s="1" t="str">
        <f>IFERROR(__xludf.DUMMYFUNCTION("""COMPUTED_VALUE"""),"Series 6")</f>
        <v>Series 6</v>
      </c>
      <c r="H91" s="1" t="s">
        <v>168</v>
      </c>
      <c r="I91" s="1" t="s">
        <v>199</v>
      </c>
      <c r="J91" s="4">
        <v>42887.0</v>
      </c>
      <c r="K91" s="1">
        <v>300.0</v>
      </c>
      <c r="L91" s="1">
        <v>100.0</v>
      </c>
      <c r="M91" s="1">
        <v>74.0</v>
      </c>
      <c r="N91" s="6" t="str">
        <f t="shared" si="1"/>
        <v>Memorychain🇯🇵</v>
      </c>
      <c r="P91" s="6" t="str">
        <f>VLOOKUP(D91,'シート2'!A:B, 2, 0)</f>
        <v>@Whiskey_bonbon_</v>
      </c>
    </row>
    <row r="92">
      <c r="A92" s="1" t="s">
        <v>245</v>
      </c>
      <c r="B92" s="3" t="s">
        <v>246</v>
      </c>
      <c r="C92" s="1" t="s">
        <v>16</v>
      </c>
      <c r="D92" s="1" t="s">
        <v>247</v>
      </c>
      <c r="E92" s="1" t="s">
        <v>238</v>
      </c>
      <c r="F92" s="1" t="str">
        <f>IFERROR(__xludf.DUMMYFUNCTION("SPLIT(E92,""&gt;"")"),"Memorychain")</f>
        <v>Memorychain</v>
      </c>
      <c r="G92" s="1" t="str">
        <f>IFERROR(__xludf.DUMMYFUNCTION("""COMPUTED_VALUE"""),"Series 6")</f>
        <v>Series 6</v>
      </c>
      <c r="H92" s="1" t="s">
        <v>247</v>
      </c>
      <c r="I92" s="1" t="s">
        <v>199</v>
      </c>
      <c r="J92" s="4">
        <v>42887.0</v>
      </c>
      <c r="K92" s="1">
        <v>300.0</v>
      </c>
      <c r="L92" s="1">
        <v>300.0</v>
      </c>
      <c r="M92" s="1">
        <v>75.0</v>
      </c>
      <c r="N92" s="6" t="str">
        <f t="shared" si="1"/>
        <v>Memorychain🇯🇵</v>
      </c>
      <c r="P92" s="6" t="str">
        <f>VLOOKUP(D92,'シート2'!A:B, 2, 0)</f>
        <v>睡眠</v>
      </c>
    </row>
    <row r="93">
      <c r="A93" s="1" t="s">
        <v>248</v>
      </c>
      <c r="B93" s="3" t="s">
        <v>249</v>
      </c>
      <c r="C93" s="1" t="s">
        <v>16</v>
      </c>
      <c r="D93" s="1" t="s">
        <v>17</v>
      </c>
      <c r="E93" s="1" t="s">
        <v>238</v>
      </c>
      <c r="F93" s="1" t="str">
        <f>IFERROR(__xludf.DUMMYFUNCTION("SPLIT(E93,""&gt;"")"),"Memorychain")</f>
        <v>Memorychain</v>
      </c>
      <c r="G93" s="1" t="str">
        <f>IFERROR(__xludf.DUMMYFUNCTION("""COMPUTED_VALUE"""),"Series 6")</f>
        <v>Series 6</v>
      </c>
      <c r="H93" s="1" t="s">
        <v>17</v>
      </c>
      <c r="I93" s="1" t="s">
        <v>199</v>
      </c>
      <c r="J93" s="4">
        <v>42887.0</v>
      </c>
      <c r="K93" s="1">
        <v>1000.0</v>
      </c>
      <c r="L93" s="1">
        <v>1000.0</v>
      </c>
      <c r="M93" s="1">
        <v>76.0</v>
      </c>
      <c r="N93" s="6" t="str">
        <f t="shared" si="1"/>
        <v>Memorychain🇯🇵</v>
      </c>
      <c r="P93" s="6" t="str">
        <f>VLOOKUP(D93,'シート2'!A:B, 2, 0)</f>
        <v>@kartanbitcoin</v>
      </c>
    </row>
    <row r="94">
      <c r="A94" s="1" t="s">
        <v>250</v>
      </c>
      <c r="B94" s="3" t="s">
        <v>251</v>
      </c>
      <c r="C94" s="1" t="s">
        <v>16</v>
      </c>
      <c r="D94" s="1" t="s">
        <v>252</v>
      </c>
      <c r="E94" s="1" t="s">
        <v>238</v>
      </c>
      <c r="F94" s="1" t="str">
        <f>IFERROR(__xludf.DUMMYFUNCTION("SPLIT(E94,""&gt;"")"),"Memorychain")</f>
        <v>Memorychain</v>
      </c>
      <c r="G94" s="1" t="str">
        <f>IFERROR(__xludf.DUMMYFUNCTION("""COMPUTED_VALUE"""),"Series 6")</f>
        <v>Series 6</v>
      </c>
      <c r="H94" s="1" t="s">
        <v>252</v>
      </c>
      <c r="I94" s="1" t="s">
        <v>199</v>
      </c>
      <c r="J94" s="4">
        <v>42887.0</v>
      </c>
      <c r="K94" s="1">
        <v>555.0</v>
      </c>
      <c r="L94" s="1">
        <v>555.0</v>
      </c>
      <c r="M94" s="1">
        <v>77.0</v>
      </c>
      <c r="N94" s="6" t="str">
        <f t="shared" si="1"/>
        <v>Memorychain🇯🇵</v>
      </c>
      <c r="P94" s="6" t="str">
        <f>VLOOKUP(D94,'シート2'!A:B, 2, 0)</f>
        <v>@7cryptocurrency</v>
      </c>
    </row>
    <row r="95">
      <c r="A95" s="1" t="s">
        <v>253</v>
      </c>
      <c r="B95" s="3" t="s">
        <v>254</v>
      </c>
      <c r="C95" s="1" t="s">
        <v>16</v>
      </c>
      <c r="D95" s="1" t="s">
        <v>255</v>
      </c>
      <c r="E95" s="1" t="s">
        <v>238</v>
      </c>
      <c r="F95" s="1" t="str">
        <f>IFERROR(__xludf.DUMMYFUNCTION("SPLIT(E95,""&gt;"")"),"Memorychain")</f>
        <v>Memorychain</v>
      </c>
      <c r="G95" s="1" t="str">
        <f>IFERROR(__xludf.DUMMYFUNCTION("""COMPUTED_VALUE"""),"Series 6")</f>
        <v>Series 6</v>
      </c>
      <c r="H95" s="1" t="s">
        <v>255</v>
      </c>
      <c r="I95" s="1" t="s">
        <v>199</v>
      </c>
      <c r="J95" s="4">
        <v>42887.0</v>
      </c>
      <c r="K95" s="1">
        <v>1000.0</v>
      </c>
      <c r="L95" s="1">
        <v>1000.0</v>
      </c>
      <c r="M95" s="1">
        <v>78.0</v>
      </c>
      <c r="N95" s="6" t="str">
        <f t="shared" si="1"/>
        <v>Memorychain🇯🇵</v>
      </c>
      <c r="P95" s="6" t="str">
        <f>VLOOKUP(D95,'シート2'!A:B, 2, 0)</f>
        <v>チノ</v>
      </c>
    </row>
    <row r="96">
      <c r="A96" s="1" t="s">
        <v>256</v>
      </c>
      <c r="B96" s="3" t="s">
        <v>257</v>
      </c>
      <c r="C96" s="1" t="s">
        <v>16</v>
      </c>
      <c r="D96" s="1" t="s">
        <v>17</v>
      </c>
      <c r="E96" s="1" t="s">
        <v>238</v>
      </c>
      <c r="F96" s="1" t="str">
        <f>IFERROR(__xludf.DUMMYFUNCTION("SPLIT(E96,""&gt;"")"),"Memorychain")</f>
        <v>Memorychain</v>
      </c>
      <c r="G96" s="1" t="str">
        <f>IFERROR(__xludf.DUMMYFUNCTION("""COMPUTED_VALUE"""),"Series 6")</f>
        <v>Series 6</v>
      </c>
      <c r="H96" s="1" t="s">
        <v>17</v>
      </c>
      <c r="I96" s="1" t="s">
        <v>199</v>
      </c>
      <c r="J96" s="4">
        <v>42887.0</v>
      </c>
      <c r="K96" s="1">
        <v>100.0</v>
      </c>
      <c r="L96" s="1">
        <v>100.0</v>
      </c>
      <c r="M96" s="1">
        <v>79.0</v>
      </c>
      <c r="N96" s="6" t="str">
        <f t="shared" si="1"/>
        <v>Memorychain🇯🇵</v>
      </c>
      <c r="P96" s="6" t="str">
        <f>VLOOKUP(D96,'シート2'!A:B, 2, 0)</f>
        <v>@kartanbitcoin</v>
      </c>
    </row>
    <row r="97">
      <c r="A97" s="1" t="s">
        <v>258</v>
      </c>
      <c r="B97" s="3" t="s">
        <v>259</v>
      </c>
      <c r="C97" s="1" t="s">
        <v>16</v>
      </c>
      <c r="D97" s="1" t="s">
        <v>53</v>
      </c>
      <c r="E97" s="1" t="s">
        <v>238</v>
      </c>
      <c r="F97" s="1" t="str">
        <f>IFERROR(__xludf.DUMMYFUNCTION("SPLIT(E97,""&gt;"")"),"Memorychain")</f>
        <v>Memorychain</v>
      </c>
      <c r="G97" s="1" t="str">
        <f>IFERROR(__xludf.DUMMYFUNCTION("""COMPUTED_VALUE"""),"Series 6")</f>
        <v>Series 6</v>
      </c>
      <c r="H97" s="1" t="s">
        <v>53</v>
      </c>
      <c r="I97" s="1" t="s">
        <v>199</v>
      </c>
      <c r="J97" s="4">
        <v>42887.0</v>
      </c>
      <c r="K97" s="1">
        <v>151.0</v>
      </c>
      <c r="L97" s="1">
        <v>151.0</v>
      </c>
      <c r="M97" s="1">
        <v>80.0</v>
      </c>
      <c r="N97" s="6" t="str">
        <f t="shared" si="1"/>
        <v>Memorychain🇯🇵</v>
      </c>
      <c r="P97" s="6" t="str">
        <f>VLOOKUP(D97,'シート2'!A:B, 2, 0)</f>
        <v>@Taky_Taky_</v>
      </c>
    </row>
    <row r="98">
      <c r="A98" s="1" t="s">
        <v>260</v>
      </c>
      <c r="B98" s="3" t="s">
        <v>261</v>
      </c>
      <c r="C98" s="1" t="s">
        <v>16</v>
      </c>
      <c r="D98" s="1" t="s">
        <v>262</v>
      </c>
      <c r="E98" s="1" t="s">
        <v>238</v>
      </c>
      <c r="F98" s="1" t="str">
        <f>IFERROR(__xludf.DUMMYFUNCTION("SPLIT(E98,""&gt;"")"),"Memorychain")</f>
        <v>Memorychain</v>
      </c>
      <c r="G98" s="1" t="str">
        <f>IFERROR(__xludf.DUMMYFUNCTION("""COMPUTED_VALUE"""),"Series 6")</f>
        <v>Series 6</v>
      </c>
      <c r="H98" s="1" t="s">
        <v>262</v>
      </c>
      <c r="I98" s="1" t="s">
        <v>199</v>
      </c>
      <c r="J98" s="4">
        <v>42887.0</v>
      </c>
      <c r="K98" s="1">
        <v>500.0</v>
      </c>
      <c r="L98" s="1">
        <v>500.0</v>
      </c>
      <c r="M98" s="1">
        <v>81.0</v>
      </c>
      <c r="N98" s="6" t="str">
        <f t="shared" si="1"/>
        <v>Memorychain🇯🇵</v>
      </c>
      <c r="P98" s="6" t="str">
        <f>VLOOKUP(D98,'シート2'!A:B, 2, 0)</f>
        <v>M1XXK1NG W1CKED</v>
      </c>
    </row>
    <row r="99">
      <c r="A99" s="1" t="s">
        <v>263</v>
      </c>
      <c r="B99" s="3" t="s">
        <v>264</v>
      </c>
      <c r="C99" s="1" t="s">
        <v>16</v>
      </c>
      <c r="D99" s="1" t="s">
        <v>79</v>
      </c>
      <c r="E99" s="1" t="s">
        <v>238</v>
      </c>
      <c r="F99" s="1" t="str">
        <f>IFERROR(__xludf.DUMMYFUNCTION("SPLIT(E99,""&gt;"")"),"Memorychain")</f>
        <v>Memorychain</v>
      </c>
      <c r="G99" s="1" t="str">
        <f>IFERROR(__xludf.DUMMYFUNCTION("""COMPUTED_VALUE"""),"Series 6")</f>
        <v>Series 6</v>
      </c>
      <c r="H99" s="1" t="s">
        <v>79</v>
      </c>
      <c r="I99" s="1" t="s">
        <v>199</v>
      </c>
      <c r="J99" s="4">
        <v>42887.0</v>
      </c>
      <c r="K99" s="1">
        <v>150.0</v>
      </c>
      <c r="L99" s="1">
        <v>150.0</v>
      </c>
      <c r="M99" s="1">
        <v>82.0</v>
      </c>
      <c r="N99" s="6" t="str">
        <f t="shared" si="1"/>
        <v>Memorychain🇯🇵</v>
      </c>
      <c r="P99" s="6" t="str">
        <f>VLOOKUP(D99,'シート2'!A:B, 2, 0)</f>
        <v>@TrendStream</v>
      </c>
    </row>
    <row r="100">
      <c r="A100" s="1" t="s">
        <v>265</v>
      </c>
      <c r="B100" s="3" t="s">
        <v>266</v>
      </c>
      <c r="C100" s="1" t="s">
        <v>16</v>
      </c>
      <c r="D100" s="1" t="s">
        <v>79</v>
      </c>
      <c r="E100" s="1" t="s">
        <v>238</v>
      </c>
      <c r="F100" s="1" t="str">
        <f>IFERROR(__xludf.DUMMYFUNCTION("SPLIT(E100,""&gt;"")"),"Memorychain")</f>
        <v>Memorychain</v>
      </c>
      <c r="G100" s="1" t="str">
        <f>IFERROR(__xludf.DUMMYFUNCTION("""COMPUTED_VALUE"""),"Series 6")</f>
        <v>Series 6</v>
      </c>
      <c r="H100" s="1" t="s">
        <v>79</v>
      </c>
      <c r="I100" s="1" t="s">
        <v>199</v>
      </c>
      <c r="J100" s="4">
        <v>42887.0</v>
      </c>
      <c r="K100" s="1">
        <v>300.0</v>
      </c>
      <c r="L100" s="1">
        <v>300.0</v>
      </c>
      <c r="M100" s="1">
        <v>83.0</v>
      </c>
      <c r="N100" s="6" t="str">
        <f t="shared" si="1"/>
        <v>Memorychain🇯🇵</v>
      </c>
      <c r="P100" s="6" t="str">
        <f>VLOOKUP(D100,'シート2'!A:B, 2, 0)</f>
        <v>@TrendStream</v>
      </c>
    </row>
    <row r="101">
      <c r="A101" s="1" t="s">
        <v>267</v>
      </c>
      <c r="B101" s="3" t="s">
        <v>268</v>
      </c>
      <c r="C101" s="1" t="s">
        <v>16</v>
      </c>
      <c r="D101" s="1" t="s">
        <v>227</v>
      </c>
      <c r="E101" s="1" t="s">
        <v>238</v>
      </c>
      <c r="F101" s="1" t="str">
        <f>IFERROR(__xludf.DUMMYFUNCTION("SPLIT(E101,""&gt;"")"),"Memorychain")</f>
        <v>Memorychain</v>
      </c>
      <c r="G101" s="1" t="str">
        <f>IFERROR(__xludf.DUMMYFUNCTION("""COMPUTED_VALUE"""),"Series 6")</f>
        <v>Series 6</v>
      </c>
      <c r="H101" s="1" t="s">
        <v>227</v>
      </c>
      <c r="I101" s="1" t="s">
        <v>199</v>
      </c>
      <c r="J101" s="4">
        <v>42887.0</v>
      </c>
      <c r="K101" s="1">
        <v>1000.0</v>
      </c>
      <c r="L101" s="1">
        <v>1000.0</v>
      </c>
      <c r="M101" s="1">
        <v>84.0</v>
      </c>
      <c r="N101" s="6" t="str">
        <f t="shared" si="1"/>
        <v>Memorychain🇯🇵</v>
      </c>
      <c r="P101" s="6" t="str">
        <f>VLOOKUP(D101,'シート2'!A:B, 2, 0)</f>
        <v>メルキャット</v>
      </c>
    </row>
    <row r="102">
      <c r="A102" s="1" t="s">
        <v>269</v>
      </c>
      <c r="B102" s="3" t="s">
        <v>270</v>
      </c>
      <c r="C102" s="1" t="s">
        <v>16</v>
      </c>
      <c r="D102" s="1" t="s">
        <v>271</v>
      </c>
      <c r="E102" s="1" t="s">
        <v>238</v>
      </c>
      <c r="F102" s="1" t="str">
        <f>IFERROR(__xludf.DUMMYFUNCTION("SPLIT(E102,""&gt;"")"),"Memorychain")</f>
        <v>Memorychain</v>
      </c>
      <c r="G102" s="1" t="str">
        <f>IFERROR(__xludf.DUMMYFUNCTION("""COMPUTED_VALUE"""),"Series 6")</f>
        <v>Series 6</v>
      </c>
      <c r="H102" s="1" t="s">
        <v>271</v>
      </c>
      <c r="I102" s="1" t="s">
        <v>199</v>
      </c>
      <c r="J102" s="4">
        <v>42887.0</v>
      </c>
      <c r="K102" s="1">
        <v>999.0</v>
      </c>
      <c r="L102" s="1">
        <v>999.0</v>
      </c>
      <c r="M102" s="1">
        <v>85.0</v>
      </c>
      <c r="N102" s="6" t="str">
        <f t="shared" si="1"/>
        <v>Memorychain🇯🇵</v>
      </c>
      <c r="P102" s="6" t="str">
        <f>VLOOKUP(D102,'シート2'!A:B, 2, 0)</f>
        <v>クリプト無職希望</v>
      </c>
    </row>
    <row r="103">
      <c r="A103" s="1" t="s">
        <v>272</v>
      </c>
      <c r="B103" s="3" t="s">
        <v>273</v>
      </c>
      <c r="C103" s="1" t="s">
        <v>16</v>
      </c>
      <c r="D103" s="1" t="s">
        <v>23</v>
      </c>
      <c r="E103" s="1" t="s">
        <v>238</v>
      </c>
      <c r="F103" s="1" t="str">
        <f>IFERROR(__xludf.DUMMYFUNCTION("SPLIT(E103,""&gt;"")"),"Memorychain")</f>
        <v>Memorychain</v>
      </c>
      <c r="G103" s="1" t="str">
        <f>IFERROR(__xludf.DUMMYFUNCTION("""COMPUTED_VALUE"""),"Series 6")</f>
        <v>Series 6</v>
      </c>
      <c r="H103" s="1" t="s">
        <v>23</v>
      </c>
      <c r="I103" s="1" t="s">
        <v>199</v>
      </c>
      <c r="J103" s="4">
        <v>42887.0</v>
      </c>
      <c r="K103" s="1">
        <v>500.0</v>
      </c>
      <c r="L103" s="1">
        <v>500.0</v>
      </c>
      <c r="M103" s="1">
        <v>86.0</v>
      </c>
      <c r="N103" s="6" t="str">
        <f t="shared" si="1"/>
        <v>Memorychain🇯🇵</v>
      </c>
      <c r="P103" s="6" t="str">
        <f>VLOOKUP(D103,'シート2'!A:B, 2, 0)</f>
        <v>@ChunriMD</v>
      </c>
    </row>
    <row r="104">
      <c r="A104" s="1" t="s">
        <v>274</v>
      </c>
      <c r="B104" s="3" t="s">
        <v>275</v>
      </c>
      <c r="C104" s="1" t="s">
        <v>16</v>
      </c>
      <c r="D104" s="1" t="s">
        <v>276</v>
      </c>
      <c r="E104" s="1" t="s">
        <v>238</v>
      </c>
      <c r="F104" s="1" t="str">
        <f>IFERROR(__xludf.DUMMYFUNCTION("SPLIT(E104,""&gt;"")"),"Memorychain")</f>
        <v>Memorychain</v>
      </c>
      <c r="G104" s="1" t="str">
        <f>IFERROR(__xludf.DUMMYFUNCTION("""COMPUTED_VALUE"""),"Series 6")</f>
        <v>Series 6</v>
      </c>
      <c r="H104" s="1" t="s">
        <v>276</v>
      </c>
      <c r="I104" s="1" t="s">
        <v>199</v>
      </c>
      <c r="J104" s="4">
        <v>42887.0</v>
      </c>
      <c r="K104" s="1">
        <v>150.0</v>
      </c>
      <c r="L104" s="1">
        <v>150.0</v>
      </c>
      <c r="M104" s="1">
        <v>87.0</v>
      </c>
      <c r="N104" s="6" t="str">
        <f t="shared" si="1"/>
        <v>Memorychain🇯🇵</v>
      </c>
      <c r="P104" s="6" t="str">
        <f>VLOOKUP(D104,'シート2'!A:B, 2, 0)</f>
        <v>Pepe Museum</v>
      </c>
    </row>
    <row r="105">
      <c r="A105" s="1" t="s">
        <v>277</v>
      </c>
      <c r="B105" s="3" t="s">
        <v>278</v>
      </c>
      <c r="C105" s="1" t="s">
        <v>16</v>
      </c>
      <c r="D105" s="1" t="s">
        <v>89</v>
      </c>
      <c r="E105" s="1" t="s">
        <v>238</v>
      </c>
      <c r="F105" s="1" t="str">
        <f>IFERROR(__xludf.DUMMYFUNCTION("SPLIT(E105,""&gt;"")"),"Memorychain")</f>
        <v>Memorychain</v>
      </c>
      <c r="G105" s="1" t="str">
        <f>IFERROR(__xludf.DUMMYFUNCTION("""COMPUTED_VALUE"""),"Series 6")</f>
        <v>Series 6</v>
      </c>
      <c r="H105" s="1" t="s">
        <v>89</v>
      </c>
      <c r="I105" s="1" t="s">
        <v>199</v>
      </c>
      <c r="J105" s="4">
        <v>42887.0</v>
      </c>
      <c r="K105" s="1">
        <v>10000.0</v>
      </c>
      <c r="L105" s="1">
        <v>10000.0</v>
      </c>
      <c r="M105" s="1">
        <v>88.0</v>
      </c>
      <c r="N105" s="6" t="str">
        <f t="shared" si="1"/>
        <v>Memorychain🇯🇵</v>
      </c>
      <c r="P105" s="6" t="str">
        <f>VLOOKUP(D105,'シート2'!A:B, 2, 0)</f>
        <v>@sai33211</v>
      </c>
    </row>
    <row r="106">
      <c r="A106" s="1" t="s">
        <v>279</v>
      </c>
      <c r="B106" s="3" t="s">
        <v>280</v>
      </c>
      <c r="C106" s="1" t="s">
        <v>16</v>
      </c>
      <c r="D106" s="1" t="s">
        <v>61</v>
      </c>
      <c r="E106" s="1" t="s">
        <v>238</v>
      </c>
      <c r="F106" s="1" t="str">
        <f>IFERROR(__xludf.DUMMYFUNCTION("SPLIT(E106,""&gt;"")"),"Memorychain")</f>
        <v>Memorychain</v>
      </c>
      <c r="G106" s="1" t="str">
        <f>IFERROR(__xludf.DUMMYFUNCTION("""COMPUTED_VALUE"""),"Series 6")</f>
        <v>Series 6</v>
      </c>
      <c r="H106" s="1" t="s">
        <v>61</v>
      </c>
      <c r="I106" s="1" t="s">
        <v>199</v>
      </c>
      <c r="J106" s="4">
        <v>42887.0</v>
      </c>
      <c r="K106" s="1">
        <v>1000.0</v>
      </c>
      <c r="L106" s="1">
        <v>1000.0</v>
      </c>
      <c r="M106" s="1">
        <v>89.0</v>
      </c>
      <c r="N106" s="6" t="str">
        <f t="shared" si="1"/>
        <v>Memorychain🇯🇵</v>
      </c>
      <c r="P106" s="6" t="str">
        <f>VLOOKUP(D106,'シート2'!A:B, 2, 0)</f>
        <v>@NFTuber</v>
      </c>
    </row>
    <row r="107">
      <c r="A107" s="1" t="s">
        <v>281</v>
      </c>
      <c r="B107" s="3" t="s">
        <v>282</v>
      </c>
      <c r="C107" s="1" t="s">
        <v>16</v>
      </c>
      <c r="D107" s="1" t="s">
        <v>283</v>
      </c>
      <c r="E107" s="1" t="s">
        <v>238</v>
      </c>
      <c r="F107" s="1" t="str">
        <f>IFERROR(__xludf.DUMMYFUNCTION("SPLIT(E107,""&gt;"")"),"Memorychain")</f>
        <v>Memorychain</v>
      </c>
      <c r="G107" s="1" t="str">
        <f>IFERROR(__xludf.DUMMYFUNCTION("""COMPUTED_VALUE"""),"Series 6")</f>
        <v>Series 6</v>
      </c>
      <c r="H107" s="1" t="s">
        <v>283</v>
      </c>
      <c r="I107" s="1" t="s">
        <v>199</v>
      </c>
      <c r="J107" s="4">
        <v>42887.0</v>
      </c>
      <c r="K107" s="1">
        <v>400.0</v>
      </c>
      <c r="L107" s="1">
        <v>400.0</v>
      </c>
      <c r="M107" s="1">
        <v>90.0</v>
      </c>
      <c r="N107" s="6" t="str">
        <f t="shared" si="1"/>
        <v>Memorychain🇯🇵</v>
      </c>
      <c r="P107" s="6" t="str">
        <f>VLOOKUP(D107,'シート2'!A:B, 2, 0)</f>
        <v>@StArnouldnagoya</v>
      </c>
    </row>
    <row r="108">
      <c r="A108" s="1" t="s">
        <v>284</v>
      </c>
      <c r="B108" s="3" t="s">
        <v>285</v>
      </c>
      <c r="C108" s="1" t="s">
        <v>16</v>
      </c>
      <c r="D108" s="1" t="s">
        <v>286</v>
      </c>
      <c r="E108" s="1" t="s">
        <v>287</v>
      </c>
      <c r="F108" s="1" t="str">
        <f>IFERROR(__xludf.DUMMYFUNCTION("SPLIT(E108,""&gt;"")"),"Memorychain")</f>
        <v>Memorychain</v>
      </c>
      <c r="G108" s="1" t="str">
        <f>IFERROR(__xludf.DUMMYFUNCTION("""COMPUTED_VALUE"""),"Series 7")</f>
        <v>Series 7</v>
      </c>
      <c r="H108" s="1" t="s">
        <v>286</v>
      </c>
      <c r="I108" s="1" t="s">
        <v>288</v>
      </c>
      <c r="J108" s="4">
        <v>42917.0</v>
      </c>
      <c r="K108" s="1">
        <v>10000.0</v>
      </c>
      <c r="L108" s="1">
        <v>10000.0</v>
      </c>
      <c r="M108" s="1">
        <v>91.0</v>
      </c>
      <c r="N108" s="6" t="str">
        <f t="shared" si="1"/>
        <v>Memorychain🇯🇵</v>
      </c>
      <c r="P108" s="6" t="str">
        <f>VLOOKUP(D108,'シート2'!A:B, 2, 0)</f>
        <v>@MandelDuck</v>
      </c>
    </row>
    <row r="109">
      <c r="A109" s="1" t="s">
        <v>289</v>
      </c>
      <c r="B109" s="3" t="s">
        <v>290</v>
      </c>
      <c r="C109" s="1" t="s">
        <v>16</v>
      </c>
      <c r="D109" s="1" t="s">
        <v>23</v>
      </c>
      <c r="E109" s="1" t="s">
        <v>287</v>
      </c>
      <c r="F109" s="1" t="str">
        <f>IFERROR(__xludf.DUMMYFUNCTION("SPLIT(E109,""&gt;"")"),"Memorychain")</f>
        <v>Memorychain</v>
      </c>
      <c r="G109" s="1" t="str">
        <f>IFERROR(__xludf.DUMMYFUNCTION("""COMPUTED_VALUE"""),"Series 7")</f>
        <v>Series 7</v>
      </c>
      <c r="H109" s="1" t="s">
        <v>23</v>
      </c>
      <c r="I109" s="1" t="s">
        <v>288</v>
      </c>
      <c r="J109" s="4">
        <v>42917.0</v>
      </c>
      <c r="K109" s="1">
        <v>10000.0</v>
      </c>
      <c r="L109" s="1">
        <v>10000.0</v>
      </c>
      <c r="M109" s="1">
        <v>92.0</v>
      </c>
      <c r="N109" s="6" t="str">
        <f t="shared" si="1"/>
        <v>Memorychain🇯🇵</v>
      </c>
      <c r="P109" s="6" t="str">
        <f>VLOOKUP(D109,'シート2'!A:B, 2, 0)</f>
        <v>@ChunriMD</v>
      </c>
    </row>
    <row r="110">
      <c r="A110" s="1" t="s">
        <v>291</v>
      </c>
      <c r="B110" s="3" t="s">
        <v>292</v>
      </c>
      <c r="C110" s="1" t="s">
        <v>16</v>
      </c>
      <c r="D110" s="1" t="s">
        <v>293</v>
      </c>
      <c r="E110" s="1" t="s">
        <v>287</v>
      </c>
      <c r="F110" s="1" t="str">
        <f>IFERROR(__xludf.DUMMYFUNCTION("SPLIT(E110,""&gt;"")"),"Memorychain")</f>
        <v>Memorychain</v>
      </c>
      <c r="G110" s="1" t="str">
        <f>IFERROR(__xludf.DUMMYFUNCTION("""COMPUTED_VALUE"""),"Series 7")</f>
        <v>Series 7</v>
      </c>
      <c r="H110" s="1" t="s">
        <v>293</v>
      </c>
      <c r="I110" s="1" t="s">
        <v>288</v>
      </c>
      <c r="J110" s="4">
        <v>42917.0</v>
      </c>
      <c r="K110" s="1">
        <v>10000.0</v>
      </c>
      <c r="L110" s="1">
        <v>10000.0</v>
      </c>
      <c r="M110" s="1">
        <v>93.0</v>
      </c>
      <c r="N110" s="6" t="str">
        <f t="shared" si="1"/>
        <v>Memorychain🇯🇵</v>
      </c>
      <c r="P110" s="6" t="str">
        <f>VLOOKUP(D110,'シート2'!A:B, 2, 0)</f>
        <v>@ocknamo</v>
      </c>
    </row>
    <row r="111">
      <c r="A111" s="1" t="s">
        <v>294</v>
      </c>
      <c r="B111" s="3" t="s">
        <v>295</v>
      </c>
      <c r="C111" s="1" t="s">
        <v>16</v>
      </c>
      <c r="D111" s="1" t="s">
        <v>252</v>
      </c>
      <c r="E111" s="1" t="s">
        <v>287</v>
      </c>
      <c r="F111" s="1" t="str">
        <f>IFERROR(__xludf.DUMMYFUNCTION("SPLIT(E111,""&gt;"")"),"Memorychain")</f>
        <v>Memorychain</v>
      </c>
      <c r="G111" s="1" t="str">
        <f>IFERROR(__xludf.DUMMYFUNCTION("""COMPUTED_VALUE"""),"Series 7")</f>
        <v>Series 7</v>
      </c>
      <c r="H111" s="1" t="s">
        <v>252</v>
      </c>
      <c r="I111" s="1" t="s">
        <v>288</v>
      </c>
      <c r="J111" s="4">
        <v>42917.0</v>
      </c>
      <c r="K111" s="1">
        <v>10000.0</v>
      </c>
      <c r="L111" s="1">
        <v>10000.0</v>
      </c>
      <c r="M111" s="1">
        <v>94.0</v>
      </c>
      <c r="N111" s="6" t="str">
        <f t="shared" si="1"/>
        <v>Memorychain🇯🇵</v>
      </c>
      <c r="P111" s="6" t="str">
        <f>VLOOKUP(D111,'シート2'!A:B, 2, 0)</f>
        <v>@7cryptocurrency</v>
      </c>
    </row>
    <row r="112">
      <c r="A112" s="1" t="s">
        <v>296</v>
      </c>
      <c r="B112" s="3" t="s">
        <v>297</v>
      </c>
      <c r="C112" s="1" t="s">
        <v>16</v>
      </c>
      <c r="D112" s="1" t="s">
        <v>252</v>
      </c>
      <c r="E112" s="1" t="s">
        <v>287</v>
      </c>
      <c r="F112" s="1" t="str">
        <f>IFERROR(__xludf.DUMMYFUNCTION("SPLIT(E112,""&gt;"")"),"Memorychain")</f>
        <v>Memorychain</v>
      </c>
      <c r="G112" s="1" t="str">
        <f>IFERROR(__xludf.DUMMYFUNCTION("""COMPUTED_VALUE"""),"Series 7")</f>
        <v>Series 7</v>
      </c>
      <c r="H112" s="1" t="s">
        <v>252</v>
      </c>
      <c r="I112" s="1" t="s">
        <v>288</v>
      </c>
      <c r="J112" s="4">
        <v>42917.0</v>
      </c>
      <c r="K112" s="1">
        <v>10000.0</v>
      </c>
      <c r="L112" s="1">
        <v>10000.0</v>
      </c>
      <c r="M112" s="1">
        <v>95.0</v>
      </c>
      <c r="N112" s="6" t="str">
        <f t="shared" si="1"/>
        <v>Memorychain🇯🇵</v>
      </c>
      <c r="P112" s="6" t="str">
        <f>VLOOKUP(D112,'シート2'!A:B, 2, 0)</f>
        <v>@7cryptocurrency</v>
      </c>
    </row>
    <row r="113">
      <c r="A113" s="1" t="s">
        <v>298</v>
      </c>
      <c r="B113" s="3" t="s">
        <v>299</v>
      </c>
      <c r="C113" s="1" t="s">
        <v>16</v>
      </c>
      <c r="D113" s="1" t="s">
        <v>135</v>
      </c>
      <c r="E113" s="1" t="s">
        <v>287</v>
      </c>
      <c r="F113" s="1" t="str">
        <f>IFERROR(__xludf.DUMMYFUNCTION("SPLIT(E113,""&gt;"")"),"Memorychain")</f>
        <v>Memorychain</v>
      </c>
      <c r="G113" s="1" t="str">
        <f>IFERROR(__xludf.DUMMYFUNCTION("""COMPUTED_VALUE"""),"Series 7")</f>
        <v>Series 7</v>
      </c>
      <c r="H113" s="1" t="s">
        <v>135</v>
      </c>
      <c r="I113" s="1" t="s">
        <v>288</v>
      </c>
      <c r="J113" s="4">
        <v>42917.0</v>
      </c>
      <c r="K113" s="1">
        <v>10000.0</v>
      </c>
      <c r="L113" s="1">
        <v>10000.0</v>
      </c>
      <c r="M113" s="1">
        <v>96.0</v>
      </c>
      <c r="N113" s="6" t="str">
        <f t="shared" si="1"/>
        <v>Memorychain🇯🇵</v>
      </c>
      <c r="P113" s="6" t="str">
        <f>VLOOKUP(D113,'シート2'!A:B, 2, 0)</f>
        <v>たろふあ</v>
      </c>
    </row>
    <row r="114">
      <c r="A114" s="1" t="s">
        <v>300</v>
      </c>
      <c r="B114" s="3" t="s">
        <v>301</v>
      </c>
      <c r="C114" s="1" t="s">
        <v>16</v>
      </c>
      <c r="D114" s="1" t="s">
        <v>44</v>
      </c>
      <c r="E114" s="1" t="s">
        <v>287</v>
      </c>
      <c r="F114" s="1" t="str">
        <f>IFERROR(__xludf.DUMMYFUNCTION("SPLIT(E114,""&gt;"")"),"Memorychain")</f>
        <v>Memorychain</v>
      </c>
      <c r="G114" s="1" t="str">
        <f>IFERROR(__xludf.DUMMYFUNCTION("""COMPUTED_VALUE"""),"Series 7")</f>
        <v>Series 7</v>
      </c>
      <c r="H114" s="1" t="s">
        <v>44</v>
      </c>
      <c r="I114" s="1" t="s">
        <v>288</v>
      </c>
      <c r="J114" s="4">
        <v>42917.0</v>
      </c>
      <c r="K114" s="1">
        <v>10000.0</v>
      </c>
      <c r="L114" s="1">
        <v>10000.0</v>
      </c>
      <c r="M114" s="1">
        <v>97.0</v>
      </c>
      <c r="N114" s="6" t="str">
        <f t="shared" si="1"/>
        <v>Memorychain🇯🇵</v>
      </c>
      <c r="P114" s="6" t="str">
        <f>VLOOKUP(D114,'シート2'!A:B, 2, 0)</f>
        <v>Anonymous</v>
      </c>
    </row>
    <row r="115">
      <c r="A115" s="1" t="s">
        <v>302</v>
      </c>
      <c r="B115" s="3" t="s">
        <v>303</v>
      </c>
      <c r="C115" s="1" t="s">
        <v>16</v>
      </c>
      <c r="D115" s="1" t="s">
        <v>44</v>
      </c>
      <c r="E115" s="1" t="s">
        <v>287</v>
      </c>
      <c r="F115" s="1" t="str">
        <f>IFERROR(__xludf.DUMMYFUNCTION("SPLIT(E115,""&gt;"")"),"Memorychain")</f>
        <v>Memorychain</v>
      </c>
      <c r="G115" s="1" t="str">
        <f>IFERROR(__xludf.DUMMYFUNCTION("""COMPUTED_VALUE"""),"Series 7")</f>
        <v>Series 7</v>
      </c>
      <c r="H115" s="1" t="s">
        <v>44</v>
      </c>
      <c r="I115" s="1" t="s">
        <v>288</v>
      </c>
      <c r="J115" s="4">
        <v>42917.0</v>
      </c>
      <c r="K115" s="1">
        <v>10000.0</v>
      </c>
      <c r="L115" s="1">
        <v>10000.0</v>
      </c>
      <c r="M115" s="1">
        <v>98.0</v>
      </c>
      <c r="N115" s="6" t="str">
        <f t="shared" si="1"/>
        <v>Memorychain🇯🇵</v>
      </c>
      <c r="P115" s="6" t="str">
        <f>VLOOKUP(D115,'シート2'!A:B, 2, 0)</f>
        <v>Anonymous</v>
      </c>
    </row>
    <row r="116">
      <c r="A116" s="1" t="s">
        <v>304</v>
      </c>
      <c r="B116" s="3" t="s">
        <v>305</v>
      </c>
      <c r="C116" s="1" t="s">
        <v>16</v>
      </c>
      <c r="D116" s="1" t="s">
        <v>168</v>
      </c>
      <c r="E116" s="1" t="s">
        <v>287</v>
      </c>
      <c r="F116" s="1" t="str">
        <f>IFERROR(__xludf.DUMMYFUNCTION("SPLIT(E116,""&gt;"")"),"Memorychain")</f>
        <v>Memorychain</v>
      </c>
      <c r="G116" s="1" t="str">
        <f>IFERROR(__xludf.DUMMYFUNCTION("""COMPUTED_VALUE"""),"Series 7")</f>
        <v>Series 7</v>
      </c>
      <c r="H116" s="1" t="s">
        <v>168</v>
      </c>
      <c r="I116" s="1" t="s">
        <v>288</v>
      </c>
      <c r="J116" s="4">
        <v>42917.0</v>
      </c>
      <c r="K116" s="1">
        <v>10000.0</v>
      </c>
      <c r="L116" s="1">
        <v>1500.0</v>
      </c>
      <c r="M116" s="1">
        <v>99.0</v>
      </c>
      <c r="N116" s="6" t="str">
        <f t="shared" si="1"/>
        <v>Memorychain🇯🇵</v>
      </c>
      <c r="P116" s="6" t="str">
        <f>VLOOKUP(D116,'シート2'!A:B, 2, 0)</f>
        <v>@Whiskey_bonbon_</v>
      </c>
    </row>
    <row r="117">
      <c r="A117" s="1" t="s">
        <v>306</v>
      </c>
      <c r="B117" s="3" t="s">
        <v>307</v>
      </c>
      <c r="C117" s="1" t="s">
        <v>16</v>
      </c>
      <c r="D117" s="1" t="s">
        <v>252</v>
      </c>
      <c r="E117" s="1" t="s">
        <v>287</v>
      </c>
      <c r="F117" s="1" t="str">
        <f>IFERROR(__xludf.DUMMYFUNCTION("SPLIT(E117,""&gt;"")"),"Memorychain")</f>
        <v>Memorychain</v>
      </c>
      <c r="G117" s="1" t="str">
        <f>IFERROR(__xludf.DUMMYFUNCTION("""COMPUTED_VALUE"""),"Series 7")</f>
        <v>Series 7</v>
      </c>
      <c r="H117" s="1" t="s">
        <v>252</v>
      </c>
      <c r="I117" s="1" t="s">
        <v>288</v>
      </c>
      <c r="J117" s="4">
        <v>42917.0</v>
      </c>
      <c r="K117" s="1">
        <v>10000.0</v>
      </c>
      <c r="L117" s="1">
        <v>10000.0</v>
      </c>
      <c r="M117" s="1">
        <v>100.0</v>
      </c>
      <c r="N117" s="6" t="str">
        <f t="shared" si="1"/>
        <v>Memorychain🇯🇵</v>
      </c>
      <c r="P117" s="6" t="str">
        <f>VLOOKUP(D117,'シート2'!A:B, 2, 0)</f>
        <v>@7cryptocurrency</v>
      </c>
    </row>
    <row r="118">
      <c r="A118" s="1" t="s">
        <v>308</v>
      </c>
      <c r="B118" s="3" t="s">
        <v>309</v>
      </c>
      <c r="C118" s="1" t="s">
        <v>16</v>
      </c>
      <c r="D118" s="1" t="s">
        <v>89</v>
      </c>
      <c r="E118" s="1" t="s">
        <v>287</v>
      </c>
      <c r="F118" s="1" t="str">
        <f>IFERROR(__xludf.DUMMYFUNCTION("SPLIT(E118,""&gt;"")"),"Memorychain")</f>
        <v>Memorychain</v>
      </c>
      <c r="G118" s="1" t="str">
        <f>IFERROR(__xludf.DUMMYFUNCTION("""COMPUTED_VALUE"""),"Series 7")</f>
        <v>Series 7</v>
      </c>
      <c r="H118" s="1" t="s">
        <v>89</v>
      </c>
      <c r="I118" s="1" t="s">
        <v>288</v>
      </c>
      <c r="J118" s="4">
        <v>42917.0</v>
      </c>
      <c r="K118" s="1">
        <v>10000.0</v>
      </c>
      <c r="L118" s="1">
        <v>10000.0</v>
      </c>
      <c r="M118" s="1">
        <v>102.0</v>
      </c>
      <c r="N118" s="6" t="str">
        <f t="shared" si="1"/>
        <v>Memorychain🇯🇵</v>
      </c>
      <c r="P118" s="6" t="str">
        <f>VLOOKUP(D118,'シート2'!A:B, 2, 0)</f>
        <v>@sai33211</v>
      </c>
    </row>
    <row r="119">
      <c r="A119" s="1" t="s">
        <v>310</v>
      </c>
      <c r="B119" s="3" t="s">
        <v>311</v>
      </c>
      <c r="C119" s="1" t="s">
        <v>16</v>
      </c>
      <c r="D119" s="1" t="s">
        <v>312</v>
      </c>
      <c r="E119" s="1" t="s">
        <v>287</v>
      </c>
      <c r="F119" s="1" t="str">
        <f>IFERROR(__xludf.DUMMYFUNCTION("SPLIT(E119,""&gt;"")"),"Memorychain")</f>
        <v>Memorychain</v>
      </c>
      <c r="G119" s="1" t="str">
        <f>IFERROR(__xludf.DUMMYFUNCTION("""COMPUTED_VALUE"""),"Series 7")</f>
        <v>Series 7</v>
      </c>
      <c r="H119" s="1" t="s">
        <v>312</v>
      </c>
      <c r="I119" s="1" t="s">
        <v>288</v>
      </c>
      <c r="J119" s="4">
        <v>42917.0</v>
      </c>
      <c r="K119" s="1">
        <v>10000.0</v>
      </c>
      <c r="L119" s="1">
        <v>10000.0</v>
      </c>
      <c r="M119" s="1">
        <v>103.0</v>
      </c>
      <c r="N119" s="6" t="str">
        <f t="shared" si="1"/>
        <v>Memorychain🇯🇵</v>
      </c>
      <c r="P119" s="6" t="str">
        <f>VLOOKUP(D119,'シート2'!A:B, 2, 0)</f>
        <v>右馬之介信生</v>
      </c>
    </row>
    <row r="120">
      <c r="A120" s="1" t="s">
        <v>313</v>
      </c>
      <c r="B120" s="3" t="s">
        <v>314</v>
      </c>
      <c r="C120" s="1" t="s">
        <v>16</v>
      </c>
      <c r="D120" s="1" t="s">
        <v>146</v>
      </c>
      <c r="E120" s="1" t="s">
        <v>287</v>
      </c>
      <c r="F120" s="1" t="str">
        <f>IFERROR(__xludf.DUMMYFUNCTION("SPLIT(E120,""&gt;"")"),"Memorychain")</f>
        <v>Memorychain</v>
      </c>
      <c r="G120" s="1" t="str">
        <f>IFERROR(__xludf.DUMMYFUNCTION("""COMPUTED_VALUE"""),"Series 7")</f>
        <v>Series 7</v>
      </c>
      <c r="H120" s="1" t="s">
        <v>146</v>
      </c>
      <c r="I120" s="1" t="s">
        <v>288</v>
      </c>
      <c r="J120" s="4">
        <v>42917.0</v>
      </c>
      <c r="K120" s="1">
        <v>10000.0</v>
      </c>
      <c r="L120" s="1">
        <v>10000.0</v>
      </c>
      <c r="M120" s="1">
        <v>104.0</v>
      </c>
      <c r="N120" s="6" t="str">
        <f t="shared" si="1"/>
        <v>Memorychain🇯🇵</v>
      </c>
      <c r="P120" s="6" t="str">
        <f>VLOOKUP(D120,'シート2'!A:B, 2, 0)</f>
        <v>VeryLongUnagi</v>
      </c>
    </row>
    <row r="121">
      <c r="A121" s="1" t="s">
        <v>315</v>
      </c>
      <c r="B121" s="3" t="s">
        <v>316</v>
      </c>
      <c r="C121" s="1" t="s">
        <v>16</v>
      </c>
      <c r="D121" s="1" t="s">
        <v>317</v>
      </c>
      <c r="E121" s="1" t="s">
        <v>287</v>
      </c>
      <c r="F121" s="1" t="str">
        <f>IFERROR(__xludf.DUMMYFUNCTION("SPLIT(E121,""&gt;"")"),"Memorychain")</f>
        <v>Memorychain</v>
      </c>
      <c r="G121" s="1" t="str">
        <f>IFERROR(__xludf.DUMMYFUNCTION("""COMPUTED_VALUE"""),"Series 7")</f>
        <v>Series 7</v>
      </c>
      <c r="H121" s="1" t="s">
        <v>317</v>
      </c>
      <c r="I121" s="1" t="s">
        <v>288</v>
      </c>
      <c r="J121" s="4">
        <v>42917.0</v>
      </c>
      <c r="K121" s="1">
        <v>10000.0</v>
      </c>
      <c r="L121" s="1">
        <v>10000.0</v>
      </c>
      <c r="M121" s="1">
        <v>105.0</v>
      </c>
      <c r="N121" s="6" t="str">
        <f t="shared" si="1"/>
        <v>Memorychain🇯🇵</v>
      </c>
      <c r="P121" s="6" t="str">
        <f>VLOOKUP(D121,'シート2'!A:B, 2, 0)</f>
        <v>草コイナー</v>
      </c>
    </row>
    <row r="122">
      <c r="A122" s="1" t="s">
        <v>318</v>
      </c>
      <c r="B122" s="3" t="s">
        <v>319</v>
      </c>
      <c r="C122" s="1" t="s">
        <v>16</v>
      </c>
      <c r="D122" s="1" t="s">
        <v>61</v>
      </c>
      <c r="E122" s="1" t="s">
        <v>287</v>
      </c>
      <c r="F122" s="1" t="str">
        <f>IFERROR(__xludf.DUMMYFUNCTION("SPLIT(E122,""&gt;"")"),"Memorychain")</f>
        <v>Memorychain</v>
      </c>
      <c r="G122" s="1" t="str">
        <f>IFERROR(__xludf.DUMMYFUNCTION("""COMPUTED_VALUE"""),"Series 7")</f>
        <v>Series 7</v>
      </c>
      <c r="H122" s="1" t="s">
        <v>61</v>
      </c>
      <c r="I122" s="1" t="s">
        <v>288</v>
      </c>
      <c r="J122" s="4">
        <v>42917.0</v>
      </c>
      <c r="K122" s="1">
        <v>10000.0</v>
      </c>
      <c r="L122" s="1">
        <v>500.0</v>
      </c>
      <c r="M122" s="1">
        <v>106.0</v>
      </c>
      <c r="N122" s="6" t="str">
        <f t="shared" si="1"/>
        <v>Memorychain🇯🇵</v>
      </c>
      <c r="P122" s="6" t="str">
        <f>VLOOKUP(D122,'シート2'!A:B, 2, 0)</f>
        <v>@NFTuber</v>
      </c>
    </row>
    <row r="123">
      <c r="A123" s="1" t="s">
        <v>320</v>
      </c>
      <c r="B123" s="3" t="s">
        <v>321</v>
      </c>
      <c r="C123" s="1" t="s">
        <v>16</v>
      </c>
      <c r="D123" s="1" t="s">
        <v>71</v>
      </c>
      <c r="E123" s="1" t="s">
        <v>287</v>
      </c>
      <c r="F123" s="1" t="str">
        <f>IFERROR(__xludf.DUMMYFUNCTION("SPLIT(E123,""&gt;"")"),"Memorychain")</f>
        <v>Memorychain</v>
      </c>
      <c r="G123" s="1" t="str">
        <f>IFERROR(__xludf.DUMMYFUNCTION("""COMPUTED_VALUE"""),"Series 7")</f>
        <v>Series 7</v>
      </c>
      <c r="H123" s="1" t="s">
        <v>71</v>
      </c>
      <c r="I123" s="1" t="s">
        <v>288</v>
      </c>
      <c r="J123" s="4">
        <v>42917.0</v>
      </c>
      <c r="K123" s="1">
        <v>10000.0</v>
      </c>
      <c r="L123" s="1">
        <v>10000.0</v>
      </c>
      <c r="M123" s="1">
        <v>107.0</v>
      </c>
      <c r="N123" s="6" t="str">
        <f t="shared" si="1"/>
        <v>Memorychain🇯🇵</v>
      </c>
      <c r="P123" s="6" t="str">
        <f>VLOOKUP(D123,'シート2'!A:B, 2, 0)</f>
        <v>@DavinciNine</v>
      </c>
    </row>
    <row r="124">
      <c r="A124" s="1" t="s">
        <v>322</v>
      </c>
      <c r="B124" s="3" t="s">
        <v>323</v>
      </c>
      <c r="C124" s="1" t="s">
        <v>16</v>
      </c>
      <c r="D124" s="1" t="s">
        <v>128</v>
      </c>
      <c r="E124" s="1" t="s">
        <v>287</v>
      </c>
      <c r="F124" s="1" t="str">
        <f>IFERROR(__xludf.DUMMYFUNCTION("SPLIT(E124,""&gt;"")"),"Memorychain")</f>
        <v>Memorychain</v>
      </c>
      <c r="G124" s="1" t="str">
        <f>IFERROR(__xludf.DUMMYFUNCTION("""COMPUTED_VALUE"""),"Series 7")</f>
        <v>Series 7</v>
      </c>
      <c r="H124" s="1" t="s">
        <v>128</v>
      </c>
      <c r="I124" s="1" t="s">
        <v>288</v>
      </c>
      <c r="J124" s="4">
        <v>42917.0</v>
      </c>
      <c r="K124" s="1">
        <v>10000.0</v>
      </c>
      <c r="L124" s="1">
        <v>10000.0</v>
      </c>
      <c r="M124" s="1">
        <v>108.0</v>
      </c>
      <c r="N124" s="6" t="str">
        <f t="shared" si="1"/>
        <v>Memorychain🇯🇵</v>
      </c>
      <c r="P124" s="6" t="str">
        <f>VLOOKUP(D124,'シート2'!A:B, 2, 0)</f>
        <v>@mizcored</v>
      </c>
    </row>
    <row r="125">
      <c r="A125" s="1" t="s">
        <v>324</v>
      </c>
      <c r="B125" s="3" t="s">
        <v>325</v>
      </c>
      <c r="C125" s="1" t="s">
        <v>16</v>
      </c>
      <c r="D125" s="1" t="s">
        <v>92</v>
      </c>
      <c r="E125" s="1" t="s">
        <v>287</v>
      </c>
      <c r="F125" s="1" t="str">
        <f>IFERROR(__xludf.DUMMYFUNCTION("SPLIT(E125,""&gt;"")"),"Memorychain")</f>
        <v>Memorychain</v>
      </c>
      <c r="G125" s="1" t="str">
        <f>IFERROR(__xludf.DUMMYFUNCTION("""COMPUTED_VALUE"""),"Series 7")</f>
        <v>Series 7</v>
      </c>
      <c r="H125" s="1" t="s">
        <v>92</v>
      </c>
      <c r="I125" s="1" t="s">
        <v>288</v>
      </c>
      <c r="J125" s="4">
        <v>42917.0</v>
      </c>
      <c r="K125" s="1">
        <v>10000.0</v>
      </c>
      <c r="L125" s="1">
        <v>10000.0</v>
      </c>
      <c r="M125" s="1">
        <v>109.0</v>
      </c>
      <c r="N125" s="6" t="str">
        <f t="shared" si="1"/>
        <v>Memorychain🇯🇵</v>
      </c>
      <c r="P125" s="6" t="str">
        <f>VLOOKUP(D125,'シート2'!A:B, 2, 0)</f>
        <v>@Myon9</v>
      </c>
    </row>
    <row r="126">
      <c r="A126" s="1" t="s">
        <v>326</v>
      </c>
      <c r="B126" s="3" t="s">
        <v>327</v>
      </c>
      <c r="C126" s="1" t="s">
        <v>16</v>
      </c>
      <c r="D126" s="1" t="s">
        <v>79</v>
      </c>
      <c r="E126" s="1" t="s">
        <v>287</v>
      </c>
      <c r="F126" s="1" t="str">
        <f>IFERROR(__xludf.DUMMYFUNCTION("SPLIT(E126,""&gt;"")"),"Memorychain")</f>
        <v>Memorychain</v>
      </c>
      <c r="G126" s="1" t="str">
        <f>IFERROR(__xludf.DUMMYFUNCTION("""COMPUTED_VALUE"""),"Series 7")</f>
        <v>Series 7</v>
      </c>
      <c r="H126" s="1" t="s">
        <v>79</v>
      </c>
      <c r="I126" s="1" t="s">
        <v>288</v>
      </c>
      <c r="J126" s="4">
        <v>42917.0</v>
      </c>
      <c r="K126" s="1">
        <v>10000.0</v>
      </c>
      <c r="L126" s="1">
        <v>10000.0</v>
      </c>
      <c r="M126" s="1">
        <v>110.0</v>
      </c>
      <c r="N126" s="6" t="str">
        <f t="shared" si="1"/>
        <v>Memorychain🇯🇵</v>
      </c>
      <c r="P126" s="6" t="str">
        <f>VLOOKUP(D126,'シート2'!A:B, 2, 0)</f>
        <v>@TrendStream</v>
      </c>
    </row>
    <row r="127">
      <c r="A127" s="1" t="s">
        <v>328</v>
      </c>
      <c r="B127" s="3" t="s">
        <v>329</v>
      </c>
      <c r="C127" s="1" t="s">
        <v>16</v>
      </c>
      <c r="D127" s="1" t="s">
        <v>330</v>
      </c>
      <c r="E127" s="1" t="s">
        <v>287</v>
      </c>
      <c r="F127" s="1" t="str">
        <f>IFERROR(__xludf.DUMMYFUNCTION("SPLIT(E127,""&gt;"")"),"Memorychain")</f>
        <v>Memorychain</v>
      </c>
      <c r="G127" s="1" t="str">
        <f>IFERROR(__xludf.DUMMYFUNCTION("""COMPUTED_VALUE"""),"Series 7")</f>
        <v>Series 7</v>
      </c>
      <c r="H127" s="1" t="s">
        <v>330</v>
      </c>
      <c r="I127" s="1" t="s">
        <v>288</v>
      </c>
      <c r="J127" s="4">
        <v>42917.0</v>
      </c>
      <c r="K127" s="1">
        <v>10000.0</v>
      </c>
      <c r="L127" s="1">
        <v>10000.0</v>
      </c>
      <c r="M127" s="1">
        <v>111.0</v>
      </c>
      <c r="N127" s="6" t="str">
        <f t="shared" si="1"/>
        <v>Memorychain🇯🇵</v>
      </c>
      <c r="P127" s="6" t="str">
        <f>VLOOKUP(D127,'シート2'!A:B, 2, 0)</f>
        <v>ウーピン</v>
      </c>
    </row>
    <row r="128">
      <c r="A128" s="1" t="s">
        <v>331</v>
      </c>
      <c r="B128" s="3" t="s">
        <v>332</v>
      </c>
      <c r="C128" s="1" t="s">
        <v>16</v>
      </c>
      <c r="D128" s="1" t="s">
        <v>234</v>
      </c>
      <c r="E128" s="1" t="s">
        <v>287</v>
      </c>
      <c r="F128" s="1" t="str">
        <f>IFERROR(__xludf.DUMMYFUNCTION("SPLIT(E128,""&gt;"")"),"Memorychain")</f>
        <v>Memorychain</v>
      </c>
      <c r="G128" s="1" t="str">
        <f>IFERROR(__xludf.DUMMYFUNCTION("""COMPUTED_VALUE"""),"Series 7")</f>
        <v>Series 7</v>
      </c>
      <c r="H128" s="1" t="s">
        <v>234</v>
      </c>
      <c r="I128" s="1" t="s">
        <v>288</v>
      </c>
      <c r="J128" s="4">
        <v>42917.0</v>
      </c>
      <c r="K128" s="1">
        <v>10000.0</v>
      </c>
      <c r="L128" s="1">
        <v>10000.0</v>
      </c>
      <c r="M128" s="1">
        <v>112.0</v>
      </c>
      <c r="N128" s="6" t="str">
        <f t="shared" si="1"/>
        <v>Memorychain🇯🇵</v>
      </c>
      <c r="P128" s="6" t="str">
        <f>VLOOKUP(D128,'シート2'!A:B, 2, 0)</f>
        <v>栗饅頭</v>
      </c>
    </row>
    <row r="129">
      <c r="A129" s="1" t="s">
        <v>333</v>
      </c>
      <c r="B129" s="3" t="s">
        <v>334</v>
      </c>
      <c r="C129" s="1" t="s">
        <v>16</v>
      </c>
      <c r="D129" s="1" t="s">
        <v>95</v>
      </c>
      <c r="E129" s="1" t="s">
        <v>287</v>
      </c>
      <c r="F129" s="1" t="str">
        <f>IFERROR(__xludf.DUMMYFUNCTION("SPLIT(E129,""&gt;"")"),"Memorychain")</f>
        <v>Memorychain</v>
      </c>
      <c r="G129" s="1" t="str">
        <f>IFERROR(__xludf.DUMMYFUNCTION("""COMPUTED_VALUE"""),"Series 7")</f>
        <v>Series 7</v>
      </c>
      <c r="H129" s="1" t="s">
        <v>95</v>
      </c>
      <c r="I129" s="1" t="s">
        <v>288</v>
      </c>
      <c r="J129" s="4">
        <v>42917.0</v>
      </c>
      <c r="K129" s="1">
        <v>10000.0</v>
      </c>
      <c r="L129" s="1">
        <v>10000.0</v>
      </c>
      <c r="M129" s="1">
        <v>113.0</v>
      </c>
      <c r="N129" s="6" t="str">
        <f t="shared" si="1"/>
        <v>Memorychain🇯🇵</v>
      </c>
      <c r="P129" s="6" t="str">
        <f>VLOOKUP(D129,'シート2'!A:B, 2, 0)</f>
        <v>@SmartSpaceDogs</v>
      </c>
    </row>
    <row r="130">
      <c r="A130" s="1" t="s">
        <v>335</v>
      </c>
      <c r="B130" s="3" t="s">
        <v>336</v>
      </c>
      <c r="C130" s="1" t="s">
        <v>16</v>
      </c>
      <c r="D130" s="1" t="s">
        <v>17</v>
      </c>
      <c r="E130" s="1" t="s">
        <v>287</v>
      </c>
      <c r="F130" s="1" t="str">
        <f>IFERROR(__xludf.DUMMYFUNCTION("SPLIT(E130,""&gt;"")"),"Memorychain")</f>
        <v>Memorychain</v>
      </c>
      <c r="G130" s="1" t="str">
        <f>IFERROR(__xludf.DUMMYFUNCTION("""COMPUTED_VALUE"""),"Series 7")</f>
        <v>Series 7</v>
      </c>
      <c r="H130" s="1" t="s">
        <v>17</v>
      </c>
      <c r="I130" s="1" t="s">
        <v>288</v>
      </c>
      <c r="J130" s="4">
        <v>42917.0</v>
      </c>
      <c r="K130" s="1">
        <v>10000.0</v>
      </c>
      <c r="L130" s="1">
        <v>10000.0</v>
      </c>
      <c r="M130" s="1">
        <v>114.0</v>
      </c>
      <c r="N130" s="6" t="str">
        <f t="shared" si="1"/>
        <v>Memorychain🇯🇵</v>
      </c>
      <c r="P130" s="6" t="str">
        <f>VLOOKUP(D130,'シート2'!A:B, 2, 0)</f>
        <v>@kartanbitcoin</v>
      </c>
    </row>
    <row r="131">
      <c r="A131" s="1" t="s">
        <v>337</v>
      </c>
      <c r="B131" s="3" t="s">
        <v>338</v>
      </c>
      <c r="C131" s="1" t="s">
        <v>16</v>
      </c>
      <c r="D131" s="1" t="s">
        <v>53</v>
      </c>
      <c r="E131" s="1" t="s">
        <v>287</v>
      </c>
      <c r="F131" s="1" t="str">
        <f>IFERROR(__xludf.DUMMYFUNCTION("SPLIT(E131,""&gt;"")"),"Memorychain")</f>
        <v>Memorychain</v>
      </c>
      <c r="G131" s="1" t="str">
        <f>IFERROR(__xludf.DUMMYFUNCTION("""COMPUTED_VALUE"""),"Series 7")</f>
        <v>Series 7</v>
      </c>
      <c r="H131" s="1" t="s">
        <v>53</v>
      </c>
      <c r="I131" s="1" t="s">
        <v>288</v>
      </c>
      <c r="J131" s="4">
        <v>42917.0</v>
      </c>
      <c r="K131" s="1">
        <v>10000.0</v>
      </c>
      <c r="L131" s="1">
        <v>10000.0</v>
      </c>
      <c r="M131" s="1">
        <v>115.0</v>
      </c>
      <c r="N131" s="6" t="str">
        <f t="shared" si="1"/>
        <v>Memorychain🇯🇵</v>
      </c>
      <c r="P131" s="6" t="str">
        <f>VLOOKUP(D131,'シート2'!A:B, 2, 0)</f>
        <v>@Taky_Taky_</v>
      </c>
    </row>
    <row r="132">
      <c r="A132" s="1" t="s">
        <v>339</v>
      </c>
      <c r="B132" s="3" t="s">
        <v>340</v>
      </c>
      <c r="C132" s="1" t="s">
        <v>16</v>
      </c>
      <c r="D132" s="1" t="s">
        <v>17</v>
      </c>
      <c r="E132" s="1" t="s">
        <v>287</v>
      </c>
      <c r="F132" s="1" t="str">
        <f>IFERROR(__xludf.DUMMYFUNCTION("SPLIT(E132,""&gt;"")"),"Memorychain")</f>
        <v>Memorychain</v>
      </c>
      <c r="G132" s="1" t="str">
        <f>IFERROR(__xludf.DUMMYFUNCTION("""COMPUTED_VALUE"""),"Series 7")</f>
        <v>Series 7</v>
      </c>
      <c r="H132" s="1" t="s">
        <v>17</v>
      </c>
      <c r="I132" s="1" t="s">
        <v>288</v>
      </c>
      <c r="J132" s="4">
        <v>42917.0</v>
      </c>
      <c r="K132" s="1">
        <v>10000.0</v>
      </c>
      <c r="L132" s="1">
        <v>10000.0</v>
      </c>
      <c r="M132" s="1">
        <v>116.0</v>
      </c>
      <c r="N132" s="6" t="str">
        <f t="shared" si="1"/>
        <v>Memorychain🇯🇵</v>
      </c>
      <c r="P132" s="6" t="str">
        <f>VLOOKUP(D132,'シート2'!A:B, 2, 0)</f>
        <v>@kartanbitcoin</v>
      </c>
    </row>
    <row r="133">
      <c r="A133" s="1" t="s">
        <v>341</v>
      </c>
      <c r="B133" s="3" t="s">
        <v>342</v>
      </c>
      <c r="C133" s="1" t="s">
        <v>16</v>
      </c>
      <c r="D133" s="1" t="s">
        <v>95</v>
      </c>
      <c r="E133" s="1" t="s">
        <v>287</v>
      </c>
      <c r="F133" s="1" t="str">
        <f>IFERROR(__xludf.DUMMYFUNCTION("SPLIT(E133,""&gt;"")"),"Memorychain")</f>
        <v>Memorychain</v>
      </c>
      <c r="G133" s="1" t="str">
        <f>IFERROR(__xludf.DUMMYFUNCTION("""COMPUTED_VALUE"""),"Series 7")</f>
        <v>Series 7</v>
      </c>
      <c r="H133" s="1" t="s">
        <v>95</v>
      </c>
      <c r="I133" s="1" t="s">
        <v>288</v>
      </c>
      <c r="J133" s="4">
        <v>42917.0</v>
      </c>
      <c r="K133" s="1">
        <v>10000.0</v>
      </c>
      <c r="L133" s="1">
        <v>10000.0</v>
      </c>
      <c r="M133" s="1">
        <v>117.0</v>
      </c>
      <c r="N133" s="6" t="str">
        <f t="shared" si="1"/>
        <v>Memorychain🇯🇵</v>
      </c>
      <c r="P133" s="6" t="str">
        <f>VLOOKUP(D133,'シート2'!A:B, 2, 0)</f>
        <v>@SmartSpaceDogs</v>
      </c>
    </row>
    <row r="134">
      <c r="A134" s="1" t="s">
        <v>343</v>
      </c>
      <c r="B134" s="3" t="s">
        <v>344</v>
      </c>
      <c r="C134" s="1" t="s">
        <v>16</v>
      </c>
      <c r="D134" s="1" t="s">
        <v>159</v>
      </c>
      <c r="E134" s="1" t="s">
        <v>287</v>
      </c>
      <c r="F134" s="1" t="str">
        <f>IFERROR(__xludf.DUMMYFUNCTION("SPLIT(E134,""&gt;"")"),"Memorychain")</f>
        <v>Memorychain</v>
      </c>
      <c r="G134" s="1" t="str">
        <f>IFERROR(__xludf.DUMMYFUNCTION("""COMPUTED_VALUE"""),"Series 7")</f>
        <v>Series 7</v>
      </c>
      <c r="H134" s="1" t="s">
        <v>159</v>
      </c>
      <c r="I134" s="1" t="s">
        <v>288</v>
      </c>
      <c r="J134" s="4">
        <v>42917.0</v>
      </c>
      <c r="K134" s="1">
        <v>10000.0</v>
      </c>
      <c r="L134" s="1">
        <v>1999.0</v>
      </c>
      <c r="M134" s="1">
        <v>118.0</v>
      </c>
      <c r="N134" s="6" t="str">
        <f t="shared" si="1"/>
        <v>Memorychain🇯🇵</v>
      </c>
      <c r="P134" s="6" t="str">
        <f>VLOOKUP(D134,'シート2'!A:B, 2, 0)</f>
        <v>@1aughingcat</v>
      </c>
    </row>
    <row r="135">
      <c r="A135" s="1" t="s">
        <v>345</v>
      </c>
      <c r="B135" s="3" t="s">
        <v>346</v>
      </c>
      <c r="C135" s="1" t="s">
        <v>16</v>
      </c>
      <c r="D135" s="2" t="s">
        <v>66</v>
      </c>
      <c r="E135" s="1" t="s">
        <v>287</v>
      </c>
      <c r="F135" s="1" t="str">
        <f>IFERROR(__xludf.DUMMYFUNCTION("SPLIT(E135,""&gt;"")"),"Memorychain")</f>
        <v>Memorychain</v>
      </c>
      <c r="G135" s="1" t="str">
        <f>IFERROR(__xludf.DUMMYFUNCTION("""COMPUTED_VALUE"""),"Series 7")</f>
        <v>Series 7</v>
      </c>
      <c r="H135" s="1" t="s">
        <v>66</v>
      </c>
      <c r="I135" s="1" t="s">
        <v>288</v>
      </c>
      <c r="J135" s="4">
        <v>42917.0</v>
      </c>
      <c r="K135" s="1">
        <v>10000.0</v>
      </c>
      <c r="L135" s="1">
        <v>10000.0</v>
      </c>
      <c r="M135" s="1">
        <v>119.0</v>
      </c>
      <c r="N135" s="6" t="str">
        <f t="shared" si="1"/>
        <v>Memorychain🇯🇵</v>
      </c>
      <c r="P135" s="6" t="str">
        <f>VLOOKUP(D135,'シート2'!A:B, 2, 0)</f>
        <v>@nemkd12</v>
      </c>
    </row>
    <row r="136">
      <c r="A136" s="1" t="s">
        <v>347</v>
      </c>
      <c r="B136" s="3" t="s">
        <v>348</v>
      </c>
      <c r="C136" s="1" t="s">
        <v>16</v>
      </c>
      <c r="D136" s="1" t="s">
        <v>349</v>
      </c>
      <c r="E136" s="1" t="s">
        <v>287</v>
      </c>
      <c r="F136" s="1" t="str">
        <f>IFERROR(__xludf.DUMMYFUNCTION("SPLIT(E136,""&gt;"")"),"Memorychain")</f>
        <v>Memorychain</v>
      </c>
      <c r="G136" s="1" t="str">
        <f>IFERROR(__xludf.DUMMYFUNCTION("""COMPUTED_VALUE"""),"Series 7")</f>
        <v>Series 7</v>
      </c>
      <c r="H136" s="1" t="s">
        <v>349</v>
      </c>
      <c r="I136" s="1" t="s">
        <v>288</v>
      </c>
      <c r="J136" s="4">
        <v>42917.0</v>
      </c>
      <c r="K136" s="1">
        <v>10000.0</v>
      </c>
      <c r="L136" s="1">
        <v>10000.0</v>
      </c>
      <c r="M136" s="1">
        <v>101.0</v>
      </c>
      <c r="N136" s="6" t="str">
        <f t="shared" si="1"/>
        <v>Memorychain🇯🇵</v>
      </c>
      <c r="P136" s="6" t="str">
        <f>VLOOKUP(D136,'シート2'!A:B, 2, 0)</f>
        <v>Rin MIZUNASHI</v>
      </c>
    </row>
    <row r="137">
      <c r="A137" s="1" t="s">
        <v>350</v>
      </c>
      <c r="B137" s="3" t="s">
        <v>351</v>
      </c>
      <c r="C137" s="1" t="s">
        <v>16</v>
      </c>
      <c r="D137" s="1" t="s">
        <v>352</v>
      </c>
      <c r="E137" s="1" t="s">
        <v>353</v>
      </c>
      <c r="F137" s="1" t="str">
        <f>IFERROR(__xludf.DUMMYFUNCTION("SPLIT(E137,""&gt;"")"),"Memorychain")</f>
        <v>Memorychain</v>
      </c>
      <c r="G137" s="1" t="str">
        <f>IFERROR(__xludf.DUMMYFUNCTION("""COMPUTED_VALUE"""),"Series 8")</f>
        <v>Series 8</v>
      </c>
      <c r="H137" s="1" t="s">
        <v>352</v>
      </c>
      <c r="I137" s="1" t="s">
        <v>288</v>
      </c>
      <c r="J137" s="4">
        <v>42917.0</v>
      </c>
      <c r="K137" s="1">
        <v>300.0</v>
      </c>
      <c r="L137" s="1">
        <v>300.0</v>
      </c>
      <c r="M137" s="1">
        <v>120.0</v>
      </c>
      <c r="N137" s="6" t="str">
        <f t="shared" si="1"/>
        <v>Memorychain🇯🇵</v>
      </c>
      <c r="P137" s="6" t="str">
        <f>VLOOKUP(D137,'シート2'!A:B, 2, 0)</f>
        <v>ぽん</v>
      </c>
    </row>
    <row r="138">
      <c r="A138" s="1" t="s">
        <v>354</v>
      </c>
      <c r="B138" s="3" t="s">
        <v>355</v>
      </c>
      <c r="C138" s="1" t="s">
        <v>16</v>
      </c>
      <c r="D138" s="1" t="s">
        <v>123</v>
      </c>
      <c r="E138" s="1" t="s">
        <v>353</v>
      </c>
      <c r="F138" s="1" t="str">
        <f>IFERROR(__xludf.DUMMYFUNCTION("SPLIT(E138,""&gt;"")"),"Memorychain")</f>
        <v>Memorychain</v>
      </c>
      <c r="G138" s="1" t="str">
        <f>IFERROR(__xludf.DUMMYFUNCTION("""COMPUTED_VALUE"""),"Series 8")</f>
        <v>Series 8</v>
      </c>
      <c r="H138" s="1" t="s">
        <v>123</v>
      </c>
      <c r="I138" s="1" t="s">
        <v>288</v>
      </c>
      <c r="J138" s="4">
        <v>42917.0</v>
      </c>
      <c r="K138" s="1">
        <v>100.0</v>
      </c>
      <c r="L138" s="1">
        <v>100.0</v>
      </c>
      <c r="M138" s="1">
        <v>121.0</v>
      </c>
      <c r="N138" s="6" t="str">
        <f t="shared" si="1"/>
        <v>Memorychain🇯🇵</v>
      </c>
      <c r="P138" s="6" t="str">
        <f>VLOOKUP(D138,'シート2'!A:B, 2, 0)</f>
        <v>@kassy_nara</v>
      </c>
    </row>
    <row r="139">
      <c r="A139" s="1" t="s">
        <v>356</v>
      </c>
      <c r="B139" s="3" t="s">
        <v>357</v>
      </c>
      <c r="C139" s="1" t="s">
        <v>16</v>
      </c>
      <c r="D139" s="1" t="s">
        <v>227</v>
      </c>
      <c r="E139" s="1" t="s">
        <v>353</v>
      </c>
      <c r="F139" s="1" t="str">
        <f>IFERROR(__xludf.DUMMYFUNCTION("SPLIT(E139,""&gt;"")"),"Memorychain")</f>
        <v>Memorychain</v>
      </c>
      <c r="G139" s="1" t="str">
        <f>IFERROR(__xludf.DUMMYFUNCTION("""COMPUTED_VALUE"""),"Series 8")</f>
        <v>Series 8</v>
      </c>
      <c r="H139" s="1" t="s">
        <v>227</v>
      </c>
      <c r="I139" s="1" t="s">
        <v>288</v>
      </c>
      <c r="J139" s="4">
        <v>42917.0</v>
      </c>
      <c r="K139" s="1">
        <v>100.0</v>
      </c>
      <c r="L139" s="1">
        <v>100.0</v>
      </c>
      <c r="M139" s="1">
        <v>122.0</v>
      </c>
      <c r="N139" s="6" t="str">
        <f t="shared" si="1"/>
        <v>Memorychain🇯🇵</v>
      </c>
      <c r="P139" s="6" t="str">
        <f>VLOOKUP(D139,'シート2'!A:B, 2, 0)</f>
        <v>メルキャット</v>
      </c>
    </row>
    <row r="140">
      <c r="A140" s="1" t="s">
        <v>358</v>
      </c>
      <c r="B140" s="3" t="s">
        <v>359</v>
      </c>
      <c r="C140" s="1" t="s">
        <v>16</v>
      </c>
      <c r="D140" s="1" t="s">
        <v>79</v>
      </c>
      <c r="E140" s="1" t="s">
        <v>353</v>
      </c>
      <c r="F140" s="1" t="str">
        <f>IFERROR(__xludf.DUMMYFUNCTION("SPLIT(E140,""&gt;"")"),"Memorychain")</f>
        <v>Memorychain</v>
      </c>
      <c r="G140" s="1" t="str">
        <f>IFERROR(__xludf.DUMMYFUNCTION("""COMPUTED_VALUE"""),"Series 8")</f>
        <v>Series 8</v>
      </c>
      <c r="H140" s="1" t="s">
        <v>79</v>
      </c>
      <c r="I140" s="1" t="s">
        <v>288</v>
      </c>
      <c r="J140" s="4">
        <v>42917.0</v>
      </c>
      <c r="K140" s="1">
        <v>200.0</v>
      </c>
      <c r="L140" s="1">
        <v>200.0</v>
      </c>
      <c r="M140" s="1">
        <v>123.0</v>
      </c>
      <c r="N140" s="6" t="str">
        <f t="shared" si="1"/>
        <v>Memorychain🇯🇵</v>
      </c>
      <c r="P140" s="6" t="str">
        <f>VLOOKUP(D140,'シート2'!A:B, 2, 0)</f>
        <v>@TrendStream</v>
      </c>
    </row>
    <row r="141">
      <c r="A141" s="1" t="s">
        <v>360</v>
      </c>
      <c r="B141" s="3" t="s">
        <v>361</v>
      </c>
      <c r="C141" s="1" t="s">
        <v>16</v>
      </c>
      <c r="D141" s="1" t="s">
        <v>128</v>
      </c>
      <c r="E141" s="1" t="s">
        <v>353</v>
      </c>
      <c r="F141" s="1" t="str">
        <f>IFERROR(__xludf.DUMMYFUNCTION("SPLIT(E141,""&gt;"")"),"Memorychain")</f>
        <v>Memorychain</v>
      </c>
      <c r="G141" s="1" t="str">
        <f>IFERROR(__xludf.DUMMYFUNCTION("""COMPUTED_VALUE"""),"Series 8")</f>
        <v>Series 8</v>
      </c>
      <c r="H141" s="1" t="s">
        <v>128</v>
      </c>
      <c r="I141" s="1" t="s">
        <v>288</v>
      </c>
      <c r="J141" s="4">
        <v>42917.0</v>
      </c>
      <c r="K141" s="1">
        <v>500.0</v>
      </c>
      <c r="L141" s="1">
        <v>500.0</v>
      </c>
      <c r="M141" s="1">
        <v>124.0</v>
      </c>
      <c r="N141" s="6" t="str">
        <f t="shared" si="1"/>
        <v>Memorychain🇯🇵</v>
      </c>
      <c r="P141" s="6" t="str">
        <f>VLOOKUP(D141,'シート2'!A:B, 2, 0)</f>
        <v>@mizcored</v>
      </c>
    </row>
    <row r="142">
      <c r="A142" s="1" t="s">
        <v>362</v>
      </c>
      <c r="B142" s="3" t="s">
        <v>363</v>
      </c>
      <c r="C142" s="1" t="s">
        <v>16</v>
      </c>
      <c r="D142" s="1" t="s">
        <v>330</v>
      </c>
      <c r="E142" s="1" t="s">
        <v>353</v>
      </c>
      <c r="F142" s="1" t="str">
        <f>IFERROR(__xludf.DUMMYFUNCTION("SPLIT(E142,""&gt;"")"),"Memorychain")</f>
        <v>Memorychain</v>
      </c>
      <c r="G142" s="1" t="str">
        <f>IFERROR(__xludf.DUMMYFUNCTION("""COMPUTED_VALUE"""),"Series 8")</f>
        <v>Series 8</v>
      </c>
      <c r="H142" s="1" t="s">
        <v>330</v>
      </c>
      <c r="I142" s="1" t="s">
        <v>288</v>
      </c>
      <c r="J142" s="4">
        <v>42917.0</v>
      </c>
      <c r="K142" s="1">
        <v>100.0</v>
      </c>
      <c r="L142" s="1">
        <v>100.0</v>
      </c>
      <c r="M142" s="1">
        <v>125.0</v>
      </c>
      <c r="N142" s="6" t="str">
        <f t="shared" si="1"/>
        <v>Memorychain🇯🇵</v>
      </c>
      <c r="P142" s="6" t="str">
        <f>VLOOKUP(D142,'シート2'!A:B, 2, 0)</f>
        <v>ウーピン</v>
      </c>
    </row>
    <row r="143">
      <c r="A143" s="1" t="s">
        <v>364</v>
      </c>
      <c r="B143" s="3" t="s">
        <v>365</v>
      </c>
      <c r="C143" s="1" t="s">
        <v>16</v>
      </c>
      <c r="D143" s="1" t="s">
        <v>366</v>
      </c>
      <c r="E143" s="1" t="s">
        <v>353</v>
      </c>
      <c r="F143" s="1" t="str">
        <f>IFERROR(__xludf.DUMMYFUNCTION("SPLIT(E143,""&gt;"")"),"Memorychain")</f>
        <v>Memorychain</v>
      </c>
      <c r="G143" s="1" t="str">
        <f>IFERROR(__xludf.DUMMYFUNCTION("""COMPUTED_VALUE"""),"Series 8")</f>
        <v>Series 8</v>
      </c>
      <c r="H143" s="1" t="s">
        <v>366</v>
      </c>
      <c r="I143" s="1" t="s">
        <v>288</v>
      </c>
      <c r="J143" s="4">
        <v>42917.0</v>
      </c>
      <c r="K143" s="1">
        <v>10000.0</v>
      </c>
      <c r="L143" s="1">
        <v>10000.0</v>
      </c>
      <c r="M143" s="1">
        <v>126.0</v>
      </c>
      <c r="N143" s="6" t="str">
        <f t="shared" si="1"/>
        <v>Memorychain🇯🇵</v>
      </c>
      <c r="P143" s="6" t="str">
        <f>VLOOKUP(D143,'シート2'!A:B, 2, 0)</f>
        <v>やっすんX</v>
      </c>
    </row>
    <row r="144">
      <c r="A144" s="1" t="s">
        <v>367</v>
      </c>
      <c r="B144" s="3" t="s">
        <v>368</v>
      </c>
      <c r="C144" s="1" t="s">
        <v>16</v>
      </c>
      <c r="D144" s="1" t="s">
        <v>44</v>
      </c>
      <c r="E144" s="1" t="s">
        <v>353</v>
      </c>
      <c r="F144" s="1" t="str">
        <f>IFERROR(__xludf.DUMMYFUNCTION("SPLIT(E144,""&gt;"")"),"Memorychain")</f>
        <v>Memorychain</v>
      </c>
      <c r="G144" s="1" t="str">
        <f>IFERROR(__xludf.DUMMYFUNCTION("""COMPUTED_VALUE"""),"Series 8")</f>
        <v>Series 8</v>
      </c>
      <c r="H144" s="1" t="s">
        <v>44</v>
      </c>
      <c r="I144" s="1" t="s">
        <v>288</v>
      </c>
      <c r="J144" s="4">
        <v>42917.0</v>
      </c>
      <c r="K144" s="1">
        <v>999.0</v>
      </c>
      <c r="L144" s="1">
        <v>999.0</v>
      </c>
      <c r="M144" s="1">
        <v>127.0</v>
      </c>
      <c r="N144" s="6" t="str">
        <f t="shared" si="1"/>
        <v>Memorychain🇯🇵</v>
      </c>
      <c r="P144" s="6" t="str">
        <f>VLOOKUP(D144,'シート2'!A:B, 2, 0)</f>
        <v>Anonymous</v>
      </c>
    </row>
    <row r="145">
      <c r="A145" s="1" t="s">
        <v>369</v>
      </c>
      <c r="B145" s="3" t="s">
        <v>370</v>
      </c>
      <c r="C145" s="1" t="s">
        <v>16</v>
      </c>
      <c r="D145" s="1" t="s">
        <v>371</v>
      </c>
      <c r="E145" s="1" t="s">
        <v>353</v>
      </c>
      <c r="F145" s="1" t="str">
        <f>IFERROR(__xludf.DUMMYFUNCTION("SPLIT(E145,""&gt;"")"),"Memorychain")</f>
        <v>Memorychain</v>
      </c>
      <c r="G145" s="1" t="str">
        <f>IFERROR(__xludf.DUMMYFUNCTION("""COMPUTED_VALUE"""),"Series 8")</f>
        <v>Series 8</v>
      </c>
      <c r="H145" s="1" t="s">
        <v>371</v>
      </c>
      <c r="I145" s="1" t="s">
        <v>288</v>
      </c>
      <c r="J145" s="4">
        <v>42917.0</v>
      </c>
      <c r="K145" s="1">
        <v>200.0</v>
      </c>
      <c r="L145" s="1">
        <v>200.0</v>
      </c>
      <c r="M145" s="1">
        <v>128.0</v>
      </c>
      <c r="N145" s="6" t="str">
        <f t="shared" si="1"/>
        <v>Memorychain🇯🇵</v>
      </c>
      <c r="P145" s="6" t="str">
        <f>VLOOKUP(D145,'シート2'!A:B, 2, 0)</f>
        <v>かなぴっぴ</v>
      </c>
    </row>
    <row r="146">
      <c r="A146" s="1" t="s">
        <v>372</v>
      </c>
      <c r="B146" s="3" t="s">
        <v>373</v>
      </c>
      <c r="C146" s="1" t="s">
        <v>16</v>
      </c>
      <c r="D146" s="1" t="s">
        <v>44</v>
      </c>
      <c r="E146" s="1" t="s">
        <v>353</v>
      </c>
      <c r="F146" s="1" t="str">
        <f>IFERROR(__xludf.DUMMYFUNCTION("SPLIT(E146,""&gt;"")"),"Memorychain")</f>
        <v>Memorychain</v>
      </c>
      <c r="G146" s="1" t="str">
        <f>IFERROR(__xludf.DUMMYFUNCTION("""COMPUTED_VALUE"""),"Series 8")</f>
        <v>Series 8</v>
      </c>
      <c r="H146" s="1" t="s">
        <v>44</v>
      </c>
      <c r="I146" s="1" t="s">
        <v>288</v>
      </c>
      <c r="J146" s="4">
        <v>42917.0</v>
      </c>
      <c r="K146" s="1">
        <v>150.0</v>
      </c>
      <c r="L146" s="1">
        <v>150.0</v>
      </c>
      <c r="M146" s="1">
        <v>129.0</v>
      </c>
      <c r="N146" s="6" t="str">
        <f t="shared" si="1"/>
        <v>Memorychain🇯🇵</v>
      </c>
      <c r="P146" s="6" t="str">
        <f>VLOOKUP(D146,'シート2'!A:B, 2, 0)</f>
        <v>Anonymous</v>
      </c>
    </row>
    <row r="147">
      <c r="A147" s="1" t="s">
        <v>374</v>
      </c>
      <c r="B147" s="3" t="s">
        <v>375</v>
      </c>
      <c r="C147" s="1" t="s">
        <v>16</v>
      </c>
      <c r="D147" s="1" t="s">
        <v>376</v>
      </c>
      <c r="E147" s="1" t="s">
        <v>353</v>
      </c>
      <c r="F147" s="1" t="str">
        <f>IFERROR(__xludf.DUMMYFUNCTION("SPLIT(E147,""&gt;"")"),"Memorychain")</f>
        <v>Memorychain</v>
      </c>
      <c r="G147" s="1" t="str">
        <f>IFERROR(__xludf.DUMMYFUNCTION("""COMPUTED_VALUE"""),"Series 8")</f>
        <v>Series 8</v>
      </c>
      <c r="H147" s="1" t="s">
        <v>376</v>
      </c>
      <c r="I147" s="1" t="s">
        <v>288</v>
      </c>
      <c r="J147" s="4">
        <v>42917.0</v>
      </c>
      <c r="K147" s="1">
        <v>200.0</v>
      </c>
      <c r="L147" s="1">
        <v>200.0</v>
      </c>
      <c r="M147" s="1">
        <v>130.0</v>
      </c>
      <c r="N147" s="6" t="str">
        <f t="shared" si="1"/>
        <v>Memorychain🇯🇵</v>
      </c>
      <c r="P147" s="6" t="str">
        <f>VLOOKUP(D147,'シート2'!A:B, 2, 0)</f>
        <v>@CryptoKaiketsuZ</v>
      </c>
    </row>
    <row r="148">
      <c r="A148" s="1" t="s">
        <v>377</v>
      </c>
      <c r="B148" s="3" t="s">
        <v>378</v>
      </c>
      <c r="C148" s="1" t="s">
        <v>16</v>
      </c>
      <c r="D148" s="1" t="s">
        <v>79</v>
      </c>
      <c r="E148" s="1" t="s">
        <v>353</v>
      </c>
      <c r="F148" s="1" t="str">
        <f>IFERROR(__xludf.DUMMYFUNCTION("SPLIT(E148,""&gt;"")"),"Memorychain")</f>
        <v>Memorychain</v>
      </c>
      <c r="G148" s="1" t="str">
        <f>IFERROR(__xludf.DUMMYFUNCTION("""COMPUTED_VALUE"""),"Series 8")</f>
        <v>Series 8</v>
      </c>
      <c r="H148" s="1" t="s">
        <v>79</v>
      </c>
      <c r="I148" s="1" t="s">
        <v>288</v>
      </c>
      <c r="J148" s="4">
        <v>42917.0</v>
      </c>
      <c r="K148" s="1">
        <v>200.0</v>
      </c>
      <c r="L148" s="1">
        <v>200.0</v>
      </c>
      <c r="M148" s="1">
        <v>131.0</v>
      </c>
      <c r="N148" s="6" t="str">
        <f t="shared" si="1"/>
        <v>Memorychain🇯🇵</v>
      </c>
      <c r="P148" s="6" t="str">
        <f>VLOOKUP(D148,'シート2'!A:B, 2, 0)</f>
        <v>@TrendStream</v>
      </c>
    </row>
    <row r="149">
      <c r="A149" s="1" t="s">
        <v>379</v>
      </c>
      <c r="B149" s="3" t="s">
        <v>380</v>
      </c>
      <c r="C149" s="1" t="s">
        <v>16</v>
      </c>
      <c r="D149" s="1" t="s">
        <v>123</v>
      </c>
      <c r="E149" s="1" t="s">
        <v>353</v>
      </c>
      <c r="F149" s="1" t="str">
        <f>IFERROR(__xludf.DUMMYFUNCTION("SPLIT(E149,""&gt;"")"),"Memorychain")</f>
        <v>Memorychain</v>
      </c>
      <c r="G149" s="1" t="str">
        <f>IFERROR(__xludf.DUMMYFUNCTION("""COMPUTED_VALUE"""),"Series 8")</f>
        <v>Series 8</v>
      </c>
      <c r="H149" s="1" t="s">
        <v>123</v>
      </c>
      <c r="I149" s="1" t="s">
        <v>288</v>
      </c>
      <c r="J149" s="4">
        <v>42917.0</v>
      </c>
      <c r="K149" s="1">
        <v>100.0</v>
      </c>
      <c r="L149" s="1">
        <v>100.0</v>
      </c>
      <c r="M149" s="1">
        <v>132.0</v>
      </c>
      <c r="N149" s="6" t="str">
        <f t="shared" si="1"/>
        <v>Memorychain🇯🇵</v>
      </c>
      <c r="P149" s="6" t="str">
        <f>VLOOKUP(D149,'シート2'!A:B, 2, 0)</f>
        <v>@kassy_nara</v>
      </c>
    </row>
    <row r="150">
      <c r="A150" s="1" t="s">
        <v>381</v>
      </c>
      <c r="B150" s="3" t="s">
        <v>382</v>
      </c>
      <c r="C150" s="1" t="s">
        <v>16</v>
      </c>
      <c r="D150" s="1" t="s">
        <v>89</v>
      </c>
      <c r="E150" s="1" t="s">
        <v>353</v>
      </c>
      <c r="F150" s="1" t="str">
        <f>IFERROR(__xludf.DUMMYFUNCTION("SPLIT(E150,""&gt;"")"),"Memorychain")</f>
        <v>Memorychain</v>
      </c>
      <c r="G150" s="1" t="str">
        <f>IFERROR(__xludf.DUMMYFUNCTION("""COMPUTED_VALUE"""),"Series 8")</f>
        <v>Series 8</v>
      </c>
      <c r="H150" s="1" t="s">
        <v>89</v>
      </c>
      <c r="I150" s="1" t="s">
        <v>288</v>
      </c>
      <c r="J150" s="4">
        <v>42917.0</v>
      </c>
      <c r="K150" s="1">
        <v>100.0</v>
      </c>
      <c r="L150" s="1">
        <v>100.0</v>
      </c>
      <c r="M150" s="1">
        <v>133.0</v>
      </c>
      <c r="N150" s="6" t="str">
        <f t="shared" si="1"/>
        <v>Memorychain🇯🇵</v>
      </c>
      <c r="P150" s="6" t="str">
        <f>VLOOKUP(D150,'シート2'!A:B, 2, 0)</f>
        <v>@sai33211</v>
      </c>
    </row>
    <row r="151">
      <c r="A151" s="1" t="s">
        <v>383</v>
      </c>
      <c r="B151" s="3" t="s">
        <v>384</v>
      </c>
      <c r="C151" s="1" t="s">
        <v>16</v>
      </c>
      <c r="D151" s="1" t="s">
        <v>186</v>
      </c>
      <c r="E151" s="1" t="s">
        <v>353</v>
      </c>
      <c r="F151" s="1" t="str">
        <f>IFERROR(__xludf.DUMMYFUNCTION("SPLIT(E151,""&gt;"")"),"Memorychain")</f>
        <v>Memorychain</v>
      </c>
      <c r="G151" s="1" t="str">
        <f>IFERROR(__xludf.DUMMYFUNCTION("""COMPUTED_VALUE"""),"Series 8")</f>
        <v>Series 8</v>
      </c>
      <c r="H151" s="1" t="s">
        <v>186</v>
      </c>
      <c r="I151" s="1" t="s">
        <v>288</v>
      </c>
      <c r="J151" s="4">
        <v>42917.0</v>
      </c>
      <c r="K151" s="1">
        <v>500.0</v>
      </c>
      <c r="L151" s="1">
        <v>500.0</v>
      </c>
      <c r="M151" s="1">
        <v>134.0</v>
      </c>
      <c r="N151" s="6" t="str">
        <f t="shared" si="1"/>
        <v>Memorychain🇯🇵</v>
      </c>
      <c r="P151" s="6" t="str">
        <f>VLOOKUP(D151,'シート2'!A:B, 2, 0)</f>
        <v>@x0xb0x1</v>
      </c>
    </row>
    <row r="152">
      <c r="A152" s="1" t="s">
        <v>385</v>
      </c>
      <c r="B152" s="3" t="s">
        <v>386</v>
      </c>
      <c r="C152" s="1" t="s">
        <v>16</v>
      </c>
      <c r="D152" s="1" t="s">
        <v>330</v>
      </c>
      <c r="E152" s="1" t="s">
        <v>353</v>
      </c>
      <c r="F152" s="1" t="str">
        <f>IFERROR(__xludf.DUMMYFUNCTION("SPLIT(E152,""&gt;"")"),"Memorychain")</f>
        <v>Memorychain</v>
      </c>
      <c r="G152" s="1" t="str">
        <f>IFERROR(__xludf.DUMMYFUNCTION("""COMPUTED_VALUE"""),"Series 8")</f>
        <v>Series 8</v>
      </c>
      <c r="H152" s="1" t="s">
        <v>330</v>
      </c>
      <c r="I152" s="1" t="s">
        <v>288</v>
      </c>
      <c r="J152" s="4">
        <v>42917.0</v>
      </c>
      <c r="K152" s="1">
        <v>100.0</v>
      </c>
      <c r="L152" s="1">
        <v>100.0</v>
      </c>
      <c r="M152" s="1">
        <v>135.0</v>
      </c>
      <c r="N152" s="6" t="str">
        <f t="shared" si="1"/>
        <v>Memorychain🇯🇵</v>
      </c>
      <c r="P152" s="6" t="str">
        <f>VLOOKUP(D152,'シート2'!A:B, 2, 0)</f>
        <v>ウーピン</v>
      </c>
    </row>
    <row r="153">
      <c r="A153" s="1" t="s">
        <v>387</v>
      </c>
      <c r="B153" s="3" t="s">
        <v>388</v>
      </c>
      <c r="C153" s="1" t="s">
        <v>16</v>
      </c>
      <c r="D153" s="1" t="s">
        <v>234</v>
      </c>
      <c r="E153" s="1" t="s">
        <v>353</v>
      </c>
      <c r="F153" s="1" t="str">
        <f>IFERROR(__xludf.DUMMYFUNCTION("SPLIT(E153,""&gt;"")"),"Memorychain")</f>
        <v>Memorychain</v>
      </c>
      <c r="G153" s="1" t="str">
        <f>IFERROR(__xludf.DUMMYFUNCTION("""COMPUTED_VALUE"""),"Series 8")</f>
        <v>Series 8</v>
      </c>
      <c r="H153" s="1" t="s">
        <v>234</v>
      </c>
      <c r="I153" s="1" t="s">
        <v>288</v>
      </c>
      <c r="J153" s="4">
        <v>42917.0</v>
      </c>
      <c r="K153" s="1">
        <v>841.0</v>
      </c>
      <c r="L153" s="1">
        <v>841.0</v>
      </c>
      <c r="M153" s="1">
        <v>136.0</v>
      </c>
      <c r="N153" s="6" t="str">
        <f t="shared" si="1"/>
        <v>Memorychain🇯🇵</v>
      </c>
      <c r="P153" s="6" t="str">
        <f>VLOOKUP(D153,'シート2'!A:B, 2, 0)</f>
        <v>栗饅頭</v>
      </c>
    </row>
    <row r="154">
      <c r="A154" s="1" t="s">
        <v>389</v>
      </c>
      <c r="B154" s="3" t="s">
        <v>390</v>
      </c>
      <c r="C154" s="1" t="s">
        <v>16</v>
      </c>
      <c r="D154" s="1" t="s">
        <v>95</v>
      </c>
      <c r="E154" s="1" t="s">
        <v>353</v>
      </c>
      <c r="F154" s="1" t="str">
        <f>IFERROR(__xludf.DUMMYFUNCTION("SPLIT(E154,""&gt;"")"),"Memorychain")</f>
        <v>Memorychain</v>
      </c>
      <c r="G154" s="1" t="str">
        <f>IFERROR(__xludf.DUMMYFUNCTION("""COMPUTED_VALUE"""),"Series 8")</f>
        <v>Series 8</v>
      </c>
      <c r="H154" s="1" t="s">
        <v>95</v>
      </c>
      <c r="I154" s="1" t="s">
        <v>288</v>
      </c>
      <c r="J154" s="4">
        <v>42917.0</v>
      </c>
      <c r="K154" s="1">
        <v>2000.0</v>
      </c>
      <c r="L154" s="1">
        <v>2000.0</v>
      </c>
      <c r="M154" s="1">
        <v>137.0</v>
      </c>
      <c r="N154" s="6" t="str">
        <f t="shared" si="1"/>
        <v>Memorychain🇯🇵</v>
      </c>
      <c r="P154" s="6" t="str">
        <f>VLOOKUP(D154,'シート2'!A:B, 2, 0)</f>
        <v>@SmartSpaceDogs</v>
      </c>
    </row>
    <row r="155">
      <c r="A155" s="1" t="s">
        <v>391</v>
      </c>
      <c r="B155" s="3" t="s">
        <v>392</v>
      </c>
      <c r="C155" s="1" t="s">
        <v>16</v>
      </c>
      <c r="D155" s="1" t="s">
        <v>393</v>
      </c>
      <c r="E155" s="1" t="s">
        <v>394</v>
      </c>
      <c r="F155" s="1" t="str">
        <f>IFERROR(__xludf.DUMMYFUNCTION("SPLIT(E155,""&gt;"")"),"Memorychain")</f>
        <v>Memorychain</v>
      </c>
      <c r="G155" s="1" t="str">
        <f>IFERROR(__xludf.DUMMYFUNCTION("""COMPUTED_VALUE"""),"Series 9")</f>
        <v>Series 9</v>
      </c>
      <c r="H155" s="1" t="s">
        <v>393</v>
      </c>
      <c r="I155" s="1" t="s">
        <v>395</v>
      </c>
      <c r="J155" s="4">
        <v>42948.0</v>
      </c>
      <c r="K155" s="1">
        <v>200.0</v>
      </c>
      <c r="L155" s="1">
        <v>200.0</v>
      </c>
      <c r="M155" s="1">
        <v>138.0</v>
      </c>
      <c r="N155" s="6" t="str">
        <f t="shared" si="1"/>
        <v>Memorychain🇯🇵</v>
      </c>
      <c r="P155" s="6" t="str">
        <f>VLOOKUP(D155,'シート2'!A:B, 2, 0)</f>
        <v>sasu</v>
      </c>
    </row>
    <row r="156">
      <c r="A156" s="1" t="s">
        <v>396</v>
      </c>
      <c r="B156" s="3" t="s">
        <v>397</v>
      </c>
      <c r="C156" s="1" t="s">
        <v>16</v>
      </c>
      <c r="D156" s="1" t="s">
        <v>330</v>
      </c>
      <c r="E156" s="1" t="s">
        <v>394</v>
      </c>
      <c r="F156" s="1" t="str">
        <f>IFERROR(__xludf.DUMMYFUNCTION("SPLIT(E156,""&gt;"")"),"Memorychain")</f>
        <v>Memorychain</v>
      </c>
      <c r="G156" s="1" t="str">
        <f>IFERROR(__xludf.DUMMYFUNCTION("""COMPUTED_VALUE"""),"Series 9")</f>
        <v>Series 9</v>
      </c>
      <c r="H156" s="1" t="s">
        <v>330</v>
      </c>
      <c r="I156" s="1" t="s">
        <v>395</v>
      </c>
      <c r="J156" s="4">
        <v>42948.0</v>
      </c>
      <c r="K156" s="1">
        <v>300.0</v>
      </c>
      <c r="L156" s="1">
        <v>300.0</v>
      </c>
      <c r="M156" s="1">
        <v>139.0</v>
      </c>
      <c r="N156" s="6" t="str">
        <f t="shared" si="1"/>
        <v>Memorychain🇯🇵</v>
      </c>
      <c r="P156" s="6" t="str">
        <f>VLOOKUP(D156,'シート2'!A:B, 2, 0)</f>
        <v>ウーピン</v>
      </c>
    </row>
    <row r="157">
      <c r="A157" s="1" t="s">
        <v>398</v>
      </c>
      <c r="B157" s="3" t="s">
        <v>399</v>
      </c>
      <c r="C157" s="1" t="s">
        <v>16</v>
      </c>
      <c r="D157" s="1" t="s">
        <v>330</v>
      </c>
      <c r="E157" s="1" t="s">
        <v>394</v>
      </c>
      <c r="F157" s="1" t="str">
        <f>IFERROR(__xludf.DUMMYFUNCTION("SPLIT(E157,""&gt;"")"),"Memorychain")</f>
        <v>Memorychain</v>
      </c>
      <c r="G157" s="1" t="str">
        <f>IFERROR(__xludf.DUMMYFUNCTION("""COMPUTED_VALUE"""),"Series 9")</f>
        <v>Series 9</v>
      </c>
      <c r="H157" s="1" t="s">
        <v>330</v>
      </c>
      <c r="I157" s="1" t="s">
        <v>395</v>
      </c>
      <c r="J157" s="4">
        <v>42948.0</v>
      </c>
      <c r="K157" s="1">
        <v>200.0</v>
      </c>
      <c r="L157" s="1">
        <v>200.0</v>
      </c>
      <c r="M157" s="1">
        <v>140.0</v>
      </c>
      <c r="N157" s="6" t="str">
        <f t="shared" si="1"/>
        <v>Memorychain🇯🇵</v>
      </c>
      <c r="P157" s="6" t="str">
        <f>VLOOKUP(D157,'シート2'!A:B, 2, 0)</f>
        <v>ウーピン</v>
      </c>
    </row>
    <row r="158">
      <c r="A158" s="1" t="s">
        <v>400</v>
      </c>
      <c r="B158" s="3" t="s">
        <v>401</v>
      </c>
      <c r="C158" s="1" t="s">
        <v>16</v>
      </c>
      <c r="D158" s="1" t="s">
        <v>330</v>
      </c>
      <c r="E158" s="1" t="s">
        <v>394</v>
      </c>
      <c r="F158" s="1" t="str">
        <f>IFERROR(__xludf.DUMMYFUNCTION("SPLIT(E158,""&gt;"")"),"Memorychain")</f>
        <v>Memorychain</v>
      </c>
      <c r="G158" s="1" t="str">
        <f>IFERROR(__xludf.DUMMYFUNCTION("""COMPUTED_VALUE"""),"Series 9")</f>
        <v>Series 9</v>
      </c>
      <c r="H158" s="1" t="s">
        <v>330</v>
      </c>
      <c r="I158" s="1" t="s">
        <v>395</v>
      </c>
      <c r="J158" s="4">
        <v>42948.0</v>
      </c>
      <c r="K158" s="1">
        <v>100.0</v>
      </c>
      <c r="L158" s="1">
        <v>100.0</v>
      </c>
      <c r="M158" s="1">
        <v>141.0</v>
      </c>
      <c r="N158" s="6" t="str">
        <f t="shared" si="1"/>
        <v>Memorychain🇯🇵</v>
      </c>
      <c r="P158" s="6" t="str">
        <f>VLOOKUP(D158,'シート2'!A:B, 2, 0)</f>
        <v>ウーピン</v>
      </c>
    </row>
    <row r="159">
      <c r="A159" s="1" t="s">
        <v>402</v>
      </c>
      <c r="B159" s="3" t="s">
        <v>403</v>
      </c>
      <c r="C159" s="1" t="s">
        <v>16</v>
      </c>
      <c r="D159" s="1" t="s">
        <v>330</v>
      </c>
      <c r="E159" s="1" t="s">
        <v>394</v>
      </c>
      <c r="F159" s="1" t="str">
        <f>IFERROR(__xludf.DUMMYFUNCTION("SPLIT(E159,""&gt;"")"),"Memorychain")</f>
        <v>Memorychain</v>
      </c>
      <c r="G159" s="1" t="str">
        <f>IFERROR(__xludf.DUMMYFUNCTION("""COMPUTED_VALUE"""),"Series 9")</f>
        <v>Series 9</v>
      </c>
      <c r="H159" s="1" t="s">
        <v>330</v>
      </c>
      <c r="I159" s="1" t="s">
        <v>395</v>
      </c>
      <c r="J159" s="4">
        <v>42948.0</v>
      </c>
      <c r="K159" s="1">
        <v>100.0</v>
      </c>
      <c r="L159" s="1">
        <v>100.0</v>
      </c>
      <c r="M159" s="1">
        <v>142.0</v>
      </c>
      <c r="N159" s="6" t="str">
        <f t="shared" si="1"/>
        <v>Memorychain🇯🇵</v>
      </c>
      <c r="P159" s="6" t="str">
        <f>VLOOKUP(D159,'シート2'!A:B, 2, 0)</f>
        <v>ウーピン</v>
      </c>
    </row>
    <row r="160">
      <c r="A160" s="1" t="s">
        <v>404</v>
      </c>
      <c r="B160" s="3" t="s">
        <v>405</v>
      </c>
      <c r="C160" s="1" t="s">
        <v>16</v>
      </c>
      <c r="D160" s="1" t="s">
        <v>366</v>
      </c>
      <c r="E160" s="1" t="s">
        <v>394</v>
      </c>
      <c r="F160" s="1" t="str">
        <f>IFERROR(__xludf.DUMMYFUNCTION("SPLIT(E160,""&gt;"")"),"Memorychain")</f>
        <v>Memorychain</v>
      </c>
      <c r="G160" s="1" t="str">
        <f>IFERROR(__xludf.DUMMYFUNCTION("""COMPUTED_VALUE"""),"Series 9")</f>
        <v>Series 9</v>
      </c>
      <c r="H160" s="1" t="s">
        <v>366</v>
      </c>
      <c r="I160" s="1" t="s">
        <v>395</v>
      </c>
      <c r="J160" s="4">
        <v>42948.0</v>
      </c>
      <c r="K160" s="1">
        <v>300.0</v>
      </c>
      <c r="L160" s="1">
        <v>300.0</v>
      </c>
      <c r="M160" s="1">
        <v>143.0</v>
      </c>
      <c r="N160" s="6" t="str">
        <f t="shared" si="1"/>
        <v>Memorychain🇯🇵</v>
      </c>
      <c r="P160" s="6" t="str">
        <f>VLOOKUP(D160,'シート2'!A:B, 2, 0)</f>
        <v>やっすんX</v>
      </c>
    </row>
    <row r="161">
      <c r="A161" s="1" t="s">
        <v>406</v>
      </c>
      <c r="B161" s="3" t="s">
        <v>407</v>
      </c>
      <c r="C161" s="1" t="s">
        <v>16</v>
      </c>
      <c r="D161" s="1" t="s">
        <v>79</v>
      </c>
      <c r="E161" s="1" t="s">
        <v>394</v>
      </c>
      <c r="F161" s="1" t="str">
        <f>IFERROR(__xludf.DUMMYFUNCTION("SPLIT(E161,""&gt;"")"),"Memorychain")</f>
        <v>Memorychain</v>
      </c>
      <c r="G161" s="1" t="str">
        <f>IFERROR(__xludf.DUMMYFUNCTION("""COMPUTED_VALUE"""),"Series 9")</f>
        <v>Series 9</v>
      </c>
      <c r="H161" s="1" t="s">
        <v>79</v>
      </c>
      <c r="I161" s="1" t="s">
        <v>395</v>
      </c>
      <c r="J161" s="4">
        <v>42948.0</v>
      </c>
      <c r="K161" s="1">
        <v>200.0</v>
      </c>
      <c r="L161" s="1">
        <v>200.0</v>
      </c>
      <c r="M161" s="1">
        <v>144.0</v>
      </c>
      <c r="N161" s="6" t="str">
        <f t="shared" si="1"/>
        <v>Memorychain🇯🇵</v>
      </c>
      <c r="P161" s="6" t="str">
        <f>VLOOKUP(D161,'シート2'!A:B, 2, 0)</f>
        <v>@TrendStream</v>
      </c>
    </row>
    <row r="162">
      <c r="A162" s="1" t="s">
        <v>408</v>
      </c>
      <c r="B162" s="3" t="s">
        <v>409</v>
      </c>
      <c r="C162" s="1" t="s">
        <v>16</v>
      </c>
      <c r="D162" s="1" t="s">
        <v>79</v>
      </c>
      <c r="E162" s="1" t="s">
        <v>394</v>
      </c>
      <c r="F162" s="1" t="str">
        <f>IFERROR(__xludf.DUMMYFUNCTION("SPLIT(E162,""&gt;"")"),"Memorychain")</f>
        <v>Memorychain</v>
      </c>
      <c r="G162" s="1" t="str">
        <f>IFERROR(__xludf.DUMMYFUNCTION("""COMPUTED_VALUE"""),"Series 9")</f>
        <v>Series 9</v>
      </c>
      <c r="H162" s="1" t="s">
        <v>79</v>
      </c>
      <c r="I162" s="1" t="s">
        <v>395</v>
      </c>
      <c r="J162" s="4">
        <v>42948.0</v>
      </c>
      <c r="K162" s="1">
        <v>200.0</v>
      </c>
      <c r="L162" s="1">
        <v>200.0</v>
      </c>
      <c r="M162" s="1">
        <v>145.0</v>
      </c>
      <c r="N162" s="6" t="str">
        <f t="shared" si="1"/>
        <v>Memorychain🇯🇵</v>
      </c>
      <c r="P162" s="6" t="str">
        <f>VLOOKUP(D162,'シート2'!A:B, 2, 0)</f>
        <v>@TrendStream</v>
      </c>
    </row>
    <row r="163">
      <c r="A163" s="1" t="s">
        <v>410</v>
      </c>
      <c r="B163" s="3" t="s">
        <v>411</v>
      </c>
      <c r="C163" s="1" t="s">
        <v>16</v>
      </c>
      <c r="D163" s="1" t="s">
        <v>79</v>
      </c>
      <c r="E163" s="1" t="s">
        <v>394</v>
      </c>
      <c r="F163" s="1" t="str">
        <f>IFERROR(__xludf.DUMMYFUNCTION("SPLIT(E163,""&gt;"")"),"Memorychain")</f>
        <v>Memorychain</v>
      </c>
      <c r="G163" s="1" t="str">
        <f>IFERROR(__xludf.DUMMYFUNCTION("""COMPUTED_VALUE"""),"Series 9")</f>
        <v>Series 9</v>
      </c>
      <c r="H163" s="1" t="s">
        <v>79</v>
      </c>
      <c r="I163" s="1" t="s">
        <v>395</v>
      </c>
      <c r="J163" s="4">
        <v>42948.0</v>
      </c>
      <c r="K163" s="1">
        <v>100.0</v>
      </c>
      <c r="L163" s="1">
        <v>100.0</v>
      </c>
      <c r="M163" s="1">
        <v>146.0</v>
      </c>
      <c r="N163" s="6" t="str">
        <f t="shared" si="1"/>
        <v>Memorychain🇯🇵</v>
      </c>
      <c r="P163" s="6" t="str">
        <f>VLOOKUP(D163,'シート2'!A:B, 2, 0)</f>
        <v>@TrendStream</v>
      </c>
    </row>
    <row r="164">
      <c r="A164" s="1" t="s">
        <v>412</v>
      </c>
      <c r="B164" s="3" t="s">
        <v>413</v>
      </c>
      <c r="C164" s="1" t="s">
        <v>16</v>
      </c>
      <c r="D164" s="1" t="s">
        <v>61</v>
      </c>
      <c r="E164" s="1" t="s">
        <v>394</v>
      </c>
      <c r="F164" s="1" t="str">
        <f>IFERROR(__xludf.DUMMYFUNCTION("SPLIT(E164,""&gt;"")"),"Memorychain")</f>
        <v>Memorychain</v>
      </c>
      <c r="G164" s="1" t="str">
        <f>IFERROR(__xludf.DUMMYFUNCTION("""COMPUTED_VALUE"""),"Series 9")</f>
        <v>Series 9</v>
      </c>
      <c r="H164" s="1" t="s">
        <v>61</v>
      </c>
      <c r="I164" s="1" t="s">
        <v>395</v>
      </c>
      <c r="J164" s="4">
        <v>42948.0</v>
      </c>
      <c r="K164" s="1">
        <v>5000.0</v>
      </c>
      <c r="L164" s="1">
        <v>5000.0</v>
      </c>
      <c r="M164" s="1">
        <v>147.0</v>
      </c>
      <c r="N164" s="6" t="str">
        <f t="shared" si="1"/>
        <v>Memorychain🇯🇵</v>
      </c>
      <c r="P164" s="6" t="str">
        <f>VLOOKUP(D164,'シート2'!A:B, 2, 0)</f>
        <v>@NFTuber</v>
      </c>
    </row>
    <row r="165">
      <c r="A165" s="1" t="s">
        <v>414</v>
      </c>
      <c r="B165" s="3" t="s">
        <v>415</v>
      </c>
      <c r="C165" s="1" t="s">
        <v>16</v>
      </c>
      <c r="D165" s="1" t="s">
        <v>89</v>
      </c>
      <c r="E165" s="1" t="s">
        <v>394</v>
      </c>
      <c r="F165" s="1" t="str">
        <f>IFERROR(__xludf.DUMMYFUNCTION("SPLIT(E165,""&gt;"")"),"Memorychain")</f>
        <v>Memorychain</v>
      </c>
      <c r="G165" s="1" t="str">
        <f>IFERROR(__xludf.DUMMYFUNCTION("""COMPUTED_VALUE"""),"Series 9")</f>
        <v>Series 9</v>
      </c>
      <c r="H165" s="1" t="s">
        <v>89</v>
      </c>
      <c r="I165" s="1" t="s">
        <v>395</v>
      </c>
      <c r="J165" s="4">
        <v>42948.0</v>
      </c>
      <c r="K165" s="1">
        <v>100.0</v>
      </c>
      <c r="L165" s="1">
        <v>100.0</v>
      </c>
      <c r="M165" s="1">
        <v>148.0</v>
      </c>
      <c r="N165" s="6" t="str">
        <f t="shared" si="1"/>
        <v>Memorychain🇯🇵</v>
      </c>
      <c r="P165" s="6" t="str">
        <f>VLOOKUP(D165,'シート2'!A:B, 2, 0)</f>
        <v>@sai33211</v>
      </c>
    </row>
    <row r="166">
      <c r="A166" s="1" t="s">
        <v>416</v>
      </c>
      <c r="B166" s="3" t="s">
        <v>417</v>
      </c>
      <c r="C166" s="1" t="s">
        <v>16</v>
      </c>
      <c r="D166" s="1" t="s">
        <v>44</v>
      </c>
      <c r="E166" s="1" t="s">
        <v>394</v>
      </c>
      <c r="F166" s="1" t="str">
        <f>IFERROR(__xludf.DUMMYFUNCTION("SPLIT(E166,""&gt;"")"),"Memorychain")</f>
        <v>Memorychain</v>
      </c>
      <c r="G166" s="1" t="str">
        <f>IFERROR(__xludf.DUMMYFUNCTION("""COMPUTED_VALUE"""),"Series 9")</f>
        <v>Series 9</v>
      </c>
      <c r="H166" s="1" t="s">
        <v>44</v>
      </c>
      <c r="I166" s="1" t="s">
        <v>395</v>
      </c>
      <c r="J166" s="4">
        <v>42948.0</v>
      </c>
      <c r="K166" s="1">
        <v>300.0</v>
      </c>
      <c r="L166" s="1">
        <v>300.0</v>
      </c>
      <c r="M166" s="1">
        <v>149.0</v>
      </c>
      <c r="N166" s="6" t="str">
        <f t="shared" si="1"/>
        <v>Memorychain🇯🇵</v>
      </c>
      <c r="P166" s="6" t="str">
        <f>VLOOKUP(D166,'シート2'!A:B, 2, 0)</f>
        <v>Anonymous</v>
      </c>
    </row>
    <row r="167">
      <c r="A167" s="1" t="s">
        <v>418</v>
      </c>
      <c r="B167" s="3" t="s">
        <v>419</v>
      </c>
      <c r="C167" s="1" t="s">
        <v>16</v>
      </c>
      <c r="D167" s="1" t="s">
        <v>252</v>
      </c>
      <c r="E167" s="1" t="s">
        <v>394</v>
      </c>
      <c r="F167" s="1" t="str">
        <f>IFERROR(__xludf.DUMMYFUNCTION("SPLIT(E167,""&gt;"")"),"Memorychain")</f>
        <v>Memorychain</v>
      </c>
      <c r="G167" s="1" t="str">
        <f>IFERROR(__xludf.DUMMYFUNCTION("""COMPUTED_VALUE"""),"Series 9")</f>
        <v>Series 9</v>
      </c>
      <c r="H167" s="1" t="s">
        <v>252</v>
      </c>
      <c r="I167" s="1" t="s">
        <v>395</v>
      </c>
      <c r="J167" s="4">
        <v>42948.0</v>
      </c>
      <c r="K167" s="1">
        <v>100.0</v>
      </c>
      <c r="L167" s="1">
        <v>100.0</v>
      </c>
      <c r="M167" s="1">
        <v>150.0</v>
      </c>
      <c r="N167" s="6" t="str">
        <f t="shared" si="1"/>
        <v>Memorychain🇯🇵</v>
      </c>
      <c r="P167" s="6" t="str">
        <f>VLOOKUP(D167,'シート2'!A:B, 2, 0)</f>
        <v>@7cryptocurrency</v>
      </c>
    </row>
    <row r="168">
      <c r="A168" s="1" t="s">
        <v>420</v>
      </c>
      <c r="B168" s="3" t="s">
        <v>421</v>
      </c>
      <c r="C168" s="1" t="s">
        <v>16</v>
      </c>
      <c r="D168" s="1" t="s">
        <v>422</v>
      </c>
      <c r="E168" s="1" t="s">
        <v>394</v>
      </c>
      <c r="F168" s="1" t="str">
        <f>IFERROR(__xludf.DUMMYFUNCTION("SPLIT(E168,""&gt;"")"),"Memorychain")</f>
        <v>Memorychain</v>
      </c>
      <c r="G168" s="1" t="str">
        <f>IFERROR(__xludf.DUMMYFUNCTION("""COMPUTED_VALUE"""),"Series 9")</f>
        <v>Series 9</v>
      </c>
      <c r="H168" s="1" t="s">
        <v>423</v>
      </c>
      <c r="I168" s="1" t="s">
        <v>395</v>
      </c>
      <c r="J168" s="4">
        <v>42948.0</v>
      </c>
      <c r="K168" s="1">
        <v>100.0</v>
      </c>
      <c r="L168" s="1">
        <v>100.0</v>
      </c>
      <c r="M168" s="1">
        <v>151.0</v>
      </c>
      <c r="N168" s="6" t="str">
        <f t="shared" si="1"/>
        <v>Memorychain🇯🇵</v>
      </c>
      <c r="P168" s="6" t="str">
        <f>VLOOKUP(D168,'シート2'!A:B, 2, 0)</f>
        <v>@kouteipenpen_f</v>
      </c>
    </row>
    <row r="169">
      <c r="A169" s="1" t="s">
        <v>424</v>
      </c>
      <c r="B169" s="3" t="s">
        <v>425</v>
      </c>
      <c r="C169" s="1" t="s">
        <v>16</v>
      </c>
      <c r="D169" s="1" t="s">
        <v>95</v>
      </c>
      <c r="E169" s="1" t="s">
        <v>394</v>
      </c>
      <c r="F169" s="1" t="str">
        <f>IFERROR(__xludf.DUMMYFUNCTION("SPLIT(E169,""&gt;"")"),"Memorychain")</f>
        <v>Memorychain</v>
      </c>
      <c r="G169" s="1" t="str">
        <f>IFERROR(__xludf.DUMMYFUNCTION("""COMPUTED_VALUE"""),"Series 9")</f>
        <v>Series 9</v>
      </c>
      <c r="H169" s="1" t="s">
        <v>95</v>
      </c>
      <c r="I169" s="1" t="s">
        <v>395</v>
      </c>
      <c r="J169" s="4">
        <v>42948.0</v>
      </c>
      <c r="K169" s="1">
        <v>300.0</v>
      </c>
      <c r="L169" s="1">
        <v>300.0</v>
      </c>
      <c r="M169" s="1">
        <v>152.0</v>
      </c>
      <c r="N169" s="6" t="str">
        <f t="shared" si="1"/>
        <v>Memorychain🇯🇵</v>
      </c>
      <c r="P169" s="6" t="str">
        <f>VLOOKUP(D169,'シート2'!A:B, 2, 0)</f>
        <v>@SmartSpaceDogs</v>
      </c>
    </row>
    <row r="170">
      <c r="A170" s="1" t="s">
        <v>426</v>
      </c>
      <c r="B170" s="3" t="s">
        <v>427</v>
      </c>
      <c r="C170" s="1" t="s">
        <v>16</v>
      </c>
      <c r="D170" s="1" t="s">
        <v>84</v>
      </c>
      <c r="E170" s="1" t="s">
        <v>428</v>
      </c>
      <c r="F170" s="1" t="str">
        <f>IFERROR(__xludf.DUMMYFUNCTION("SPLIT(E170,""&gt;"")"),"Oasis Mining")</f>
        <v>Oasis Mining</v>
      </c>
      <c r="G170" s="1" t="str">
        <f>IFERROR(__xludf.DUMMYFUNCTION("""COMPUTED_VALUE"""),"Series 1")</f>
        <v>Series 1</v>
      </c>
      <c r="H170" s="1" t="s">
        <v>84</v>
      </c>
      <c r="I170" s="1" t="s">
        <v>288</v>
      </c>
      <c r="J170" s="4">
        <v>42917.0</v>
      </c>
      <c r="K170" s="1">
        <v>500.0</v>
      </c>
      <c r="L170" s="1">
        <v>500.0</v>
      </c>
      <c r="M170" s="1">
        <v>1.0</v>
      </c>
      <c r="N170" s="6" t="str">
        <f t="shared" ref="N170:N235" si="2">F170&amp;"🏝️"</f>
        <v>Oasis Mining🏝️</v>
      </c>
      <c r="P170" s="6" t="str">
        <f>VLOOKUP(D170,'シート2'!A:B, 2, 0)</f>
        <v>@aria_minase</v>
      </c>
    </row>
    <row r="171">
      <c r="A171" s="1" t="s">
        <v>429</v>
      </c>
      <c r="B171" s="3" t="s">
        <v>430</v>
      </c>
      <c r="C171" s="1" t="s">
        <v>16</v>
      </c>
      <c r="D171" s="1" t="s">
        <v>431</v>
      </c>
      <c r="E171" s="1" t="s">
        <v>428</v>
      </c>
      <c r="F171" s="1" t="str">
        <f>IFERROR(__xludf.DUMMYFUNCTION("SPLIT(E171,""&gt;"")"),"Oasis Mining")</f>
        <v>Oasis Mining</v>
      </c>
      <c r="G171" s="1" t="str">
        <f>IFERROR(__xludf.DUMMYFUNCTION("""COMPUTED_VALUE"""),"Series 1")</f>
        <v>Series 1</v>
      </c>
      <c r="H171" s="1" t="s">
        <v>431</v>
      </c>
      <c r="I171" s="1" t="s">
        <v>288</v>
      </c>
      <c r="J171" s="4">
        <v>42917.0</v>
      </c>
      <c r="K171" s="1">
        <v>300.0</v>
      </c>
      <c r="L171" s="1">
        <v>300.0</v>
      </c>
      <c r="M171" s="1">
        <v>2.0</v>
      </c>
      <c r="N171" s="6" t="str">
        <f t="shared" si="2"/>
        <v>Oasis Mining🏝️</v>
      </c>
      <c r="P171" s="6" t="str">
        <f>VLOOKUP(D171,'シート2'!A:B, 2, 0)</f>
        <v>だいふく</v>
      </c>
    </row>
    <row r="172">
      <c r="A172" s="1" t="s">
        <v>432</v>
      </c>
      <c r="B172" s="3" t="s">
        <v>433</v>
      </c>
      <c r="C172" s="1" t="s">
        <v>16</v>
      </c>
      <c r="D172" s="1" t="s">
        <v>44</v>
      </c>
      <c r="E172" s="1" t="s">
        <v>428</v>
      </c>
      <c r="F172" s="1" t="str">
        <f>IFERROR(__xludf.DUMMYFUNCTION("SPLIT(E172,""&gt;"")"),"Oasis Mining")</f>
        <v>Oasis Mining</v>
      </c>
      <c r="G172" s="1" t="str">
        <f>IFERROR(__xludf.DUMMYFUNCTION("""COMPUTED_VALUE"""),"Series 1")</f>
        <v>Series 1</v>
      </c>
      <c r="H172" s="1" t="s">
        <v>44</v>
      </c>
      <c r="I172" s="1" t="s">
        <v>288</v>
      </c>
      <c r="J172" s="4">
        <v>42917.0</v>
      </c>
      <c r="K172" s="1">
        <v>100.0</v>
      </c>
      <c r="L172" s="1">
        <v>100.0</v>
      </c>
      <c r="M172" s="1">
        <v>3.0</v>
      </c>
      <c r="N172" s="6" t="str">
        <f t="shared" si="2"/>
        <v>Oasis Mining🏝️</v>
      </c>
      <c r="P172" s="6" t="str">
        <f>VLOOKUP(D172,'シート2'!A:B, 2, 0)</f>
        <v>Anonymous</v>
      </c>
    </row>
    <row r="173">
      <c r="A173" s="1" t="s">
        <v>434</v>
      </c>
      <c r="B173" s="3" t="s">
        <v>435</v>
      </c>
      <c r="C173" s="1" t="s">
        <v>16</v>
      </c>
      <c r="D173" s="1" t="s">
        <v>436</v>
      </c>
      <c r="E173" s="1" t="s">
        <v>428</v>
      </c>
      <c r="F173" s="1" t="str">
        <f>IFERROR(__xludf.DUMMYFUNCTION("SPLIT(E173,""&gt;"")"),"Oasis Mining")</f>
        <v>Oasis Mining</v>
      </c>
      <c r="G173" s="1" t="str">
        <f>IFERROR(__xludf.DUMMYFUNCTION("""COMPUTED_VALUE"""),"Series 1")</f>
        <v>Series 1</v>
      </c>
      <c r="H173" s="1" t="s">
        <v>436</v>
      </c>
      <c r="I173" s="1" t="s">
        <v>288</v>
      </c>
      <c r="J173" s="4">
        <v>42917.0</v>
      </c>
      <c r="K173" s="1">
        <v>100.0</v>
      </c>
      <c r="L173" s="1">
        <v>100.0</v>
      </c>
      <c r="M173" s="1">
        <v>4.0</v>
      </c>
      <c r="N173" s="6" t="str">
        <f t="shared" si="2"/>
        <v>Oasis Mining🏝️</v>
      </c>
      <c r="P173" s="6" t="str">
        <f>VLOOKUP(D173,'シート2'!A:B, 2, 0)</f>
        <v>hirosu</v>
      </c>
    </row>
    <row r="174">
      <c r="A174" s="1" t="s">
        <v>437</v>
      </c>
      <c r="B174" s="3" t="s">
        <v>438</v>
      </c>
      <c r="C174" s="1" t="s">
        <v>16</v>
      </c>
      <c r="D174" s="1" t="s">
        <v>439</v>
      </c>
      <c r="E174" s="1" t="s">
        <v>428</v>
      </c>
      <c r="F174" s="1" t="str">
        <f>IFERROR(__xludf.DUMMYFUNCTION("SPLIT(E174,""&gt;"")"),"Oasis Mining")</f>
        <v>Oasis Mining</v>
      </c>
      <c r="G174" s="1" t="str">
        <f>IFERROR(__xludf.DUMMYFUNCTION("""COMPUTED_VALUE"""),"Series 1")</f>
        <v>Series 1</v>
      </c>
      <c r="H174" s="1" t="s">
        <v>440</v>
      </c>
      <c r="I174" s="1" t="s">
        <v>288</v>
      </c>
      <c r="J174" s="4">
        <v>42917.0</v>
      </c>
      <c r="K174" s="1">
        <v>210.0</v>
      </c>
      <c r="L174" s="1">
        <v>210.0</v>
      </c>
      <c r="M174" s="1">
        <v>5.0</v>
      </c>
      <c r="N174" s="6" t="str">
        <f t="shared" si="2"/>
        <v>Oasis Mining🏝️</v>
      </c>
      <c r="P174" s="6" t="str">
        <f>VLOOKUP(D174,'シート2'!A:B, 2, 0)</f>
        <v>@logica_s</v>
      </c>
    </row>
    <row r="175">
      <c r="A175" s="1" t="s">
        <v>441</v>
      </c>
      <c r="B175" s="3" t="s">
        <v>442</v>
      </c>
      <c r="C175" s="1" t="s">
        <v>16</v>
      </c>
      <c r="D175" s="1" t="s">
        <v>262</v>
      </c>
      <c r="E175" s="1" t="s">
        <v>428</v>
      </c>
      <c r="F175" s="1" t="str">
        <f>IFERROR(__xludf.DUMMYFUNCTION("SPLIT(E175,""&gt;"")"),"Oasis Mining")</f>
        <v>Oasis Mining</v>
      </c>
      <c r="G175" s="1" t="str">
        <f>IFERROR(__xludf.DUMMYFUNCTION("""COMPUTED_VALUE"""),"Series 1")</f>
        <v>Series 1</v>
      </c>
      <c r="H175" s="1" t="s">
        <v>262</v>
      </c>
      <c r="I175" s="1" t="s">
        <v>288</v>
      </c>
      <c r="J175" s="4">
        <v>42917.0</v>
      </c>
      <c r="K175" s="1">
        <v>500.0</v>
      </c>
      <c r="L175" s="1">
        <v>500.0</v>
      </c>
      <c r="M175" s="1">
        <v>6.0</v>
      </c>
      <c r="N175" s="6" t="str">
        <f t="shared" si="2"/>
        <v>Oasis Mining🏝️</v>
      </c>
      <c r="P175" s="6" t="str">
        <f>VLOOKUP(D175,'シート2'!A:B, 2, 0)</f>
        <v>M1XXK1NG W1CKED</v>
      </c>
    </row>
    <row r="176">
      <c r="A176" s="1" t="s">
        <v>443</v>
      </c>
      <c r="B176" s="3" t="s">
        <v>444</v>
      </c>
      <c r="C176" s="1" t="s">
        <v>16</v>
      </c>
      <c r="D176" s="1" t="s">
        <v>189</v>
      </c>
      <c r="E176" s="1" t="s">
        <v>428</v>
      </c>
      <c r="F176" s="1" t="str">
        <f>IFERROR(__xludf.DUMMYFUNCTION("SPLIT(E176,""&gt;"")"),"Oasis Mining")</f>
        <v>Oasis Mining</v>
      </c>
      <c r="G176" s="1" t="str">
        <f>IFERROR(__xludf.DUMMYFUNCTION("""COMPUTED_VALUE"""),"Series 1")</f>
        <v>Series 1</v>
      </c>
      <c r="H176" s="1" t="s">
        <v>189</v>
      </c>
      <c r="I176" s="1" t="s">
        <v>288</v>
      </c>
      <c r="J176" s="4">
        <v>42917.0</v>
      </c>
      <c r="K176" s="1">
        <v>150.0</v>
      </c>
      <c r="L176" s="1">
        <v>150.0</v>
      </c>
      <c r="M176" s="1">
        <v>7.0</v>
      </c>
      <c r="N176" s="6" t="str">
        <f t="shared" si="2"/>
        <v>Oasis Mining🏝️</v>
      </c>
      <c r="P176" s="6" t="str">
        <f>VLOOKUP(D176,'シート2'!A:B, 2, 0)</f>
        <v>@ethereumon</v>
      </c>
    </row>
    <row r="177">
      <c r="A177" s="1" t="s">
        <v>445</v>
      </c>
      <c r="B177" s="3" t="s">
        <v>446</v>
      </c>
      <c r="C177" s="1" t="s">
        <v>16</v>
      </c>
      <c r="D177" s="1" t="s">
        <v>168</v>
      </c>
      <c r="E177" s="1" t="s">
        <v>428</v>
      </c>
      <c r="F177" s="1" t="str">
        <f>IFERROR(__xludf.DUMMYFUNCTION("SPLIT(E177,""&gt;"")"),"Oasis Mining")</f>
        <v>Oasis Mining</v>
      </c>
      <c r="G177" s="1" t="str">
        <f>IFERROR(__xludf.DUMMYFUNCTION("""COMPUTED_VALUE"""),"Series 1")</f>
        <v>Series 1</v>
      </c>
      <c r="H177" s="1" t="s">
        <v>168</v>
      </c>
      <c r="I177" s="1" t="s">
        <v>288</v>
      </c>
      <c r="J177" s="4">
        <v>42917.0</v>
      </c>
      <c r="K177" s="1">
        <v>300.0</v>
      </c>
      <c r="L177" s="1">
        <v>100.0</v>
      </c>
      <c r="M177" s="1">
        <v>8.0</v>
      </c>
      <c r="N177" s="6" t="str">
        <f t="shared" si="2"/>
        <v>Oasis Mining🏝️</v>
      </c>
      <c r="P177" s="6" t="str">
        <f>VLOOKUP(D177,'シート2'!A:B, 2, 0)</f>
        <v>@Whiskey_bonbon_</v>
      </c>
    </row>
    <row r="178">
      <c r="A178" s="1" t="s">
        <v>447</v>
      </c>
      <c r="B178" s="3" t="s">
        <v>448</v>
      </c>
      <c r="C178" s="1" t="s">
        <v>16</v>
      </c>
      <c r="D178" s="1" t="s">
        <v>366</v>
      </c>
      <c r="E178" s="1" t="s">
        <v>428</v>
      </c>
      <c r="F178" s="1" t="str">
        <f>IFERROR(__xludf.DUMMYFUNCTION("SPLIT(E178,""&gt;"")"),"Oasis Mining")</f>
        <v>Oasis Mining</v>
      </c>
      <c r="G178" s="1" t="str">
        <f>IFERROR(__xludf.DUMMYFUNCTION("""COMPUTED_VALUE"""),"Series 1")</f>
        <v>Series 1</v>
      </c>
      <c r="H178" s="1" t="s">
        <v>366</v>
      </c>
      <c r="I178" s="1" t="s">
        <v>288</v>
      </c>
      <c r="J178" s="4">
        <v>42917.0</v>
      </c>
      <c r="K178" s="1">
        <v>10000.0</v>
      </c>
      <c r="L178" s="1">
        <v>10000.0</v>
      </c>
      <c r="M178" s="1">
        <v>9.0</v>
      </c>
      <c r="N178" s="6" t="str">
        <f t="shared" si="2"/>
        <v>Oasis Mining🏝️</v>
      </c>
      <c r="P178" s="6" t="str">
        <f>VLOOKUP(D178,'シート2'!A:B, 2, 0)</f>
        <v>やっすんX</v>
      </c>
    </row>
    <row r="179">
      <c r="A179" s="1" t="s">
        <v>449</v>
      </c>
      <c r="B179" s="3" t="s">
        <v>450</v>
      </c>
      <c r="C179" s="1" t="s">
        <v>16</v>
      </c>
      <c r="D179" s="1" t="s">
        <v>451</v>
      </c>
      <c r="E179" s="1" t="s">
        <v>428</v>
      </c>
      <c r="F179" s="1" t="str">
        <f>IFERROR(__xludf.DUMMYFUNCTION("SPLIT(E179,""&gt;"")"),"Oasis Mining")</f>
        <v>Oasis Mining</v>
      </c>
      <c r="G179" s="1" t="str">
        <f>IFERROR(__xludf.DUMMYFUNCTION("""COMPUTED_VALUE"""),"Series 1")</f>
        <v>Series 1</v>
      </c>
      <c r="H179" s="1" t="s">
        <v>451</v>
      </c>
      <c r="I179" s="1" t="s">
        <v>288</v>
      </c>
      <c r="J179" s="4">
        <v>42917.0</v>
      </c>
      <c r="K179" s="1">
        <v>1500.0</v>
      </c>
      <c r="L179" s="1">
        <v>1500.0</v>
      </c>
      <c r="M179" s="1">
        <v>10.0</v>
      </c>
      <c r="N179" s="6" t="str">
        <f t="shared" si="2"/>
        <v>Oasis Mining🏝️</v>
      </c>
      <c r="P179" s="6" t="str">
        <f>VLOOKUP(D179,'シート2'!A:B, 2, 0)</f>
        <v>まる</v>
      </c>
    </row>
    <row r="180">
      <c r="A180" s="1" t="s">
        <v>452</v>
      </c>
      <c r="B180" s="3" t="s">
        <v>453</v>
      </c>
      <c r="C180" s="1" t="s">
        <v>16</v>
      </c>
      <c r="D180" s="1" t="s">
        <v>330</v>
      </c>
      <c r="E180" s="1" t="s">
        <v>428</v>
      </c>
      <c r="F180" s="1" t="str">
        <f>IFERROR(__xludf.DUMMYFUNCTION("SPLIT(E180,""&gt;"")"),"Oasis Mining")</f>
        <v>Oasis Mining</v>
      </c>
      <c r="G180" s="1" t="str">
        <f>IFERROR(__xludf.DUMMYFUNCTION("""COMPUTED_VALUE"""),"Series 1")</f>
        <v>Series 1</v>
      </c>
      <c r="H180" s="1" t="s">
        <v>330</v>
      </c>
      <c r="I180" s="1" t="s">
        <v>288</v>
      </c>
      <c r="J180" s="4">
        <v>42917.0</v>
      </c>
      <c r="K180" s="1">
        <v>100.0</v>
      </c>
      <c r="L180" s="1">
        <v>100.0</v>
      </c>
      <c r="M180" s="1">
        <v>11.0</v>
      </c>
      <c r="N180" s="6" t="str">
        <f t="shared" si="2"/>
        <v>Oasis Mining🏝️</v>
      </c>
      <c r="P180" s="6" t="str">
        <f>VLOOKUP(D180,'シート2'!A:B, 2, 0)</f>
        <v>ウーピン</v>
      </c>
    </row>
    <row r="181">
      <c r="A181" s="1" t="s">
        <v>454</v>
      </c>
      <c r="B181" s="3" t="s">
        <v>455</v>
      </c>
      <c r="C181" s="1" t="s">
        <v>16</v>
      </c>
      <c r="D181" s="1" t="s">
        <v>456</v>
      </c>
      <c r="E181" s="1" t="s">
        <v>428</v>
      </c>
      <c r="F181" s="1" t="str">
        <f>IFERROR(__xludf.DUMMYFUNCTION("SPLIT(E181,""&gt;"")"),"Oasis Mining")</f>
        <v>Oasis Mining</v>
      </c>
      <c r="G181" s="1" t="str">
        <f>IFERROR(__xludf.DUMMYFUNCTION("""COMPUTED_VALUE"""),"Series 1")</f>
        <v>Series 1</v>
      </c>
      <c r="H181" s="1" t="s">
        <v>456</v>
      </c>
      <c r="I181" s="1" t="s">
        <v>288</v>
      </c>
      <c r="J181" s="4">
        <v>42917.0</v>
      </c>
      <c r="K181" s="1">
        <v>1512.0</v>
      </c>
      <c r="L181" s="1">
        <v>1512.0</v>
      </c>
      <c r="M181" s="1">
        <v>12.0</v>
      </c>
      <c r="N181" s="6" t="str">
        <f t="shared" si="2"/>
        <v>Oasis Mining🏝️</v>
      </c>
      <c r="P181" s="6" t="str">
        <f>VLOOKUP(D181,'シート2'!A:B, 2, 0)</f>
        <v>Satomaru</v>
      </c>
    </row>
    <row r="182">
      <c r="A182" s="1" t="s">
        <v>457</v>
      </c>
      <c r="B182" s="3" t="s">
        <v>458</v>
      </c>
      <c r="C182" s="1" t="s">
        <v>16</v>
      </c>
      <c r="D182" s="1" t="s">
        <v>255</v>
      </c>
      <c r="E182" s="1" t="s">
        <v>428</v>
      </c>
      <c r="F182" s="1" t="str">
        <f>IFERROR(__xludf.DUMMYFUNCTION("SPLIT(E182,""&gt;"")"),"Oasis Mining")</f>
        <v>Oasis Mining</v>
      </c>
      <c r="G182" s="1" t="str">
        <f>IFERROR(__xludf.DUMMYFUNCTION("""COMPUTED_VALUE"""),"Series 1")</f>
        <v>Series 1</v>
      </c>
      <c r="H182" s="1" t="s">
        <v>255</v>
      </c>
      <c r="I182" s="1" t="s">
        <v>288</v>
      </c>
      <c r="J182" s="4">
        <v>42917.0</v>
      </c>
      <c r="K182" s="1">
        <v>500.0</v>
      </c>
      <c r="L182" s="1">
        <v>500.0</v>
      </c>
      <c r="M182" s="1">
        <v>13.0</v>
      </c>
      <c r="N182" s="6" t="str">
        <f t="shared" si="2"/>
        <v>Oasis Mining🏝️</v>
      </c>
      <c r="P182" s="6" t="str">
        <f>VLOOKUP(D182,'シート2'!A:B, 2, 0)</f>
        <v>チノ</v>
      </c>
    </row>
    <row r="183">
      <c r="A183" s="1" t="s">
        <v>459</v>
      </c>
      <c r="B183" s="3" t="s">
        <v>460</v>
      </c>
      <c r="C183" s="1" t="s">
        <v>16</v>
      </c>
      <c r="D183" s="1" t="s">
        <v>252</v>
      </c>
      <c r="E183" s="1" t="s">
        <v>428</v>
      </c>
      <c r="F183" s="1" t="str">
        <f>IFERROR(__xludf.DUMMYFUNCTION("SPLIT(E183,""&gt;"")"),"Oasis Mining")</f>
        <v>Oasis Mining</v>
      </c>
      <c r="G183" s="1" t="str">
        <f>IFERROR(__xludf.DUMMYFUNCTION("""COMPUTED_VALUE"""),"Series 1")</f>
        <v>Series 1</v>
      </c>
      <c r="H183" s="1" t="s">
        <v>252</v>
      </c>
      <c r="I183" s="1" t="s">
        <v>288</v>
      </c>
      <c r="J183" s="4">
        <v>42917.0</v>
      </c>
      <c r="K183" s="1">
        <v>100.0</v>
      </c>
      <c r="L183" s="1">
        <v>100.0</v>
      </c>
      <c r="M183" s="1">
        <v>14.0</v>
      </c>
      <c r="N183" s="6" t="str">
        <f t="shared" si="2"/>
        <v>Oasis Mining🏝️</v>
      </c>
      <c r="P183" s="6" t="str">
        <f>VLOOKUP(D183,'シート2'!A:B, 2, 0)</f>
        <v>@7cryptocurrency</v>
      </c>
    </row>
    <row r="184">
      <c r="A184" s="1" t="s">
        <v>461</v>
      </c>
      <c r="B184" s="3" t="s">
        <v>462</v>
      </c>
      <c r="C184" s="1" t="s">
        <v>16</v>
      </c>
      <c r="D184" s="1" t="s">
        <v>79</v>
      </c>
      <c r="E184" s="1" t="s">
        <v>428</v>
      </c>
      <c r="F184" s="1" t="str">
        <f>IFERROR(__xludf.DUMMYFUNCTION("SPLIT(E184,""&gt;"")"),"Oasis Mining")</f>
        <v>Oasis Mining</v>
      </c>
      <c r="G184" s="1" t="str">
        <f>IFERROR(__xludf.DUMMYFUNCTION("""COMPUTED_VALUE"""),"Series 1")</f>
        <v>Series 1</v>
      </c>
      <c r="H184" s="1" t="s">
        <v>79</v>
      </c>
      <c r="I184" s="1" t="s">
        <v>288</v>
      </c>
      <c r="J184" s="4">
        <v>42917.0</v>
      </c>
      <c r="K184" s="1">
        <v>200.0</v>
      </c>
      <c r="L184" s="1">
        <v>200.0</v>
      </c>
      <c r="M184" s="1">
        <v>15.0</v>
      </c>
      <c r="N184" s="6" t="str">
        <f t="shared" si="2"/>
        <v>Oasis Mining🏝️</v>
      </c>
      <c r="P184" s="6" t="str">
        <f>VLOOKUP(D184,'シート2'!A:B, 2, 0)</f>
        <v>@TrendStream</v>
      </c>
    </row>
    <row r="185">
      <c r="A185" s="1" t="s">
        <v>463</v>
      </c>
      <c r="B185" s="3" t="s">
        <v>464</v>
      </c>
      <c r="C185" s="1" t="s">
        <v>16</v>
      </c>
      <c r="D185" s="1" t="s">
        <v>53</v>
      </c>
      <c r="E185" s="1" t="s">
        <v>428</v>
      </c>
      <c r="F185" s="1" t="str">
        <f>IFERROR(__xludf.DUMMYFUNCTION("SPLIT(E185,""&gt;"")"),"Oasis Mining")</f>
        <v>Oasis Mining</v>
      </c>
      <c r="G185" s="1" t="str">
        <f>IFERROR(__xludf.DUMMYFUNCTION("""COMPUTED_VALUE"""),"Series 1")</f>
        <v>Series 1</v>
      </c>
      <c r="H185" s="1" t="s">
        <v>53</v>
      </c>
      <c r="I185" s="1" t="s">
        <v>288</v>
      </c>
      <c r="J185" s="4">
        <v>42917.0</v>
      </c>
      <c r="K185" s="1">
        <v>130.0</v>
      </c>
      <c r="L185" s="1">
        <v>130.0</v>
      </c>
      <c r="M185" s="1">
        <v>16.0</v>
      </c>
      <c r="N185" s="6" t="str">
        <f t="shared" si="2"/>
        <v>Oasis Mining🏝️</v>
      </c>
      <c r="P185" s="6" t="str">
        <f>VLOOKUP(D185,'シート2'!A:B, 2, 0)</f>
        <v>@Taky_Taky_</v>
      </c>
    </row>
    <row r="186">
      <c r="A186" s="1" t="s">
        <v>465</v>
      </c>
      <c r="B186" s="3" t="s">
        <v>466</v>
      </c>
      <c r="C186" s="1" t="s">
        <v>16</v>
      </c>
      <c r="D186" s="1" t="s">
        <v>44</v>
      </c>
      <c r="E186" s="1" t="s">
        <v>428</v>
      </c>
      <c r="F186" s="1" t="str">
        <f>IFERROR(__xludf.DUMMYFUNCTION("SPLIT(E186,""&gt;"")"),"Oasis Mining")</f>
        <v>Oasis Mining</v>
      </c>
      <c r="G186" s="1" t="str">
        <f>IFERROR(__xludf.DUMMYFUNCTION("""COMPUTED_VALUE"""),"Series 1")</f>
        <v>Series 1</v>
      </c>
      <c r="H186" s="1" t="s">
        <v>44</v>
      </c>
      <c r="I186" s="1" t="s">
        <v>288</v>
      </c>
      <c r="J186" s="4">
        <v>42917.0</v>
      </c>
      <c r="K186" s="1">
        <v>500.0</v>
      </c>
      <c r="L186" s="1">
        <v>500.0</v>
      </c>
      <c r="M186" s="1">
        <v>17.0</v>
      </c>
      <c r="N186" s="6" t="str">
        <f t="shared" si="2"/>
        <v>Oasis Mining🏝️</v>
      </c>
      <c r="P186" s="6" t="str">
        <f>VLOOKUP(D186,'シート2'!A:B, 2, 0)</f>
        <v>Anonymous</v>
      </c>
    </row>
    <row r="187">
      <c r="A187" s="1" t="s">
        <v>467</v>
      </c>
      <c r="B187" s="3" t="s">
        <v>468</v>
      </c>
      <c r="C187" s="1" t="s">
        <v>16</v>
      </c>
      <c r="D187" s="1" t="s">
        <v>17</v>
      </c>
      <c r="E187" s="1" t="s">
        <v>428</v>
      </c>
      <c r="F187" s="1" t="str">
        <f>IFERROR(__xludf.DUMMYFUNCTION("SPLIT(E187,""&gt;"")"),"Oasis Mining")</f>
        <v>Oasis Mining</v>
      </c>
      <c r="G187" s="1" t="str">
        <f>IFERROR(__xludf.DUMMYFUNCTION("""COMPUTED_VALUE"""),"Series 1")</f>
        <v>Series 1</v>
      </c>
      <c r="H187" s="1" t="s">
        <v>17</v>
      </c>
      <c r="I187" s="1" t="s">
        <v>288</v>
      </c>
      <c r="J187" s="4">
        <v>42917.0</v>
      </c>
      <c r="K187" s="1">
        <v>100.0</v>
      </c>
      <c r="L187" s="1">
        <v>100.0</v>
      </c>
      <c r="M187" s="1">
        <v>18.0</v>
      </c>
      <c r="N187" s="6" t="str">
        <f t="shared" si="2"/>
        <v>Oasis Mining🏝️</v>
      </c>
      <c r="P187" s="6" t="str">
        <f>VLOOKUP(D187,'シート2'!A:B, 2, 0)</f>
        <v>@kartanbitcoin</v>
      </c>
    </row>
    <row r="188">
      <c r="A188" s="1" t="s">
        <v>469</v>
      </c>
      <c r="B188" s="3" t="s">
        <v>470</v>
      </c>
      <c r="C188" s="1" t="s">
        <v>16</v>
      </c>
      <c r="D188" s="1" t="s">
        <v>95</v>
      </c>
      <c r="E188" s="1" t="s">
        <v>428</v>
      </c>
      <c r="F188" s="1" t="str">
        <f>IFERROR(__xludf.DUMMYFUNCTION("SPLIT(E188,""&gt;"")"),"Oasis Mining")</f>
        <v>Oasis Mining</v>
      </c>
      <c r="G188" s="1" t="str">
        <f>IFERROR(__xludf.DUMMYFUNCTION("""COMPUTED_VALUE"""),"Series 1")</f>
        <v>Series 1</v>
      </c>
      <c r="H188" s="1" t="s">
        <v>95</v>
      </c>
      <c r="I188" s="1" t="s">
        <v>288</v>
      </c>
      <c r="J188" s="4">
        <v>42917.0</v>
      </c>
      <c r="K188" s="1">
        <v>10000.0</v>
      </c>
      <c r="L188" s="1">
        <v>10000.0</v>
      </c>
      <c r="M188" s="1">
        <v>19.0</v>
      </c>
      <c r="N188" s="6" t="str">
        <f t="shared" si="2"/>
        <v>Oasis Mining🏝️</v>
      </c>
      <c r="P188" s="6" t="str">
        <f>VLOOKUP(D188,'シート2'!A:B, 2, 0)</f>
        <v>@SmartSpaceDogs</v>
      </c>
    </row>
    <row r="189">
      <c r="A189" s="1" t="s">
        <v>471</v>
      </c>
      <c r="B189" s="3" t="s">
        <v>472</v>
      </c>
      <c r="C189" s="1" t="s">
        <v>16</v>
      </c>
      <c r="D189" s="1" t="s">
        <v>227</v>
      </c>
      <c r="E189" s="1" t="s">
        <v>428</v>
      </c>
      <c r="F189" s="1" t="str">
        <f>IFERROR(__xludf.DUMMYFUNCTION("SPLIT(E189,""&gt;"")"),"Oasis Mining")</f>
        <v>Oasis Mining</v>
      </c>
      <c r="G189" s="1" t="str">
        <f>IFERROR(__xludf.DUMMYFUNCTION("""COMPUTED_VALUE"""),"Series 1")</f>
        <v>Series 1</v>
      </c>
      <c r="H189" s="1" t="s">
        <v>227</v>
      </c>
      <c r="I189" s="1" t="s">
        <v>288</v>
      </c>
      <c r="J189" s="4">
        <v>42917.0</v>
      </c>
      <c r="K189" s="1">
        <v>1000.0</v>
      </c>
      <c r="L189" s="1">
        <v>1000.0</v>
      </c>
      <c r="M189" s="1">
        <v>20.0</v>
      </c>
      <c r="N189" s="6" t="str">
        <f t="shared" si="2"/>
        <v>Oasis Mining🏝️</v>
      </c>
      <c r="P189" s="6" t="str">
        <f>VLOOKUP(D189,'シート2'!A:B, 2, 0)</f>
        <v>メルキャット</v>
      </c>
    </row>
    <row r="190">
      <c r="A190" s="1" t="s">
        <v>473</v>
      </c>
      <c r="B190" s="3" t="s">
        <v>474</v>
      </c>
      <c r="C190" s="1" t="s">
        <v>16</v>
      </c>
      <c r="D190" s="1" t="s">
        <v>393</v>
      </c>
      <c r="E190" s="1" t="s">
        <v>428</v>
      </c>
      <c r="F190" s="1" t="str">
        <f>IFERROR(__xludf.DUMMYFUNCTION("SPLIT(E190,""&gt;"")"),"Oasis Mining")</f>
        <v>Oasis Mining</v>
      </c>
      <c r="G190" s="1" t="str">
        <f>IFERROR(__xludf.DUMMYFUNCTION("""COMPUTED_VALUE"""),"Series 1")</f>
        <v>Series 1</v>
      </c>
      <c r="H190" s="1" t="s">
        <v>393</v>
      </c>
      <c r="I190" s="1" t="s">
        <v>288</v>
      </c>
      <c r="J190" s="4">
        <v>42917.0</v>
      </c>
      <c r="K190" s="1">
        <v>111.0</v>
      </c>
      <c r="L190" s="1">
        <v>111.0</v>
      </c>
      <c r="M190" s="1">
        <v>21.0</v>
      </c>
      <c r="N190" s="6" t="str">
        <f t="shared" si="2"/>
        <v>Oasis Mining🏝️</v>
      </c>
      <c r="P190" s="6" t="str">
        <f>VLOOKUP(D190,'シート2'!A:B, 2, 0)</f>
        <v>sasu</v>
      </c>
    </row>
    <row r="191">
      <c r="A191" s="1" t="s">
        <v>475</v>
      </c>
      <c r="B191" s="3" t="s">
        <v>476</v>
      </c>
      <c r="C191" s="1" t="s">
        <v>16</v>
      </c>
      <c r="D191" s="1" t="s">
        <v>71</v>
      </c>
      <c r="E191" s="1" t="s">
        <v>428</v>
      </c>
      <c r="F191" s="1" t="str">
        <f>IFERROR(__xludf.DUMMYFUNCTION("SPLIT(E191,""&gt;"")"),"Oasis Mining")</f>
        <v>Oasis Mining</v>
      </c>
      <c r="G191" s="1" t="str">
        <f>IFERROR(__xludf.DUMMYFUNCTION("""COMPUTED_VALUE"""),"Series 1")</f>
        <v>Series 1</v>
      </c>
      <c r="H191" s="1" t="s">
        <v>71</v>
      </c>
      <c r="I191" s="1" t="s">
        <v>288</v>
      </c>
      <c r="J191" s="4">
        <v>42917.0</v>
      </c>
      <c r="K191" s="1">
        <v>100.0</v>
      </c>
      <c r="L191" s="1">
        <v>100.0</v>
      </c>
      <c r="M191" s="1">
        <v>22.0</v>
      </c>
      <c r="N191" s="6" t="str">
        <f t="shared" si="2"/>
        <v>Oasis Mining🏝️</v>
      </c>
      <c r="P191" s="6" t="str">
        <f>VLOOKUP(D191,'シート2'!A:B, 2, 0)</f>
        <v>@DavinciNine</v>
      </c>
    </row>
    <row r="192">
      <c r="A192" s="1" t="s">
        <v>477</v>
      </c>
      <c r="B192" s="3" t="s">
        <v>478</v>
      </c>
      <c r="C192" s="1" t="s">
        <v>16</v>
      </c>
      <c r="D192" s="1" t="s">
        <v>479</v>
      </c>
      <c r="E192" s="1" t="s">
        <v>428</v>
      </c>
      <c r="F192" s="1" t="str">
        <f>IFERROR(__xludf.DUMMYFUNCTION("SPLIT(E192,""&gt;"")"),"Oasis Mining")</f>
        <v>Oasis Mining</v>
      </c>
      <c r="G192" s="1" t="str">
        <f>IFERROR(__xludf.DUMMYFUNCTION("""COMPUTED_VALUE"""),"Series 1")</f>
        <v>Series 1</v>
      </c>
      <c r="H192" s="1" t="s">
        <v>479</v>
      </c>
      <c r="I192" s="1" t="s">
        <v>288</v>
      </c>
      <c r="J192" s="4">
        <v>42917.0</v>
      </c>
      <c r="K192" s="1">
        <v>10000.0</v>
      </c>
      <c r="L192" s="1">
        <v>10000.0</v>
      </c>
      <c r="M192" s="1">
        <v>23.0</v>
      </c>
      <c r="N192" s="6" t="str">
        <f t="shared" si="2"/>
        <v>Oasis Mining🏝️</v>
      </c>
      <c r="P192" s="6" t="str">
        <f>VLOOKUP(D192,'シート2'!A:B, 2, 0)</f>
        <v>@crypto_M_esi</v>
      </c>
    </row>
    <row r="193">
      <c r="A193" s="1" t="s">
        <v>480</v>
      </c>
      <c r="B193" s="3" t="s">
        <v>481</v>
      </c>
      <c r="C193" s="1" t="s">
        <v>16</v>
      </c>
      <c r="D193" s="1" t="s">
        <v>76</v>
      </c>
      <c r="E193" s="1" t="s">
        <v>428</v>
      </c>
      <c r="F193" s="1" t="str">
        <f>IFERROR(__xludf.DUMMYFUNCTION("SPLIT(E193,""&gt;"")"),"Oasis Mining")</f>
        <v>Oasis Mining</v>
      </c>
      <c r="G193" s="1" t="str">
        <f>IFERROR(__xludf.DUMMYFUNCTION("""COMPUTED_VALUE"""),"Series 1")</f>
        <v>Series 1</v>
      </c>
      <c r="H193" s="1" t="s">
        <v>76</v>
      </c>
      <c r="I193" s="1" t="s">
        <v>288</v>
      </c>
      <c r="J193" s="4">
        <v>42917.0</v>
      </c>
      <c r="K193" s="1">
        <v>555.0</v>
      </c>
      <c r="L193" s="1">
        <v>555.0</v>
      </c>
      <c r="M193" s="1">
        <v>24.0</v>
      </c>
      <c r="N193" s="6" t="str">
        <f t="shared" si="2"/>
        <v>Oasis Mining🏝️</v>
      </c>
      <c r="P193" s="6" t="str">
        <f>VLOOKUP(D193,'シート2'!A:B, 2, 0)</f>
        <v>@JapepeneseMan</v>
      </c>
    </row>
    <row r="194">
      <c r="A194" s="1" t="s">
        <v>482</v>
      </c>
      <c r="B194" s="3" t="s">
        <v>483</v>
      </c>
      <c r="C194" s="1" t="s">
        <v>16</v>
      </c>
      <c r="D194" s="1" t="s">
        <v>44</v>
      </c>
      <c r="E194" s="1" t="s">
        <v>428</v>
      </c>
      <c r="F194" s="1" t="str">
        <f>IFERROR(__xludf.DUMMYFUNCTION("SPLIT(E194,""&gt;"")"),"Oasis Mining")</f>
        <v>Oasis Mining</v>
      </c>
      <c r="G194" s="1" t="str">
        <f>IFERROR(__xludf.DUMMYFUNCTION("""COMPUTED_VALUE"""),"Series 1")</f>
        <v>Series 1</v>
      </c>
      <c r="H194" s="1" t="s">
        <v>44</v>
      </c>
      <c r="I194" s="1" t="s">
        <v>288</v>
      </c>
      <c r="J194" s="4">
        <v>42917.0</v>
      </c>
      <c r="K194" s="1">
        <v>1000.0</v>
      </c>
      <c r="L194" s="1">
        <v>1000.0</v>
      </c>
      <c r="M194" s="1">
        <v>25.0</v>
      </c>
      <c r="N194" s="6" t="str">
        <f t="shared" si="2"/>
        <v>Oasis Mining🏝️</v>
      </c>
      <c r="P194" s="6" t="str">
        <f>VLOOKUP(D194,'シート2'!A:B, 2, 0)</f>
        <v>Anonymous</v>
      </c>
    </row>
    <row r="195">
      <c r="A195" s="1" t="s">
        <v>484</v>
      </c>
      <c r="B195" s="3" t="s">
        <v>485</v>
      </c>
      <c r="C195" s="1" t="s">
        <v>16</v>
      </c>
      <c r="D195" s="1" t="s">
        <v>330</v>
      </c>
      <c r="E195" s="1" t="s">
        <v>486</v>
      </c>
      <c r="F195" s="1" t="str">
        <f>IFERROR(__xludf.DUMMYFUNCTION("SPLIT(E195,""&gt;"")"),"Oasis Mining")</f>
        <v>Oasis Mining</v>
      </c>
      <c r="G195" s="1" t="str">
        <f>IFERROR(__xludf.DUMMYFUNCTION("""COMPUTED_VALUE"""),"Series 2")</f>
        <v>Series 2</v>
      </c>
      <c r="H195" s="1" t="s">
        <v>330</v>
      </c>
      <c r="I195" s="1" t="s">
        <v>395</v>
      </c>
      <c r="J195" s="4">
        <v>42948.0</v>
      </c>
      <c r="K195" s="1">
        <v>200.0</v>
      </c>
      <c r="L195" s="1">
        <v>200.0</v>
      </c>
      <c r="M195" s="1">
        <v>26.0</v>
      </c>
      <c r="N195" s="6" t="str">
        <f t="shared" si="2"/>
        <v>Oasis Mining🏝️</v>
      </c>
      <c r="P195" s="6" t="str">
        <f>VLOOKUP(D195,'シート2'!A:B, 2, 0)</f>
        <v>ウーピン</v>
      </c>
    </row>
    <row r="196">
      <c r="A196" s="1" t="s">
        <v>487</v>
      </c>
      <c r="B196" s="3" t="s">
        <v>488</v>
      </c>
      <c r="C196" s="1" t="s">
        <v>16</v>
      </c>
      <c r="D196" s="1" t="s">
        <v>489</v>
      </c>
      <c r="E196" s="1" t="s">
        <v>486</v>
      </c>
      <c r="F196" s="1" t="str">
        <f>IFERROR(__xludf.DUMMYFUNCTION("SPLIT(E196,""&gt;"")"),"Oasis Mining")</f>
        <v>Oasis Mining</v>
      </c>
      <c r="G196" s="1" t="str">
        <f>IFERROR(__xludf.DUMMYFUNCTION("""COMPUTED_VALUE"""),"Series 2")</f>
        <v>Series 2</v>
      </c>
      <c r="H196" s="1" t="s">
        <v>489</v>
      </c>
      <c r="I196" s="1" t="s">
        <v>395</v>
      </c>
      <c r="J196" s="4">
        <v>42948.0</v>
      </c>
      <c r="K196" s="1">
        <v>777.0</v>
      </c>
      <c r="L196" s="1">
        <v>777.0</v>
      </c>
      <c r="M196" s="1">
        <v>27.0</v>
      </c>
      <c r="N196" s="6" t="str">
        <f t="shared" si="2"/>
        <v>Oasis Mining🏝️</v>
      </c>
      <c r="P196" s="6" t="str">
        <f>VLOOKUP(D196,'シート2'!A:B, 2, 0)</f>
        <v>typerr</v>
      </c>
    </row>
    <row r="197">
      <c r="A197" s="1" t="s">
        <v>490</v>
      </c>
      <c r="B197" s="3" t="s">
        <v>491</v>
      </c>
      <c r="C197" s="1" t="s">
        <v>16</v>
      </c>
      <c r="D197" s="1" t="s">
        <v>79</v>
      </c>
      <c r="E197" s="1" t="s">
        <v>486</v>
      </c>
      <c r="F197" s="1" t="str">
        <f>IFERROR(__xludf.DUMMYFUNCTION("SPLIT(E197,""&gt;"")"),"Oasis Mining")</f>
        <v>Oasis Mining</v>
      </c>
      <c r="G197" s="1" t="str">
        <f>IFERROR(__xludf.DUMMYFUNCTION("""COMPUTED_VALUE"""),"Series 2")</f>
        <v>Series 2</v>
      </c>
      <c r="H197" s="1" t="s">
        <v>79</v>
      </c>
      <c r="I197" s="1" t="s">
        <v>395</v>
      </c>
      <c r="J197" s="4">
        <v>42948.0</v>
      </c>
      <c r="K197" s="1">
        <v>200.0</v>
      </c>
      <c r="L197" s="1">
        <v>200.0</v>
      </c>
      <c r="M197" s="1">
        <v>28.0</v>
      </c>
      <c r="N197" s="6" t="str">
        <f t="shared" si="2"/>
        <v>Oasis Mining🏝️</v>
      </c>
      <c r="P197" s="6" t="str">
        <f>VLOOKUP(D197,'シート2'!A:B, 2, 0)</f>
        <v>@TrendStream</v>
      </c>
    </row>
    <row r="198">
      <c r="A198" s="1" t="s">
        <v>492</v>
      </c>
      <c r="B198" s="3" t="s">
        <v>493</v>
      </c>
      <c r="C198" s="1" t="s">
        <v>16</v>
      </c>
      <c r="D198" s="1" t="s">
        <v>494</v>
      </c>
      <c r="E198" s="1" t="s">
        <v>486</v>
      </c>
      <c r="F198" s="1" t="str">
        <f>IFERROR(__xludf.DUMMYFUNCTION("SPLIT(E198,""&gt;"")"),"Oasis Mining")</f>
        <v>Oasis Mining</v>
      </c>
      <c r="G198" s="1" t="str">
        <f>IFERROR(__xludf.DUMMYFUNCTION("""COMPUTED_VALUE"""),"Series 2")</f>
        <v>Series 2</v>
      </c>
      <c r="H198" s="1" t="s">
        <v>494</v>
      </c>
      <c r="I198" s="1" t="s">
        <v>395</v>
      </c>
      <c r="J198" s="4">
        <v>42948.0</v>
      </c>
      <c r="K198" s="1">
        <v>700.0</v>
      </c>
      <c r="L198" s="1">
        <v>700.0</v>
      </c>
      <c r="M198" s="1">
        <v>29.0</v>
      </c>
      <c r="N198" s="6" t="str">
        <f t="shared" si="2"/>
        <v>Oasis Mining🏝️</v>
      </c>
      <c r="P198" s="6" t="str">
        <f>VLOOKUP(D198,'シート2'!A:B, 2, 0)</f>
        <v>クリプトカレンシーガールズ</v>
      </c>
    </row>
    <row r="199">
      <c r="A199" s="1" t="s">
        <v>495</v>
      </c>
      <c r="B199" s="3" t="s">
        <v>496</v>
      </c>
      <c r="C199" s="1" t="s">
        <v>16</v>
      </c>
      <c r="D199" s="1" t="s">
        <v>494</v>
      </c>
      <c r="E199" s="1" t="s">
        <v>486</v>
      </c>
      <c r="F199" s="1" t="str">
        <f>IFERROR(__xludf.DUMMYFUNCTION("SPLIT(E199,""&gt;"")"),"Oasis Mining")</f>
        <v>Oasis Mining</v>
      </c>
      <c r="G199" s="1" t="str">
        <f>IFERROR(__xludf.DUMMYFUNCTION("""COMPUTED_VALUE"""),"Series 2")</f>
        <v>Series 2</v>
      </c>
      <c r="H199" s="1" t="s">
        <v>494</v>
      </c>
      <c r="I199" s="1" t="s">
        <v>395</v>
      </c>
      <c r="J199" s="4">
        <v>42948.0</v>
      </c>
      <c r="K199" s="1">
        <v>300.0</v>
      </c>
      <c r="L199" s="1">
        <v>300.0</v>
      </c>
      <c r="M199" s="1">
        <v>30.0</v>
      </c>
      <c r="N199" s="6" t="str">
        <f t="shared" si="2"/>
        <v>Oasis Mining🏝️</v>
      </c>
      <c r="P199" s="6" t="str">
        <f>VLOOKUP(D199,'シート2'!A:B, 2, 0)</f>
        <v>クリプトカレンシーガールズ</v>
      </c>
    </row>
    <row r="200">
      <c r="A200" s="1" t="s">
        <v>497</v>
      </c>
      <c r="B200" s="3" t="s">
        <v>498</v>
      </c>
      <c r="C200" s="1" t="s">
        <v>16</v>
      </c>
      <c r="D200" s="1" t="s">
        <v>439</v>
      </c>
      <c r="E200" s="1" t="s">
        <v>486</v>
      </c>
      <c r="F200" s="1" t="str">
        <f>IFERROR(__xludf.DUMMYFUNCTION("SPLIT(E200,""&gt;"")"),"Oasis Mining")</f>
        <v>Oasis Mining</v>
      </c>
      <c r="G200" s="1" t="str">
        <f>IFERROR(__xludf.DUMMYFUNCTION("""COMPUTED_VALUE"""),"Series 2")</f>
        <v>Series 2</v>
      </c>
      <c r="H200" s="1" t="s">
        <v>440</v>
      </c>
      <c r="I200" s="1" t="s">
        <v>395</v>
      </c>
      <c r="J200" s="4">
        <v>42948.0</v>
      </c>
      <c r="K200" s="1">
        <v>720.0</v>
      </c>
      <c r="L200" s="1">
        <v>720.0</v>
      </c>
      <c r="M200" s="1">
        <v>31.0</v>
      </c>
      <c r="N200" s="6" t="str">
        <f t="shared" si="2"/>
        <v>Oasis Mining🏝️</v>
      </c>
      <c r="P200" s="6" t="str">
        <f>VLOOKUP(D200,'シート2'!A:B, 2, 0)</f>
        <v>@logica_s</v>
      </c>
    </row>
    <row r="201">
      <c r="A201" s="1" t="s">
        <v>499</v>
      </c>
      <c r="B201" s="3" t="s">
        <v>500</v>
      </c>
      <c r="C201" s="1" t="s">
        <v>16</v>
      </c>
      <c r="D201" s="1" t="s">
        <v>439</v>
      </c>
      <c r="E201" s="1" t="s">
        <v>486</v>
      </c>
      <c r="F201" s="1" t="str">
        <f>IFERROR(__xludf.DUMMYFUNCTION("SPLIT(E201,""&gt;"")"),"Oasis Mining")</f>
        <v>Oasis Mining</v>
      </c>
      <c r="G201" s="1" t="str">
        <f>IFERROR(__xludf.DUMMYFUNCTION("""COMPUTED_VALUE"""),"Series 2")</f>
        <v>Series 2</v>
      </c>
      <c r="H201" s="1" t="s">
        <v>440</v>
      </c>
      <c r="I201" s="1" t="s">
        <v>395</v>
      </c>
      <c r="J201" s="4">
        <v>42948.0</v>
      </c>
      <c r="K201" s="1">
        <v>899.0</v>
      </c>
      <c r="L201" s="1">
        <v>899.0</v>
      </c>
      <c r="M201" s="1">
        <v>32.0</v>
      </c>
      <c r="N201" s="6" t="str">
        <f t="shared" si="2"/>
        <v>Oasis Mining🏝️</v>
      </c>
      <c r="P201" s="6" t="str">
        <f>VLOOKUP(D201,'シート2'!A:B, 2, 0)</f>
        <v>@logica_s</v>
      </c>
    </row>
    <row r="202">
      <c r="A202" s="1" t="s">
        <v>501</v>
      </c>
      <c r="B202" s="3" t="s">
        <v>502</v>
      </c>
      <c r="C202" s="1" t="s">
        <v>16</v>
      </c>
      <c r="D202" s="1" t="s">
        <v>393</v>
      </c>
      <c r="E202" s="1" t="s">
        <v>486</v>
      </c>
      <c r="F202" s="1" t="str">
        <f>IFERROR(__xludf.DUMMYFUNCTION("SPLIT(E202,""&gt;"")"),"Oasis Mining")</f>
        <v>Oasis Mining</v>
      </c>
      <c r="G202" s="1" t="str">
        <f>IFERROR(__xludf.DUMMYFUNCTION("""COMPUTED_VALUE"""),"Series 2")</f>
        <v>Series 2</v>
      </c>
      <c r="H202" s="1" t="s">
        <v>393</v>
      </c>
      <c r="I202" s="1" t="s">
        <v>395</v>
      </c>
      <c r="J202" s="4">
        <v>42948.0</v>
      </c>
      <c r="K202" s="1">
        <v>111.0</v>
      </c>
      <c r="L202" s="1">
        <v>111.0</v>
      </c>
      <c r="M202" s="1">
        <v>33.0</v>
      </c>
      <c r="N202" s="6" t="str">
        <f t="shared" si="2"/>
        <v>Oasis Mining🏝️</v>
      </c>
      <c r="P202" s="6" t="str">
        <f>VLOOKUP(D202,'シート2'!A:B, 2, 0)</f>
        <v>sasu</v>
      </c>
    </row>
    <row r="203">
      <c r="A203" s="1" t="s">
        <v>503</v>
      </c>
      <c r="B203" s="3" t="s">
        <v>504</v>
      </c>
      <c r="C203" s="1" t="s">
        <v>16</v>
      </c>
      <c r="D203" s="1" t="s">
        <v>17</v>
      </c>
      <c r="E203" s="1" t="s">
        <v>486</v>
      </c>
      <c r="F203" s="1" t="str">
        <f>IFERROR(__xludf.DUMMYFUNCTION("SPLIT(E203,""&gt;"")"),"Oasis Mining")</f>
        <v>Oasis Mining</v>
      </c>
      <c r="G203" s="1" t="str">
        <f>IFERROR(__xludf.DUMMYFUNCTION("""COMPUTED_VALUE"""),"Series 2")</f>
        <v>Series 2</v>
      </c>
      <c r="H203" s="1" t="s">
        <v>17</v>
      </c>
      <c r="I203" s="1" t="s">
        <v>395</v>
      </c>
      <c r="J203" s="4">
        <v>42948.0</v>
      </c>
      <c r="K203" s="1">
        <v>100.0</v>
      </c>
      <c r="L203" s="1">
        <v>100.0</v>
      </c>
      <c r="M203" s="1">
        <v>34.0</v>
      </c>
      <c r="N203" s="6" t="str">
        <f t="shared" si="2"/>
        <v>Oasis Mining🏝️</v>
      </c>
      <c r="P203" s="6" t="str">
        <f>VLOOKUP(D203,'シート2'!A:B, 2, 0)</f>
        <v>@kartanbitcoin</v>
      </c>
    </row>
    <row r="204">
      <c r="A204" s="1" t="s">
        <v>505</v>
      </c>
      <c r="B204" s="3" t="s">
        <v>506</v>
      </c>
      <c r="C204" s="1" t="s">
        <v>16</v>
      </c>
      <c r="D204" s="1" t="s">
        <v>44</v>
      </c>
      <c r="E204" s="1" t="s">
        <v>486</v>
      </c>
      <c r="F204" s="1" t="str">
        <f>IFERROR(__xludf.DUMMYFUNCTION("SPLIT(E204,""&gt;"")"),"Oasis Mining")</f>
        <v>Oasis Mining</v>
      </c>
      <c r="G204" s="1" t="str">
        <f>IFERROR(__xludf.DUMMYFUNCTION("""COMPUTED_VALUE"""),"Series 2")</f>
        <v>Series 2</v>
      </c>
      <c r="H204" s="1" t="s">
        <v>44</v>
      </c>
      <c r="I204" s="1" t="s">
        <v>395</v>
      </c>
      <c r="J204" s="4">
        <v>42948.0</v>
      </c>
      <c r="K204" s="1">
        <v>2400.0</v>
      </c>
      <c r="L204" s="1">
        <v>2400.0</v>
      </c>
      <c r="M204" s="1">
        <v>35.0</v>
      </c>
      <c r="N204" s="6" t="str">
        <f t="shared" si="2"/>
        <v>Oasis Mining🏝️</v>
      </c>
      <c r="P204" s="6" t="str">
        <f>VLOOKUP(D204,'シート2'!A:B, 2, 0)</f>
        <v>Anonymous</v>
      </c>
    </row>
    <row r="205">
      <c r="A205" s="1" t="s">
        <v>507</v>
      </c>
      <c r="B205" s="3" t="s">
        <v>508</v>
      </c>
      <c r="C205" s="1" t="s">
        <v>16</v>
      </c>
      <c r="D205" s="1" t="s">
        <v>17</v>
      </c>
      <c r="E205" s="1" t="s">
        <v>486</v>
      </c>
      <c r="F205" s="1" t="str">
        <f>IFERROR(__xludf.DUMMYFUNCTION("SPLIT(E205,""&gt;"")"),"Oasis Mining")</f>
        <v>Oasis Mining</v>
      </c>
      <c r="G205" s="1" t="str">
        <f>IFERROR(__xludf.DUMMYFUNCTION("""COMPUTED_VALUE"""),"Series 2")</f>
        <v>Series 2</v>
      </c>
      <c r="H205" s="1" t="s">
        <v>17</v>
      </c>
      <c r="I205" s="1" t="s">
        <v>395</v>
      </c>
      <c r="J205" s="4">
        <v>42948.0</v>
      </c>
      <c r="K205" s="1">
        <v>100.0</v>
      </c>
      <c r="L205" s="1">
        <v>100.0</v>
      </c>
      <c r="M205" s="1">
        <v>36.0</v>
      </c>
      <c r="N205" s="6" t="str">
        <f t="shared" si="2"/>
        <v>Oasis Mining🏝️</v>
      </c>
      <c r="P205" s="6" t="str">
        <f>VLOOKUP(D205,'シート2'!A:B, 2, 0)</f>
        <v>@kartanbitcoin</v>
      </c>
    </row>
    <row r="206">
      <c r="A206" s="1" t="s">
        <v>509</v>
      </c>
      <c r="B206" s="3" t="s">
        <v>510</v>
      </c>
      <c r="C206" s="1" t="s">
        <v>16</v>
      </c>
      <c r="D206" s="1" t="s">
        <v>366</v>
      </c>
      <c r="E206" s="1" t="s">
        <v>486</v>
      </c>
      <c r="F206" s="1" t="str">
        <f>IFERROR(__xludf.DUMMYFUNCTION("SPLIT(E206,""&gt;"")"),"Oasis Mining")</f>
        <v>Oasis Mining</v>
      </c>
      <c r="G206" s="1" t="str">
        <f>IFERROR(__xludf.DUMMYFUNCTION("""COMPUTED_VALUE"""),"Series 2")</f>
        <v>Series 2</v>
      </c>
      <c r="H206" s="1" t="s">
        <v>366</v>
      </c>
      <c r="I206" s="1" t="s">
        <v>395</v>
      </c>
      <c r="J206" s="4">
        <v>42948.0</v>
      </c>
      <c r="K206" s="1">
        <v>200.0</v>
      </c>
      <c r="L206" s="1">
        <v>200.0</v>
      </c>
      <c r="M206" s="1">
        <v>37.0</v>
      </c>
      <c r="N206" s="6" t="str">
        <f t="shared" si="2"/>
        <v>Oasis Mining🏝️</v>
      </c>
      <c r="P206" s="6" t="str">
        <f>VLOOKUP(D206,'シート2'!A:B, 2, 0)</f>
        <v>やっすんX</v>
      </c>
    </row>
    <row r="207">
      <c r="A207" s="1" t="s">
        <v>511</v>
      </c>
      <c r="B207" s="3" t="s">
        <v>512</v>
      </c>
      <c r="C207" s="1" t="s">
        <v>16</v>
      </c>
      <c r="D207" s="1" t="s">
        <v>330</v>
      </c>
      <c r="E207" s="1" t="s">
        <v>486</v>
      </c>
      <c r="F207" s="1" t="str">
        <f>IFERROR(__xludf.DUMMYFUNCTION("SPLIT(E207,""&gt;"")"),"Oasis Mining")</f>
        <v>Oasis Mining</v>
      </c>
      <c r="G207" s="1" t="str">
        <f>IFERROR(__xludf.DUMMYFUNCTION("""COMPUTED_VALUE"""),"Series 2")</f>
        <v>Series 2</v>
      </c>
      <c r="H207" s="1" t="s">
        <v>330</v>
      </c>
      <c r="I207" s="1" t="s">
        <v>395</v>
      </c>
      <c r="J207" s="4">
        <v>42948.0</v>
      </c>
      <c r="K207" s="1">
        <v>100.0</v>
      </c>
      <c r="L207" s="1">
        <v>100.0</v>
      </c>
      <c r="M207" s="1">
        <v>38.0</v>
      </c>
      <c r="N207" s="6" t="str">
        <f t="shared" si="2"/>
        <v>Oasis Mining🏝️</v>
      </c>
      <c r="P207" s="6" t="str">
        <f>VLOOKUP(D207,'シート2'!A:B, 2, 0)</f>
        <v>ウーピン</v>
      </c>
    </row>
    <row r="208">
      <c r="A208" s="1" t="s">
        <v>513</v>
      </c>
      <c r="B208" s="3" t="s">
        <v>514</v>
      </c>
      <c r="C208" s="1" t="s">
        <v>16</v>
      </c>
      <c r="D208" s="1" t="s">
        <v>71</v>
      </c>
      <c r="E208" s="1" t="s">
        <v>486</v>
      </c>
      <c r="F208" s="1" t="str">
        <f>IFERROR(__xludf.DUMMYFUNCTION("SPLIT(E208,""&gt;"")"),"Oasis Mining")</f>
        <v>Oasis Mining</v>
      </c>
      <c r="G208" s="1" t="str">
        <f>IFERROR(__xludf.DUMMYFUNCTION("""COMPUTED_VALUE"""),"Series 2")</f>
        <v>Series 2</v>
      </c>
      <c r="H208" s="1" t="s">
        <v>71</v>
      </c>
      <c r="I208" s="1" t="s">
        <v>395</v>
      </c>
      <c r="J208" s="4">
        <v>42948.0</v>
      </c>
      <c r="K208" s="1">
        <v>200.0</v>
      </c>
      <c r="L208" s="1">
        <v>200.0</v>
      </c>
      <c r="M208" s="1">
        <v>39.0</v>
      </c>
      <c r="N208" s="6" t="str">
        <f t="shared" si="2"/>
        <v>Oasis Mining🏝️</v>
      </c>
      <c r="P208" s="6" t="str">
        <f>VLOOKUP(D208,'シート2'!A:B, 2, 0)</f>
        <v>@DavinciNine</v>
      </c>
    </row>
    <row r="209">
      <c r="A209" s="1" t="s">
        <v>515</v>
      </c>
      <c r="B209" s="3" t="s">
        <v>516</v>
      </c>
      <c r="C209" s="1" t="s">
        <v>16</v>
      </c>
      <c r="D209" s="1" t="s">
        <v>451</v>
      </c>
      <c r="E209" s="1" t="s">
        <v>486</v>
      </c>
      <c r="F209" s="1" t="str">
        <f>IFERROR(__xludf.DUMMYFUNCTION("SPLIT(E209,""&gt;"")"),"Oasis Mining")</f>
        <v>Oasis Mining</v>
      </c>
      <c r="G209" s="1" t="str">
        <f>IFERROR(__xludf.DUMMYFUNCTION("""COMPUTED_VALUE"""),"Series 2")</f>
        <v>Series 2</v>
      </c>
      <c r="H209" s="1" t="s">
        <v>451</v>
      </c>
      <c r="I209" s="1" t="s">
        <v>395</v>
      </c>
      <c r="J209" s="4">
        <v>42948.0</v>
      </c>
      <c r="K209" s="1">
        <v>1500.0</v>
      </c>
      <c r="L209" s="1">
        <v>1500.0</v>
      </c>
      <c r="M209" s="1">
        <v>40.0</v>
      </c>
      <c r="N209" s="6" t="str">
        <f t="shared" si="2"/>
        <v>Oasis Mining🏝️</v>
      </c>
      <c r="P209" s="6" t="str">
        <f>VLOOKUP(D209,'シート2'!A:B, 2, 0)</f>
        <v>まる</v>
      </c>
    </row>
    <row r="210">
      <c r="A210" s="1" t="s">
        <v>517</v>
      </c>
      <c r="B210" s="3" t="s">
        <v>518</v>
      </c>
      <c r="C210" s="1" t="s">
        <v>16</v>
      </c>
      <c r="D210" s="1" t="s">
        <v>519</v>
      </c>
      <c r="E210" s="1" t="s">
        <v>486</v>
      </c>
      <c r="F210" s="1" t="str">
        <f>IFERROR(__xludf.DUMMYFUNCTION("SPLIT(E210,""&gt;"")"),"Oasis Mining")</f>
        <v>Oasis Mining</v>
      </c>
      <c r="G210" s="1" t="str">
        <f>IFERROR(__xludf.DUMMYFUNCTION("""COMPUTED_VALUE"""),"Series 2")</f>
        <v>Series 2</v>
      </c>
      <c r="H210" s="1" t="s">
        <v>519</v>
      </c>
      <c r="I210" s="1" t="s">
        <v>395</v>
      </c>
      <c r="J210" s="4">
        <v>42948.0</v>
      </c>
      <c r="K210" s="1">
        <v>500.0</v>
      </c>
      <c r="L210" s="1">
        <v>500.0</v>
      </c>
      <c r="M210" s="1">
        <v>41.0</v>
      </c>
      <c r="N210" s="6" t="str">
        <f t="shared" si="2"/>
        <v>Oasis Mining🏝️</v>
      </c>
      <c r="P210" s="6" t="str">
        <f>VLOOKUP(D210,'シート2'!A:B, 2, 0)</f>
        <v>@emma_nft</v>
      </c>
    </row>
    <row r="211">
      <c r="A211" s="1" t="s">
        <v>520</v>
      </c>
      <c r="B211" s="3" t="s">
        <v>521</v>
      </c>
      <c r="C211" s="1" t="s">
        <v>16</v>
      </c>
      <c r="D211" s="1" t="s">
        <v>95</v>
      </c>
      <c r="E211" s="1" t="s">
        <v>486</v>
      </c>
      <c r="F211" s="1" t="str">
        <f>IFERROR(__xludf.DUMMYFUNCTION("SPLIT(E211,""&gt;"")"),"Oasis Mining")</f>
        <v>Oasis Mining</v>
      </c>
      <c r="G211" s="1" t="str">
        <f>IFERROR(__xludf.DUMMYFUNCTION("""COMPUTED_VALUE"""),"Series 2")</f>
        <v>Series 2</v>
      </c>
      <c r="H211" s="1" t="s">
        <v>95</v>
      </c>
      <c r="I211" s="1" t="s">
        <v>395</v>
      </c>
      <c r="J211" s="4">
        <v>42948.0</v>
      </c>
      <c r="K211" s="1">
        <v>10000.0</v>
      </c>
      <c r="L211" s="1">
        <v>10000.0</v>
      </c>
      <c r="M211" s="1">
        <v>42.0</v>
      </c>
      <c r="N211" s="6" t="str">
        <f t="shared" si="2"/>
        <v>Oasis Mining🏝️</v>
      </c>
      <c r="P211" s="6" t="str">
        <f>VLOOKUP(D211,'シート2'!A:B, 2, 0)</f>
        <v>@SmartSpaceDogs</v>
      </c>
    </row>
    <row r="212">
      <c r="A212" s="1" t="s">
        <v>522</v>
      </c>
      <c r="B212" s="3" t="s">
        <v>523</v>
      </c>
      <c r="C212" s="1" t="s">
        <v>16</v>
      </c>
      <c r="D212" s="1" t="s">
        <v>76</v>
      </c>
      <c r="E212" s="1" t="s">
        <v>486</v>
      </c>
      <c r="F212" s="1" t="str">
        <f>IFERROR(__xludf.DUMMYFUNCTION("SPLIT(E212,""&gt;"")"),"Oasis Mining")</f>
        <v>Oasis Mining</v>
      </c>
      <c r="G212" s="1" t="str">
        <f>IFERROR(__xludf.DUMMYFUNCTION("""COMPUTED_VALUE"""),"Series 2")</f>
        <v>Series 2</v>
      </c>
      <c r="H212" s="1" t="s">
        <v>76</v>
      </c>
      <c r="I212" s="1" t="s">
        <v>395</v>
      </c>
      <c r="J212" s="4">
        <v>42948.0</v>
      </c>
      <c r="K212" s="1">
        <v>555.0</v>
      </c>
      <c r="L212" s="1">
        <v>555.0</v>
      </c>
      <c r="M212" s="1">
        <v>43.0</v>
      </c>
      <c r="N212" s="6" t="str">
        <f t="shared" si="2"/>
        <v>Oasis Mining🏝️</v>
      </c>
      <c r="P212" s="6" t="str">
        <f>VLOOKUP(D212,'シート2'!A:B, 2, 0)</f>
        <v>@JapepeneseMan</v>
      </c>
    </row>
    <row r="213">
      <c r="A213" s="1" t="s">
        <v>524</v>
      </c>
      <c r="B213" s="3" t="s">
        <v>525</v>
      </c>
      <c r="C213" s="1" t="s">
        <v>16</v>
      </c>
      <c r="D213" s="1" t="s">
        <v>76</v>
      </c>
      <c r="E213" s="1" t="s">
        <v>486</v>
      </c>
      <c r="F213" s="1" t="str">
        <f>IFERROR(__xludf.DUMMYFUNCTION("SPLIT(E213,""&gt;"")"),"Oasis Mining")</f>
        <v>Oasis Mining</v>
      </c>
      <c r="G213" s="1" t="str">
        <f>IFERROR(__xludf.DUMMYFUNCTION("""COMPUTED_VALUE"""),"Series 2")</f>
        <v>Series 2</v>
      </c>
      <c r="H213" s="1" t="s">
        <v>76</v>
      </c>
      <c r="I213" s="1" t="s">
        <v>395</v>
      </c>
      <c r="J213" s="4">
        <v>42948.0</v>
      </c>
      <c r="K213" s="1">
        <v>555.0</v>
      </c>
      <c r="L213" s="1">
        <v>555.0</v>
      </c>
      <c r="M213" s="1">
        <v>44.0</v>
      </c>
      <c r="N213" s="6" t="str">
        <f t="shared" si="2"/>
        <v>Oasis Mining🏝️</v>
      </c>
      <c r="P213" s="6" t="str">
        <f>VLOOKUP(D213,'シート2'!A:B, 2, 0)</f>
        <v>@JapepeneseMan</v>
      </c>
    </row>
    <row r="214">
      <c r="A214" s="1" t="s">
        <v>526</v>
      </c>
      <c r="B214" s="3" t="s">
        <v>527</v>
      </c>
      <c r="C214" s="1" t="s">
        <v>16</v>
      </c>
      <c r="D214" s="1" t="s">
        <v>528</v>
      </c>
      <c r="E214" s="1" t="s">
        <v>486</v>
      </c>
      <c r="F214" s="1" t="str">
        <f>IFERROR(__xludf.DUMMYFUNCTION("SPLIT(E214,""&gt;"")"),"Oasis Mining")</f>
        <v>Oasis Mining</v>
      </c>
      <c r="G214" s="1" t="str">
        <f>IFERROR(__xludf.DUMMYFUNCTION("""COMPUTED_VALUE"""),"Series 2")</f>
        <v>Series 2</v>
      </c>
      <c r="H214" s="1" t="s">
        <v>528</v>
      </c>
      <c r="I214" s="1" t="s">
        <v>395</v>
      </c>
      <c r="J214" s="4">
        <v>42948.0</v>
      </c>
      <c r="K214" s="1">
        <v>10000.0</v>
      </c>
      <c r="L214" s="1">
        <v>10000.0</v>
      </c>
      <c r="M214" s="1">
        <v>45.0</v>
      </c>
      <c r="N214" s="6" t="str">
        <f t="shared" si="2"/>
        <v>Oasis Mining🏝️</v>
      </c>
      <c r="P214" s="6" t="str">
        <f>VLOOKUP(D214,'シート2'!A:B, 2, 0)</f>
        <v>仮想通貨ニュース</v>
      </c>
    </row>
    <row r="215">
      <c r="A215" s="1" t="s">
        <v>529</v>
      </c>
      <c r="B215" s="3" t="s">
        <v>530</v>
      </c>
      <c r="C215" s="1" t="s">
        <v>16</v>
      </c>
      <c r="D215" s="1" t="s">
        <v>44</v>
      </c>
      <c r="E215" s="1" t="s">
        <v>486</v>
      </c>
      <c r="F215" s="1" t="str">
        <f>IFERROR(__xludf.DUMMYFUNCTION("SPLIT(E215,""&gt;"")"),"Oasis Mining")</f>
        <v>Oasis Mining</v>
      </c>
      <c r="G215" s="1" t="str">
        <f>IFERROR(__xludf.DUMMYFUNCTION("""COMPUTED_VALUE"""),"Series 2")</f>
        <v>Series 2</v>
      </c>
      <c r="H215" s="1" t="s">
        <v>44</v>
      </c>
      <c r="I215" s="1" t="s">
        <v>395</v>
      </c>
      <c r="J215" s="4">
        <v>42948.0</v>
      </c>
      <c r="K215" s="1">
        <v>1818.0</v>
      </c>
      <c r="L215" s="1">
        <v>1818.0</v>
      </c>
      <c r="M215" s="1">
        <v>46.0</v>
      </c>
      <c r="N215" s="6" t="str">
        <f t="shared" si="2"/>
        <v>Oasis Mining🏝️</v>
      </c>
      <c r="P215" s="6" t="str">
        <f>VLOOKUP(D215,'シート2'!A:B, 2, 0)</f>
        <v>Anonymous</v>
      </c>
    </row>
    <row r="216">
      <c r="A216" s="1" t="s">
        <v>531</v>
      </c>
      <c r="B216" s="3" t="s">
        <v>532</v>
      </c>
      <c r="C216" s="1" t="s">
        <v>16</v>
      </c>
      <c r="D216" s="1" t="s">
        <v>44</v>
      </c>
      <c r="E216" s="1" t="s">
        <v>486</v>
      </c>
      <c r="F216" s="1" t="str">
        <f>IFERROR(__xludf.DUMMYFUNCTION("SPLIT(E216,""&gt;"")"),"Oasis Mining")</f>
        <v>Oasis Mining</v>
      </c>
      <c r="G216" s="1" t="str">
        <f>IFERROR(__xludf.DUMMYFUNCTION("""COMPUTED_VALUE"""),"Series 2")</f>
        <v>Series 2</v>
      </c>
      <c r="H216" s="1" t="s">
        <v>44</v>
      </c>
      <c r="I216" s="1" t="s">
        <v>395</v>
      </c>
      <c r="J216" s="4">
        <v>42948.0</v>
      </c>
      <c r="K216" s="1">
        <v>100.0</v>
      </c>
      <c r="L216" s="1">
        <v>100.0</v>
      </c>
      <c r="M216" s="1">
        <v>47.0</v>
      </c>
      <c r="N216" s="6" t="str">
        <f t="shared" si="2"/>
        <v>Oasis Mining🏝️</v>
      </c>
      <c r="P216" s="6" t="str">
        <f>VLOOKUP(D216,'シート2'!A:B, 2, 0)</f>
        <v>Anonymous</v>
      </c>
    </row>
    <row r="217">
      <c r="A217" s="1" t="s">
        <v>533</v>
      </c>
      <c r="B217" s="3" t="s">
        <v>534</v>
      </c>
      <c r="C217" s="1" t="s">
        <v>16</v>
      </c>
      <c r="D217" s="1" t="s">
        <v>79</v>
      </c>
      <c r="E217" s="1" t="s">
        <v>486</v>
      </c>
      <c r="F217" s="1" t="str">
        <f>IFERROR(__xludf.DUMMYFUNCTION("SPLIT(E217,""&gt;"")"),"Oasis Mining")</f>
        <v>Oasis Mining</v>
      </c>
      <c r="G217" s="1" t="str">
        <f>IFERROR(__xludf.DUMMYFUNCTION("""COMPUTED_VALUE"""),"Series 2")</f>
        <v>Series 2</v>
      </c>
      <c r="H217" s="1" t="s">
        <v>79</v>
      </c>
      <c r="I217" s="1" t="s">
        <v>395</v>
      </c>
      <c r="J217" s="4">
        <v>42948.0</v>
      </c>
      <c r="K217" s="1">
        <v>200.0</v>
      </c>
      <c r="L217" s="1">
        <v>200.0</v>
      </c>
      <c r="M217" s="1">
        <v>48.0</v>
      </c>
      <c r="N217" s="6" t="str">
        <f t="shared" si="2"/>
        <v>Oasis Mining🏝️</v>
      </c>
      <c r="P217" s="6" t="str">
        <f>VLOOKUP(D217,'シート2'!A:B, 2, 0)</f>
        <v>@TrendStream</v>
      </c>
    </row>
    <row r="218">
      <c r="A218" s="1" t="s">
        <v>535</v>
      </c>
      <c r="B218" s="3" t="s">
        <v>536</v>
      </c>
      <c r="C218" s="1" t="s">
        <v>16</v>
      </c>
      <c r="D218" s="1" t="s">
        <v>393</v>
      </c>
      <c r="E218" s="1" t="s">
        <v>486</v>
      </c>
      <c r="F218" s="1" t="str">
        <f>IFERROR(__xludf.DUMMYFUNCTION("SPLIT(E218,""&gt;"")"),"Oasis Mining")</f>
        <v>Oasis Mining</v>
      </c>
      <c r="G218" s="1" t="str">
        <f>IFERROR(__xludf.DUMMYFUNCTION("""COMPUTED_VALUE"""),"Series 2")</f>
        <v>Series 2</v>
      </c>
      <c r="H218" s="1" t="s">
        <v>393</v>
      </c>
      <c r="I218" s="1" t="s">
        <v>395</v>
      </c>
      <c r="J218" s="4">
        <v>42948.0</v>
      </c>
      <c r="K218" s="1">
        <v>200.0</v>
      </c>
      <c r="L218" s="1">
        <v>200.0</v>
      </c>
      <c r="M218" s="1">
        <v>49.0</v>
      </c>
      <c r="N218" s="6" t="str">
        <f t="shared" si="2"/>
        <v>Oasis Mining🏝️</v>
      </c>
      <c r="P218" s="6" t="str">
        <f>VLOOKUP(D218,'シート2'!A:B, 2, 0)</f>
        <v>sasu</v>
      </c>
    </row>
    <row r="219">
      <c r="A219" s="1" t="s">
        <v>537</v>
      </c>
      <c r="B219" s="3" t="s">
        <v>538</v>
      </c>
      <c r="C219" s="1" t="s">
        <v>16</v>
      </c>
      <c r="D219" s="1" t="s">
        <v>479</v>
      </c>
      <c r="E219" s="1" t="s">
        <v>486</v>
      </c>
      <c r="F219" s="1" t="str">
        <f>IFERROR(__xludf.DUMMYFUNCTION("SPLIT(E219,""&gt;"")"),"Oasis Mining")</f>
        <v>Oasis Mining</v>
      </c>
      <c r="G219" s="1" t="str">
        <f>IFERROR(__xludf.DUMMYFUNCTION("""COMPUTED_VALUE"""),"Series 2")</f>
        <v>Series 2</v>
      </c>
      <c r="H219" s="1" t="s">
        <v>479</v>
      </c>
      <c r="I219" s="1" t="s">
        <v>395</v>
      </c>
      <c r="J219" s="4">
        <v>42948.0</v>
      </c>
      <c r="K219" s="1">
        <v>150.0</v>
      </c>
      <c r="L219" s="1">
        <v>150.0</v>
      </c>
      <c r="M219" s="1">
        <v>50.0</v>
      </c>
      <c r="N219" s="6" t="str">
        <f t="shared" si="2"/>
        <v>Oasis Mining🏝️</v>
      </c>
      <c r="P219" s="6" t="str">
        <f>VLOOKUP(D219,'シート2'!A:B, 2, 0)</f>
        <v>@crypto_M_esi</v>
      </c>
    </row>
    <row r="220">
      <c r="A220" s="1" t="s">
        <v>539</v>
      </c>
      <c r="B220" s="3" t="s">
        <v>540</v>
      </c>
      <c r="C220" s="1" t="s">
        <v>16</v>
      </c>
      <c r="D220" s="1" t="s">
        <v>168</v>
      </c>
      <c r="E220" s="1" t="s">
        <v>486</v>
      </c>
      <c r="F220" s="1" t="str">
        <f>IFERROR(__xludf.DUMMYFUNCTION("SPLIT(E220,""&gt;"")"),"Oasis Mining")</f>
        <v>Oasis Mining</v>
      </c>
      <c r="G220" s="1" t="str">
        <f>IFERROR(__xludf.DUMMYFUNCTION("""COMPUTED_VALUE"""),"Series 2")</f>
        <v>Series 2</v>
      </c>
      <c r="H220" s="1" t="s">
        <v>168</v>
      </c>
      <c r="I220" s="1" t="s">
        <v>395</v>
      </c>
      <c r="J220" s="4">
        <v>42948.0</v>
      </c>
      <c r="K220" s="1">
        <v>300.0</v>
      </c>
      <c r="L220" s="1">
        <v>100.0</v>
      </c>
      <c r="M220" s="1">
        <v>51.0</v>
      </c>
      <c r="N220" s="6" t="str">
        <f t="shared" si="2"/>
        <v>Oasis Mining🏝️</v>
      </c>
      <c r="P220" s="6" t="str">
        <f>VLOOKUP(D220,'シート2'!A:B, 2, 0)</f>
        <v>@Whiskey_bonbon_</v>
      </c>
    </row>
    <row r="221">
      <c r="A221" s="1" t="s">
        <v>541</v>
      </c>
      <c r="B221" s="3" t="s">
        <v>542</v>
      </c>
      <c r="C221" s="1" t="s">
        <v>16</v>
      </c>
      <c r="D221" s="1" t="s">
        <v>543</v>
      </c>
      <c r="E221" s="1" t="s">
        <v>544</v>
      </c>
      <c r="F221" s="1" t="str">
        <f>IFERROR(__xludf.DUMMYFUNCTION("SPLIT(E221,""&gt;"")"),"Oasis Mining")</f>
        <v>Oasis Mining</v>
      </c>
      <c r="G221" s="1" t="str">
        <f>IFERROR(__xludf.DUMMYFUNCTION("""COMPUTED_VALUE"""),"Series 3")</f>
        <v>Series 3</v>
      </c>
      <c r="H221" s="1" t="s">
        <v>543</v>
      </c>
      <c r="I221" s="1" t="s">
        <v>545</v>
      </c>
      <c r="J221" s="4">
        <v>42979.0</v>
      </c>
      <c r="K221" s="1">
        <v>1000.0</v>
      </c>
      <c r="L221" s="1">
        <v>1000.0</v>
      </c>
      <c r="M221" s="1">
        <v>52.0</v>
      </c>
      <c r="N221" s="6" t="str">
        <f t="shared" si="2"/>
        <v>Oasis Mining🏝️</v>
      </c>
      <c r="P221" s="6" t="str">
        <f>VLOOKUP(D221,'シート2'!A:B, 2, 0)</f>
        <v>シシャモ</v>
      </c>
    </row>
    <row r="222">
      <c r="A222" s="1" t="s">
        <v>546</v>
      </c>
      <c r="B222" s="3" t="s">
        <v>547</v>
      </c>
      <c r="C222" s="1" t="s">
        <v>16</v>
      </c>
      <c r="D222" s="1" t="s">
        <v>146</v>
      </c>
      <c r="E222" s="1" t="s">
        <v>544</v>
      </c>
      <c r="F222" s="1" t="str">
        <f>IFERROR(__xludf.DUMMYFUNCTION("SPLIT(E222,""&gt;"")"),"Oasis Mining")</f>
        <v>Oasis Mining</v>
      </c>
      <c r="G222" s="1" t="str">
        <f>IFERROR(__xludf.DUMMYFUNCTION("""COMPUTED_VALUE"""),"Series 3")</f>
        <v>Series 3</v>
      </c>
      <c r="H222" s="1" t="s">
        <v>146</v>
      </c>
      <c r="I222" s="1" t="s">
        <v>545</v>
      </c>
      <c r="J222" s="4">
        <v>42979.0</v>
      </c>
      <c r="K222" s="1">
        <v>300.0</v>
      </c>
      <c r="L222" s="1">
        <v>300.0</v>
      </c>
      <c r="M222" s="1">
        <v>53.0</v>
      </c>
      <c r="N222" s="6" t="str">
        <f t="shared" si="2"/>
        <v>Oasis Mining🏝️</v>
      </c>
      <c r="P222" s="6" t="str">
        <f>VLOOKUP(D222,'シート2'!A:B, 2, 0)</f>
        <v>VeryLongUnagi</v>
      </c>
    </row>
    <row r="223">
      <c r="A223" s="1" t="s">
        <v>548</v>
      </c>
      <c r="B223" s="3" t="s">
        <v>549</v>
      </c>
      <c r="C223" s="1" t="s">
        <v>16</v>
      </c>
      <c r="D223" s="1" t="s">
        <v>494</v>
      </c>
      <c r="E223" s="1" t="s">
        <v>544</v>
      </c>
      <c r="F223" s="1" t="str">
        <f>IFERROR(__xludf.DUMMYFUNCTION("SPLIT(E223,""&gt;"")"),"Oasis Mining")</f>
        <v>Oasis Mining</v>
      </c>
      <c r="G223" s="1" t="str">
        <f>IFERROR(__xludf.DUMMYFUNCTION("""COMPUTED_VALUE"""),"Series 3")</f>
        <v>Series 3</v>
      </c>
      <c r="H223" s="1" t="s">
        <v>494</v>
      </c>
      <c r="I223" s="1" t="s">
        <v>545</v>
      </c>
      <c r="J223" s="4">
        <v>42979.0</v>
      </c>
      <c r="K223" s="1">
        <v>300.0</v>
      </c>
      <c r="L223" s="1">
        <v>300.0</v>
      </c>
      <c r="M223" s="1">
        <v>54.0</v>
      </c>
      <c r="N223" s="6" t="str">
        <f t="shared" si="2"/>
        <v>Oasis Mining🏝️</v>
      </c>
      <c r="P223" s="6" t="str">
        <f>VLOOKUP(D223,'シート2'!A:B, 2, 0)</f>
        <v>クリプトカレンシーガールズ</v>
      </c>
    </row>
    <row r="224">
      <c r="A224" s="1" t="s">
        <v>550</v>
      </c>
      <c r="B224" s="3" t="s">
        <v>551</v>
      </c>
      <c r="C224" s="1" t="s">
        <v>16</v>
      </c>
      <c r="D224" s="1" t="s">
        <v>330</v>
      </c>
      <c r="E224" s="1" t="s">
        <v>544</v>
      </c>
      <c r="F224" s="1" t="str">
        <f>IFERROR(__xludf.DUMMYFUNCTION("SPLIT(E224,""&gt;"")"),"Oasis Mining")</f>
        <v>Oasis Mining</v>
      </c>
      <c r="G224" s="1" t="str">
        <f>IFERROR(__xludf.DUMMYFUNCTION("""COMPUTED_VALUE"""),"Series 3")</f>
        <v>Series 3</v>
      </c>
      <c r="H224" s="1" t="s">
        <v>330</v>
      </c>
      <c r="I224" s="1" t="s">
        <v>545</v>
      </c>
      <c r="J224" s="4">
        <v>42979.0</v>
      </c>
      <c r="K224" s="1">
        <v>100.0</v>
      </c>
      <c r="L224" s="1">
        <v>100.0</v>
      </c>
      <c r="M224" s="1">
        <v>55.0</v>
      </c>
      <c r="N224" s="6" t="str">
        <f t="shared" si="2"/>
        <v>Oasis Mining🏝️</v>
      </c>
      <c r="P224" s="6" t="str">
        <f>VLOOKUP(D224,'シート2'!A:B, 2, 0)</f>
        <v>ウーピン</v>
      </c>
    </row>
    <row r="225">
      <c r="A225" s="1" t="s">
        <v>552</v>
      </c>
      <c r="B225" s="3" t="s">
        <v>553</v>
      </c>
      <c r="C225" s="1" t="s">
        <v>16</v>
      </c>
      <c r="D225" s="1" t="s">
        <v>17</v>
      </c>
      <c r="E225" s="1" t="s">
        <v>544</v>
      </c>
      <c r="F225" s="1" t="str">
        <f>IFERROR(__xludf.DUMMYFUNCTION("SPLIT(E225,""&gt;"")"),"Oasis Mining")</f>
        <v>Oasis Mining</v>
      </c>
      <c r="G225" s="1" t="str">
        <f>IFERROR(__xludf.DUMMYFUNCTION("""COMPUTED_VALUE"""),"Series 3")</f>
        <v>Series 3</v>
      </c>
      <c r="H225" s="1" t="s">
        <v>17</v>
      </c>
      <c r="I225" s="1" t="s">
        <v>545</v>
      </c>
      <c r="J225" s="4">
        <v>42979.0</v>
      </c>
      <c r="K225" s="1">
        <v>100.0</v>
      </c>
      <c r="L225" s="1">
        <v>100.0</v>
      </c>
      <c r="M225" s="1">
        <v>56.0</v>
      </c>
      <c r="N225" s="6" t="str">
        <f t="shared" si="2"/>
        <v>Oasis Mining🏝️</v>
      </c>
      <c r="P225" s="6" t="str">
        <f>VLOOKUP(D225,'シート2'!A:B, 2, 0)</f>
        <v>@kartanbitcoin</v>
      </c>
    </row>
    <row r="226">
      <c r="A226" s="1" t="s">
        <v>554</v>
      </c>
      <c r="B226" s="3" t="s">
        <v>555</v>
      </c>
      <c r="C226" s="1" t="s">
        <v>16</v>
      </c>
      <c r="D226" s="1" t="s">
        <v>44</v>
      </c>
      <c r="E226" s="1" t="s">
        <v>544</v>
      </c>
      <c r="F226" s="1" t="str">
        <f>IFERROR(__xludf.DUMMYFUNCTION("SPLIT(E226,""&gt;"")"),"Oasis Mining")</f>
        <v>Oasis Mining</v>
      </c>
      <c r="G226" s="1" t="str">
        <f>IFERROR(__xludf.DUMMYFUNCTION("""COMPUTED_VALUE"""),"Series 3")</f>
        <v>Series 3</v>
      </c>
      <c r="H226" s="1" t="s">
        <v>44</v>
      </c>
      <c r="I226" s="1" t="s">
        <v>545</v>
      </c>
      <c r="J226" s="4">
        <v>42979.0</v>
      </c>
      <c r="K226" s="1">
        <v>300.0</v>
      </c>
      <c r="L226" s="1">
        <v>300.0</v>
      </c>
      <c r="M226" s="1">
        <v>57.0</v>
      </c>
      <c r="N226" s="6" t="str">
        <f t="shared" si="2"/>
        <v>Oasis Mining🏝️</v>
      </c>
      <c r="P226" s="6" t="str">
        <f>VLOOKUP(D226,'シート2'!A:B, 2, 0)</f>
        <v>Anonymous</v>
      </c>
    </row>
    <row r="227">
      <c r="A227" s="1" t="s">
        <v>556</v>
      </c>
      <c r="B227" s="3" t="s">
        <v>557</v>
      </c>
      <c r="C227" s="1" t="s">
        <v>16</v>
      </c>
      <c r="D227" s="1" t="s">
        <v>519</v>
      </c>
      <c r="E227" s="1" t="s">
        <v>544</v>
      </c>
      <c r="F227" s="1" t="str">
        <f>IFERROR(__xludf.DUMMYFUNCTION("SPLIT(E227,""&gt;"")"),"Oasis Mining")</f>
        <v>Oasis Mining</v>
      </c>
      <c r="G227" s="1" t="str">
        <f>IFERROR(__xludf.DUMMYFUNCTION("""COMPUTED_VALUE"""),"Series 3")</f>
        <v>Series 3</v>
      </c>
      <c r="H227" s="1" t="s">
        <v>519</v>
      </c>
      <c r="I227" s="1" t="s">
        <v>545</v>
      </c>
      <c r="J227" s="4">
        <v>42979.0</v>
      </c>
      <c r="K227" s="1">
        <v>200.0</v>
      </c>
      <c r="L227" s="1">
        <v>200.0</v>
      </c>
      <c r="M227" s="1">
        <v>58.0</v>
      </c>
      <c r="N227" s="6" t="str">
        <f t="shared" si="2"/>
        <v>Oasis Mining🏝️</v>
      </c>
      <c r="P227" s="6" t="str">
        <f>VLOOKUP(D227,'シート2'!A:B, 2, 0)</f>
        <v>@emma_nft</v>
      </c>
    </row>
    <row r="228">
      <c r="A228" s="1" t="s">
        <v>558</v>
      </c>
      <c r="B228" s="3" t="s">
        <v>559</v>
      </c>
      <c r="C228" s="1" t="s">
        <v>16</v>
      </c>
      <c r="D228" s="1" t="s">
        <v>95</v>
      </c>
      <c r="E228" s="1" t="s">
        <v>544</v>
      </c>
      <c r="F228" s="1" t="str">
        <f>IFERROR(__xludf.DUMMYFUNCTION("SPLIT(E228,""&gt;"")"),"Oasis Mining")</f>
        <v>Oasis Mining</v>
      </c>
      <c r="G228" s="1" t="str">
        <f>IFERROR(__xludf.DUMMYFUNCTION("""COMPUTED_VALUE"""),"Series 3")</f>
        <v>Series 3</v>
      </c>
      <c r="H228" s="1" t="s">
        <v>95</v>
      </c>
      <c r="I228" s="1" t="s">
        <v>545</v>
      </c>
      <c r="J228" s="4">
        <v>42979.0</v>
      </c>
      <c r="K228" s="1">
        <v>300.0</v>
      </c>
      <c r="L228" s="1">
        <v>300.0</v>
      </c>
      <c r="M228" s="1">
        <v>59.0</v>
      </c>
      <c r="N228" s="6" t="str">
        <f t="shared" si="2"/>
        <v>Oasis Mining🏝️</v>
      </c>
      <c r="P228" s="6" t="str">
        <f>VLOOKUP(D228,'シート2'!A:B, 2, 0)</f>
        <v>@SmartSpaceDogs</v>
      </c>
    </row>
    <row r="229">
      <c r="A229" s="1" t="s">
        <v>560</v>
      </c>
      <c r="B229" s="3" t="s">
        <v>561</v>
      </c>
      <c r="C229" s="1" t="s">
        <v>16</v>
      </c>
      <c r="D229" s="1" t="s">
        <v>61</v>
      </c>
      <c r="E229" s="1" t="s">
        <v>544</v>
      </c>
      <c r="F229" s="1" t="str">
        <f>IFERROR(__xludf.DUMMYFUNCTION("SPLIT(E229,""&gt;"")"),"Oasis Mining")</f>
        <v>Oasis Mining</v>
      </c>
      <c r="G229" s="1" t="str">
        <f>IFERROR(__xludf.DUMMYFUNCTION("""COMPUTED_VALUE"""),"Series 3")</f>
        <v>Series 3</v>
      </c>
      <c r="H229" s="1" t="s">
        <v>61</v>
      </c>
      <c r="I229" s="1" t="s">
        <v>545</v>
      </c>
      <c r="J229" s="4">
        <v>42979.0</v>
      </c>
      <c r="K229" s="1">
        <v>7777.0</v>
      </c>
      <c r="L229" s="1">
        <v>7777.0</v>
      </c>
      <c r="M229" s="1">
        <v>60.0</v>
      </c>
      <c r="N229" s="6" t="str">
        <f t="shared" si="2"/>
        <v>Oasis Mining🏝️</v>
      </c>
      <c r="P229" s="6" t="str">
        <f>VLOOKUP(D229,'シート2'!A:B, 2, 0)</f>
        <v>@NFTuber</v>
      </c>
    </row>
    <row r="230">
      <c r="A230" s="1" t="s">
        <v>562</v>
      </c>
      <c r="B230" s="3" t="s">
        <v>563</v>
      </c>
      <c r="C230" s="1" t="s">
        <v>16</v>
      </c>
      <c r="D230" s="1" t="s">
        <v>564</v>
      </c>
      <c r="E230" s="1" t="s">
        <v>544</v>
      </c>
      <c r="F230" s="1" t="str">
        <f>IFERROR(__xludf.DUMMYFUNCTION("SPLIT(E230,""&gt;"")"),"Oasis Mining")</f>
        <v>Oasis Mining</v>
      </c>
      <c r="G230" s="1" t="str">
        <f>IFERROR(__xludf.DUMMYFUNCTION("""COMPUTED_VALUE"""),"Series 3")</f>
        <v>Series 3</v>
      </c>
      <c r="H230" s="1" t="s">
        <v>564</v>
      </c>
      <c r="I230" s="1" t="s">
        <v>545</v>
      </c>
      <c r="J230" s="4">
        <v>42979.0</v>
      </c>
      <c r="K230" s="1">
        <v>300.0</v>
      </c>
      <c r="L230" s="1">
        <v>300.0</v>
      </c>
      <c r="M230" s="1">
        <v>61.0</v>
      </c>
      <c r="N230" s="6" t="str">
        <f t="shared" si="2"/>
        <v>Oasis Mining🏝️</v>
      </c>
      <c r="P230" s="6" t="str">
        <f>VLOOKUP(D230,'シート2'!A:B, 2, 0)</f>
        <v>ののた</v>
      </c>
    </row>
    <row r="231">
      <c r="A231" s="1" t="s">
        <v>565</v>
      </c>
      <c r="B231" s="3" t="s">
        <v>566</v>
      </c>
      <c r="C231" s="1" t="s">
        <v>16</v>
      </c>
      <c r="D231" s="1" t="s">
        <v>422</v>
      </c>
      <c r="E231" s="1" t="s">
        <v>544</v>
      </c>
      <c r="F231" s="1" t="str">
        <f>IFERROR(__xludf.DUMMYFUNCTION("SPLIT(E231,""&gt;"")"),"Oasis Mining")</f>
        <v>Oasis Mining</v>
      </c>
      <c r="G231" s="1" t="str">
        <f>IFERROR(__xludf.DUMMYFUNCTION("""COMPUTED_VALUE"""),"Series 3")</f>
        <v>Series 3</v>
      </c>
      <c r="H231" s="1" t="s">
        <v>423</v>
      </c>
      <c r="I231" s="1" t="s">
        <v>545</v>
      </c>
      <c r="J231" s="4">
        <v>42979.0</v>
      </c>
      <c r="K231" s="1">
        <v>100.0</v>
      </c>
      <c r="L231" s="1">
        <v>100.0</v>
      </c>
      <c r="M231" s="1">
        <v>62.0</v>
      </c>
      <c r="N231" s="6" t="str">
        <f t="shared" si="2"/>
        <v>Oasis Mining🏝️</v>
      </c>
      <c r="P231" s="6" t="str">
        <f>VLOOKUP(D231,'シート2'!A:B, 2, 0)</f>
        <v>@kouteipenpen_f</v>
      </c>
    </row>
    <row r="232">
      <c r="A232" s="1" t="s">
        <v>567</v>
      </c>
      <c r="B232" s="3" t="s">
        <v>568</v>
      </c>
      <c r="C232" s="1" t="s">
        <v>16</v>
      </c>
      <c r="D232" s="1" t="s">
        <v>569</v>
      </c>
      <c r="E232" s="1" t="s">
        <v>544</v>
      </c>
      <c r="F232" s="1" t="str">
        <f>IFERROR(__xludf.DUMMYFUNCTION("SPLIT(E232,""&gt;"")"),"Oasis Mining")</f>
        <v>Oasis Mining</v>
      </c>
      <c r="G232" s="1" t="str">
        <f>IFERROR(__xludf.DUMMYFUNCTION("""COMPUTED_VALUE"""),"Series 3")</f>
        <v>Series 3</v>
      </c>
      <c r="H232" s="1" t="s">
        <v>569</v>
      </c>
      <c r="I232" s="1" t="s">
        <v>545</v>
      </c>
      <c r="J232" s="4">
        <v>42979.0</v>
      </c>
      <c r="K232" s="1">
        <v>300.0</v>
      </c>
      <c r="L232" s="1">
        <v>300.0</v>
      </c>
      <c r="M232" s="1">
        <v>63.0</v>
      </c>
      <c r="N232" s="6" t="str">
        <f t="shared" si="2"/>
        <v>Oasis Mining🏝️</v>
      </c>
      <c r="P232" s="6" t="str">
        <f>VLOOKUP(D232,'シート2'!A:B, 2, 0)</f>
        <v>ビケルマン</v>
      </c>
    </row>
    <row r="233">
      <c r="A233" s="1" t="s">
        <v>570</v>
      </c>
      <c r="B233" s="3" t="s">
        <v>571</v>
      </c>
      <c r="C233" s="1" t="s">
        <v>16</v>
      </c>
      <c r="D233" s="1" t="s">
        <v>366</v>
      </c>
      <c r="E233" s="1" t="s">
        <v>544</v>
      </c>
      <c r="F233" s="1" t="str">
        <f>IFERROR(__xludf.DUMMYFUNCTION("SPLIT(E233,""&gt;"")"),"Oasis Mining")</f>
        <v>Oasis Mining</v>
      </c>
      <c r="G233" s="1" t="str">
        <f>IFERROR(__xludf.DUMMYFUNCTION("""COMPUTED_VALUE"""),"Series 3")</f>
        <v>Series 3</v>
      </c>
      <c r="H233" s="1" t="s">
        <v>366</v>
      </c>
      <c r="I233" s="1" t="s">
        <v>545</v>
      </c>
      <c r="J233" s="4">
        <v>42979.0</v>
      </c>
      <c r="K233" s="1">
        <v>300.0</v>
      </c>
      <c r="L233" s="1">
        <v>300.0</v>
      </c>
      <c r="M233" s="1">
        <v>64.0</v>
      </c>
      <c r="N233" s="6" t="str">
        <f t="shared" si="2"/>
        <v>Oasis Mining🏝️</v>
      </c>
      <c r="P233" s="6" t="str">
        <f>VLOOKUP(D233,'シート2'!A:B, 2, 0)</f>
        <v>やっすんX</v>
      </c>
    </row>
    <row r="234">
      <c r="A234" s="1" t="s">
        <v>572</v>
      </c>
      <c r="B234" s="3" t="s">
        <v>573</v>
      </c>
      <c r="C234" s="1" t="s">
        <v>16</v>
      </c>
      <c r="D234" s="1" t="s">
        <v>168</v>
      </c>
      <c r="E234" s="1" t="s">
        <v>544</v>
      </c>
      <c r="F234" s="1" t="str">
        <f>IFERROR(__xludf.DUMMYFUNCTION("SPLIT(E234,""&gt;"")"),"Oasis Mining")</f>
        <v>Oasis Mining</v>
      </c>
      <c r="G234" s="1" t="str">
        <f>IFERROR(__xludf.DUMMYFUNCTION("""COMPUTED_VALUE"""),"Series 3")</f>
        <v>Series 3</v>
      </c>
      <c r="H234" s="1" t="s">
        <v>168</v>
      </c>
      <c r="I234" s="1" t="s">
        <v>545</v>
      </c>
      <c r="J234" s="4">
        <v>42979.0</v>
      </c>
      <c r="K234" s="1">
        <v>50.0</v>
      </c>
      <c r="L234" s="1">
        <v>50.0</v>
      </c>
      <c r="M234" s="1">
        <v>65.0</v>
      </c>
      <c r="N234" s="6" t="str">
        <f t="shared" si="2"/>
        <v>Oasis Mining🏝️</v>
      </c>
      <c r="P234" s="6" t="str">
        <f>VLOOKUP(D234,'シート2'!A:B, 2, 0)</f>
        <v>@Whiskey_bonbon_</v>
      </c>
    </row>
    <row r="235">
      <c r="A235" s="1" t="s">
        <v>574</v>
      </c>
      <c r="B235" s="3" t="s">
        <v>575</v>
      </c>
      <c r="C235" s="1" t="s">
        <v>16</v>
      </c>
      <c r="D235" s="1" t="s">
        <v>159</v>
      </c>
      <c r="E235" s="1" t="s">
        <v>544</v>
      </c>
      <c r="F235" s="1" t="str">
        <f>IFERROR(__xludf.DUMMYFUNCTION("SPLIT(E235,""&gt;"")"),"Oasis Mining")</f>
        <v>Oasis Mining</v>
      </c>
      <c r="G235" s="1" t="str">
        <f>IFERROR(__xludf.DUMMYFUNCTION("""COMPUTED_VALUE"""),"Series 3")</f>
        <v>Series 3</v>
      </c>
      <c r="H235" s="1" t="s">
        <v>159</v>
      </c>
      <c r="I235" s="1" t="s">
        <v>545</v>
      </c>
      <c r="J235" s="4">
        <v>42979.0</v>
      </c>
      <c r="K235" s="1">
        <v>200.0</v>
      </c>
      <c r="L235" s="1">
        <v>200.0</v>
      </c>
      <c r="M235" s="1">
        <v>66.0</v>
      </c>
      <c r="N235" s="6" t="str">
        <f t="shared" si="2"/>
        <v>Oasis Mining🏝️</v>
      </c>
      <c r="P235" s="6" t="str">
        <f>VLOOKUP(D235,'シート2'!A:B, 2, 0)</f>
        <v>@1aughingcat</v>
      </c>
    </row>
    <row r="236">
      <c r="A236" s="1" t="s">
        <v>576</v>
      </c>
      <c r="B236" s="3" t="s">
        <v>577</v>
      </c>
      <c r="C236" s="1" t="s">
        <v>16</v>
      </c>
      <c r="D236" s="1" t="s">
        <v>53</v>
      </c>
      <c r="E236" s="1" t="s">
        <v>578</v>
      </c>
      <c r="F236" s="1" t="str">
        <f>IFERROR(__xludf.DUMMYFUNCTION("SPLIT(E236,""&gt;"")"),"Japanese Rarepepe")</f>
        <v>Japanese Rarepepe</v>
      </c>
      <c r="G236" s="1" t="str">
        <f>IFERROR(__xludf.DUMMYFUNCTION("""COMPUTED_VALUE"""),"Series 21")</f>
        <v>Series 21</v>
      </c>
      <c r="H236" s="1" t="s">
        <v>53</v>
      </c>
      <c r="I236" s="1" t="s">
        <v>288</v>
      </c>
      <c r="J236" s="4">
        <v>42917.0</v>
      </c>
      <c r="K236" s="1">
        <v>181.0</v>
      </c>
      <c r="L236" s="1">
        <v>171.0</v>
      </c>
      <c r="M236" s="1">
        <v>1018.0</v>
      </c>
      <c r="N236" s="6" t="str">
        <f t="shared" ref="N236:N275" si="3">F236 &amp; "🐸"</f>
        <v>Japanese Rarepepe🐸</v>
      </c>
      <c r="P236" s="6" t="str">
        <f>VLOOKUP(D236,'シート2'!A:B, 2, 0)</f>
        <v>@Taky_Taky_</v>
      </c>
    </row>
    <row r="237">
      <c r="A237" s="1" t="s">
        <v>579</v>
      </c>
      <c r="B237" s="3" t="s">
        <v>580</v>
      </c>
      <c r="C237" s="1" t="s">
        <v>16</v>
      </c>
      <c r="D237" s="1" t="s">
        <v>53</v>
      </c>
      <c r="E237" s="1" t="s">
        <v>581</v>
      </c>
      <c r="F237" s="1" t="str">
        <f>IFERROR(__xludf.DUMMYFUNCTION("SPLIT(E237,""&gt;"")"),"Japanese Rarepepe")</f>
        <v>Japanese Rarepepe</v>
      </c>
      <c r="G237" s="1" t="str">
        <f>IFERROR(__xludf.DUMMYFUNCTION("""COMPUTED_VALUE"""),"Series 24")</f>
        <v>Series 24</v>
      </c>
      <c r="H237" s="1" t="s">
        <v>53</v>
      </c>
      <c r="I237" s="1" t="s">
        <v>288</v>
      </c>
      <c r="J237" s="4">
        <v>42917.0</v>
      </c>
      <c r="K237" s="1">
        <v>181.0</v>
      </c>
      <c r="L237" s="1">
        <v>171.0</v>
      </c>
      <c r="M237" s="1">
        <v>1166.0</v>
      </c>
      <c r="N237" s="6" t="str">
        <f t="shared" si="3"/>
        <v>Japanese Rarepepe🐸</v>
      </c>
      <c r="P237" s="6" t="str">
        <f>VLOOKUP(D237,'シート2'!A:B, 2, 0)</f>
        <v>@Taky_Taky_</v>
      </c>
    </row>
    <row r="238">
      <c r="A238" s="1" t="s">
        <v>582</v>
      </c>
      <c r="B238" s="3" t="s">
        <v>583</v>
      </c>
      <c r="C238" s="1" t="s">
        <v>16</v>
      </c>
      <c r="D238" s="1" t="s">
        <v>53</v>
      </c>
      <c r="E238" s="1" t="s">
        <v>584</v>
      </c>
      <c r="F238" s="1" t="str">
        <f>IFERROR(__xludf.DUMMYFUNCTION("SPLIT(E238,""&gt;"")"),"Japanese Rarepepe")</f>
        <v>Japanese Rarepepe</v>
      </c>
      <c r="G238" s="1" t="str">
        <f>IFERROR(__xludf.DUMMYFUNCTION("""COMPUTED_VALUE"""),"Series 27")</f>
        <v>Series 27</v>
      </c>
      <c r="H238" s="1" t="s">
        <v>53</v>
      </c>
      <c r="I238" s="1" t="s">
        <v>395</v>
      </c>
      <c r="J238" s="4">
        <v>42948.0</v>
      </c>
      <c r="K238" s="1">
        <v>181.0</v>
      </c>
      <c r="L238" s="1">
        <v>171.0</v>
      </c>
      <c r="M238" s="1">
        <v>1318.0</v>
      </c>
      <c r="N238" s="6" t="str">
        <f t="shared" si="3"/>
        <v>Japanese Rarepepe🐸</v>
      </c>
      <c r="P238" s="6" t="str">
        <f>VLOOKUP(D238,'シート2'!A:B, 2, 0)</f>
        <v>@Taky_Taky_</v>
      </c>
    </row>
    <row r="239">
      <c r="A239" s="1" t="s">
        <v>585</v>
      </c>
      <c r="B239" s="3" t="s">
        <v>586</v>
      </c>
      <c r="C239" s="1" t="s">
        <v>16</v>
      </c>
      <c r="D239" s="1" t="s">
        <v>53</v>
      </c>
      <c r="E239" s="1" t="s">
        <v>584</v>
      </c>
      <c r="F239" s="1" t="str">
        <f>IFERROR(__xludf.DUMMYFUNCTION("SPLIT(E239,""&gt;"")"),"Japanese Rarepepe")</f>
        <v>Japanese Rarepepe</v>
      </c>
      <c r="G239" s="1" t="str">
        <f>IFERROR(__xludf.DUMMYFUNCTION("""COMPUTED_VALUE"""),"Series 27")</f>
        <v>Series 27</v>
      </c>
      <c r="H239" s="1" t="s">
        <v>53</v>
      </c>
      <c r="I239" s="1" t="s">
        <v>395</v>
      </c>
      <c r="J239" s="4">
        <v>42948.0</v>
      </c>
      <c r="K239" s="1">
        <v>181.0</v>
      </c>
      <c r="L239" s="1">
        <v>171.0</v>
      </c>
      <c r="M239" s="1">
        <v>1336.0</v>
      </c>
      <c r="N239" s="6" t="str">
        <f t="shared" si="3"/>
        <v>Japanese Rarepepe🐸</v>
      </c>
      <c r="P239" s="6" t="str">
        <f>VLOOKUP(D239,'シート2'!A:B, 2, 0)</f>
        <v>@Taky_Taky_</v>
      </c>
    </row>
    <row r="240">
      <c r="A240" s="1" t="s">
        <v>587</v>
      </c>
      <c r="B240" s="3" t="s">
        <v>588</v>
      </c>
      <c r="C240" s="1" t="s">
        <v>16</v>
      </c>
      <c r="D240" s="1" t="s">
        <v>135</v>
      </c>
      <c r="E240" s="1" t="s">
        <v>589</v>
      </c>
      <c r="F240" s="1" t="str">
        <f>IFERROR(__xludf.DUMMYFUNCTION("SPLIT(E240,""&gt;"")"),"Japanese Rarepepe")</f>
        <v>Japanese Rarepepe</v>
      </c>
      <c r="G240" s="1" t="str">
        <f>IFERROR(__xludf.DUMMYFUNCTION("""COMPUTED_VALUE"""),"Series 17")</f>
        <v>Series 17</v>
      </c>
      <c r="H240" s="1" t="s">
        <v>135</v>
      </c>
      <c r="I240" s="1" t="s">
        <v>590</v>
      </c>
      <c r="J240" s="4">
        <v>42795.0</v>
      </c>
      <c r="K240" s="1">
        <v>108.0</v>
      </c>
      <c r="L240" s="1">
        <v>108.0</v>
      </c>
      <c r="M240" s="1">
        <v>810.0</v>
      </c>
      <c r="N240" s="6" t="str">
        <f t="shared" si="3"/>
        <v>Japanese Rarepepe🐸</v>
      </c>
      <c r="P240" s="6" t="str">
        <f>VLOOKUP(D240,'シート2'!A:B, 2, 0)</f>
        <v>たろふあ</v>
      </c>
    </row>
    <row r="241">
      <c r="A241" s="1" t="s">
        <v>591</v>
      </c>
      <c r="B241" s="3" t="s">
        <v>592</v>
      </c>
      <c r="C241" s="1" t="s">
        <v>16</v>
      </c>
      <c r="D241" s="1" t="s">
        <v>593</v>
      </c>
      <c r="E241" s="1" t="s">
        <v>584</v>
      </c>
      <c r="F241" s="1" t="str">
        <f>IFERROR(__xludf.DUMMYFUNCTION("SPLIT(E241,""&gt;"")"),"Japanese Rarepepe")</f>
        <v>Japanese Rarepepe</v>
      </c>
      <c r="G241" s="1" t="str">
        <f>IFERROR(__xludf.DUMMYFUNCTION("""COMPUTED_VALUE"""),"Series 27")</f>
        <v>Series 27</v>
      </c>
      <c r="H241" s="1" t="s">
        <v>593</v>
      </c>
      <c r="I241" s="1" t="s">
        <v>395</v>
      </c>
      <c r="J241" s="4">
        <v>42948.0</v>
      </c>
      <c r="K241" s="1">
        <v>100.0</v>
      </c>
      <c r="L241" s="1">
        <v>100.0</v>
      </c>
      <c r="M241" s="1">
        <v>1306.0</v>
      </c>
      <c r="N241" s="6" t="str">
        <f t="shared" si="3"/>
        <v>Japanese Rarepepe🐸</v>
      </c>
      <c r="P241" s="6" t="str">
        <f>VLOOKUP(D241,'シート2'!A:B, 2, 0)</f>
        <v>@monolag</v>
      </c>
    </row>
    <row r="242">
      <c r="A242" s="1" t="s">
        <v>594</v>
      </c>
      <c r="B242" s="3" t="s">
        <v>595</v>
      </c>
      <c r="C242" s="1" t="s">
        <v>16</v>
      </c>
      <c r="D242" s="1" t="s">
        <v>593</v>
      </c>
      <c r="E242" s="1" t="s">
        <v>596</v>
      </c>
      <c r="F242" s="1" t="str">
        <f>IFERROR(__xludf.DUMMYFUNCTION("SPLIT(E242,""&gt;"")"),"Japanese Rarepepe")</f>
        <v>Japanese Rarepepe</v>
      </c>
      <c r="G242" s="1" t="str">
        <f>IFERROR(__xludf.DUMMYFUNCTION("""COMPUTED_VALUE"""),"Series 26")</f>
        <v>Series 26</v>
      </c>
      <c r="H242" s="1" t="s">
        <v>593</v>
      </c>
      <c r="I242" s="1" t="s">
        <v>395</v>
      </c>
      <c r="J242" s="4">
        <v>42948.0</v>
      </c>
      <c r="K242" s="1">
        <v>100.0</v>
      </c>
      <c r="L242" s="1">
        <v>100.0</v>
      </c>
      <c r="M242" s="1">
        <v>1294.0</v>
      </c>
      <c r="N242" s="6" t="str">
        <f t="shared" si="3"/>
        <v>Japanese Rarepepe🐸</v>
      </c>
      <c r="P242" s="6" t="str">
        <f>VLOOKUP(D242,'シート2'!A:B, 2, 0)</f>
        <v>@monolag</v>
      </c>
    </row>
    <row r="243">
      <c r="A243" s="1" t="s">
        <v>597</v>
      </c>
      <c r="B243" s="3" t="s">
        <v>598</v>
      </c>
      <c r="C243" s="1" t="s">
        <v>16</v>
      </c>
      <c r="D243" s="1" t="s">
        <v>593</v>
      </c>
      <c r="E243" s="1" t="s">
        <v>599</v>
      </c>
      <c r="F243" s="1" t="str">
        <f>IFERROR(__xludf.DUMMYFUNCTION("SPLIT(E243,""&gt;"")"),"Japanese Rarepepe")</f>
        <v>Japanese Rarepepe</v>
      </c>
      <c r="G243" s="1" t="str">
        <f>IFERROR(__xludf.DUMMYFUNCTION("""COMPUTED_VALUE"""),"Series 22")</f>
        <v>Series 22</v>
      </c>
      <c r="H243" s="1" t="s">
        <v>593</v>
      </c>
      <c r="I243" s="1" t="s">
        <v>288</v>
      </c>
      <c r="J243" s="4">
        <v>42917.0</v>
      </c>
      <c r="K243" s="1">
        <v>250.0</v>
      </c>
      <c r="L243" s="1">
        <v>100.0</v>
      </c>
      <c r="M243" s="1">
        <v>1099.0</v>
      </c>
      <c r="N243" s="6" t="str">
        <f t="shared" si="3"/>
        <v>Japanese Rarepepe🐸</v>
      </c>
      <c r="P243" s="6" t="str">
        <f>VLOOKUP(D243,'シート2'!A:B, 2, 0)</f>
        <v>@monolag</v>
      </c>
    </row>
    <row r="244">
      <c r="A244" s="1" t="s">
        <v>600</v>
      </c>
      <c r="B244" s="3" t="s">
        <v>601</v>
      </c>
      <c r="C244" s="1" t="s">
        <v>16</v>
      </c>
      <c r="D244" s="1" t="s">
        <v>593</v>
      </c>
      <c r="E244" s="1" t="s">
        <v>578</v>
      </c>
      <c r="F244" s="1" t="str">
        <f>IFERROR(__xludf.DUMMYFUNCTION("SPLIT(E244,""&gt;"")"),"Japanese Rarepepe")</f>
        <v>Japanese Rarepepe</v>
      </c>
      <c r="G244" s="1" t="str">
        <f>IFERROR(__xludf.DUMMYFUNCTION("""COMPUTED_VALUE"""),"Series 21")</f>
        <v>Series 21</v>
      </c>
      <c r="H244" s="1" t="s">
        <v>593</v>
      </c>
      <c r="I244" s="1" t="s">
        <v>288</v>
      </c>
      <c r="J244" s="4">
        <v>42917.0</v>
      </c>
      <c r="K244" s="1">
        <v>1000.0</v>
      </c>
      <c r="L244" s="1">
        <v>1000.0</v>
      </c>
      <c r="M244" s="1">
        <v>1029.0</v>
      </c>
      <c r="N244" s="6" t="str">
        <f t="shared" si="3"/>
        <v>Japanese Rarepepe🐸</v>
      </c>
      <c r="P244" s="6" t="str">
        <f>VLOOKUP(D244,'シート2'!A:B, 2, 0)</f>
        <v>@monolag</v>
      </c>
    </row>
    <row r="245">
      <c r="A245" s="1" t="s">
        <v>602</v>
      </c>
      <c r="B245" s="3" t="s">
        <v>603</v>
      </c>
      <c r="C245" s="1" t="s">
        <v>16</v>
      </c>
      <c r="D245" s="1" t="s">
        <v>17</v>
      </c>
      <c r="E245" s="1" t="s">
        <v>604</v>
      </c>
      <c r="F245" s="1" t="str">
        <f>IFERROR(__xludf.DUMMYFUNCTION("SPLIT(E245,""&gt;"")"),"Japanese Rarepepe")</f>
        <v>Japanese Rarepepe</v>
      </c>
      <c r="G245" s="1" t="str">
        <f>IFERROR(__xludf.DUMMYFUNCTION("""COMPUTED_VALUE"""),"Series 29")</f>
        <v>Series 29</v>
      </c>
      <c r="H245" s="1" t="s">
        <v>17</v>
      </c>
      <c r="I245" s="1" t="s">
        <v>545</v>
      </c>
      <c r="J245" s="4">
        <v>42979.0</v>
      </c>
      <c r="K245" s="1">
        <v>300.0</v>
      </c>
      <c r="L245" s="1">
        <v>300.0</v>
      </c>
      <c r="M245" s="1">
        <v>1412.0</v>
      </c>
      <c r="N245" s="6" t="str">
        <f t="shared" si="3"/>
        <v>Japanese Rarepepe🐸</v>
      </c>
      <c r="P245" s="6" t="str">
        <f>VLOOKUP(D245,'シート2'!A:B, 2, 0)</f>
        <v>@kartanbitcoin</v>
      </c>
    </row>
    <row r="246">
      <c r="A246" s="1" t="s">
        <v>605</v>
      </c>
      <c r="B246" s="3" t="s">
        <v>606</v>
      </c>
      <c r="C246" s="1" t="s">
        <v>16</v>
      </c>
      <c r="D246" s="1" t="s">
        <v>607</v>
      </c>
      <c r="E246" s="1" t="s">
        <v>608</v>
      </c>
      <c r="F246" s="1" t="str">
        <f>IFERROR(__xludf.DUMMYFUNCTION("SPLIT(E246,""&gt;"")"),"Japanese Rarepepe")</f>
        <v>Japanese Rarepepe</v>
      </c>
      <c r="G246" s="1" t="str">
        <f>IFERROR(__xludf.DUMMYFUNCTION("""COMPUTED_VALUE"""),"Series 05")</f>
        <v>Series 05</v>
      </c>
      <c r="H246" s="1" t="s">
        <v>607</v>
      </c>
      <c r="I246" s="1" t="s">
        <v>609</v>
      </c>
      <c r="J246" s="4">
        <v>42644.0</v>
      </c>
      <c r="K246" s="1">
        <v>100.0</v>
      </c>
      <c r="L246" s="1">
        <v>100.0</v>
      </c>
      <c r="M246" s="1">
        <v>208.0</v>
      </c>
      <c r="N246" s="6" t="str">
        <f t="shared" si="3"/>
        <v>Japanese Rarepepe🐸</v>
      </c>
      <c r="P246" s="6" t="str">
        <f>VLOOKUP(D246,'シート2'!A:B, 2, 0)</f>
        <v>@Coin_and_Peace</v>
      </c>
    </row>
    <row r="247">
      <c r="A247" s="1" t="s">
        <v>610</v>
      </c>
      <c r="B247" s="3" t="s">
        <v>611</v>
      </c>
      <c r="C247" s="1" t="s">
        <v>16</v>
      </c>
      <c r="D247" s="1" t="s">
        <v>79</v>
      </c>
      <c r="E247" s="1" t="s">
        <v>612</v>
      </c>
      <c r="F247" s="1" t="str">
        <f>IFERROR(__xludf.DUMMYFUNCTION("SPLIT(E247,""&gt;"")"),"Japanese Rarepepe")</f>
        <v>Japanese Rarepepe</v>
      </c>
      <c r="G247" s="1" t="str">
        <f>IFERROR(__xludf.DUMMYFUNCTION("""COMPUTED_VALUE"""),"Series 06")</f>
        <v>Series 06</v>
      </c>
      <c r="H247" s="1" t="s">
        <v>79</v>
      </c>
      <c r="I247" s="1" t="s">
        <v>609</v>
      </c>
      <c r="J247" s="4">
        <v>42644.0</v>
      </c>
      <c r="K247" s="1">
        <v>100.0</v>
      </c>
      <c r="L247" s="1">
        <v>100.0</v>
      </c>
      <c r="M247" s="1">
        <v>285.0</v>
      </c>
      <c r="N247" s="6" t="str">
        <f t="shared" si="3"/>
        <v>Japanese Rarepepe🐸</v>
      </c>
      <c r="P247" s="6" t="str">
        <f>VLOOKUP(D247,'シート2'!A:B, 2, 0)</f>
        <v>@TrendStream</v>
      </c>
    </row>
    <row r="248">
      <c r="A248" s="1" t="s">
        <v>613</v>
      </c>
      <c r="B248" s="3" t="s">
        <v>614</v>
      </c>
      <c r="C248" s="1" t="s">
        <v>16</v>
      </c>
      <c r="D248" s="1" t="s">
        <v>79</v>
      </c>
      <c r="E248" s="1" t="s">
        <v>612</v>
      </c>
      <c r="F248" s="1" t="str">
        <f>IFERROR(__xludf.DUMMYFUNCTION("SPLIT(E248,""&gt;"")"),"Japanese Rarepepe")</f>
        <v>Japanese Rarepepe</v>
      </c>
      <c r="G248" s="1" t="str">
        <f>IFERROR(__xludf.DUMMYFUNCTION("""COMPUTED_VALUE"""),"Series 06")</f>
        <v>Series 06</v>
      </c>
      <c r="H248" s="1" t="s">
        <v>79</v>
      </c>
      <c r="I248" s="1" t="s">
        <v>609</v>
      </c>
      <c r="J248" s="4">
        <v>42644.0</v>
      </c>
      <c r="K248" s="1">
        <v>300.0</v>
      </c>
      <c r="L248" s="1">
        <v>300.0</v>
      </c>
      <c r="M248" s="1">
        <v>296.0</v>
      </c>
      <c r="N248" s="6" t="str">
        <f t="shared" si="3"/>
        <v>Japanese Rarepepe🐸</v>
      </c>
      <c r="P248" s="6" t="str">
        <f>VLOOKUP(D248,'シート2'!A:B, 2, 0)</f>
        <v>@TrendStream</v>
      </c>
    </row>
    <row r="249">
      <c r="A249" s="1" t="s">
        <v>615</v>
      </c>
      <c r="B249" s="3" t="s">
        <v>616</v>
      </c>
      <c r="C249" s="1" t="s">
        <v>16</v>
      </c>
      <c r="D249" s="1" t="s">
        <v>79</v>
      </c>
      <c r="E249" s="1" t="s">
        <v>617</v>
      </c>
      <c r="F249" s="1" t="str">
        <f>IFERROR(__xludf.DUMMYFUNCTION("SPLIT(E249,""&gt;"")"),"Japanese Rarepepe")</f>
        <v>Japanese Rarepepe</v>
      </c>
      <c r="G249" s="1" t="str">
        <f>IFERROR(__xludf.DUMMYFUNCTION("""COMPUTED_VALUE"""),"Series 07")</f>
        <v>Series 07</v>
      </c>
      <c r="H249" s="1" t="s">
        <v>79</v>
      </c>
      <c r="I249" s="1" t="s">
        <v>609</v>
      </c>
      <c r="J249" s="4">
        <v>42644.0</v>
      </c>
      <c r="K249" s="1">
        <v>250.0</v>
      </c>
      <c r="L249" s="1">
        <v>250.0</v>
      </c>
      <c r="M249" s="1">
        <v>305.0</v>
      </c>
      <c r="N249" s="6" t="str">
        <f t="shared" si="3"/>
        <v>Japanese Rarepepe🐸</v>
      </c>
      <c r="P249" s="6" t="str">
        <f>VLOOKUP(D249,'シート2'!A:B, 2, 0)</f>
        <v>@TrendStream</v>
      </c>
    </row>
    <row r="250">
      <c r="A250" s="1" t="s">
        <v>618</v>
      </c>
      <c r="B250" s="3" t="s">
        <v>619</v>
      </c>
      <c r="C250" s="1" t="s">
        <v>16</v>
      </c>
      <c r="D250" s="1" t="s">
        <v>79</v>
      </c>
      <c r="E250" s="1" t="s">
        <v>617</v>
      </c>
      <c r="F250" s="1" t="str">
        <f>IFERROR(__xludf.DUMMYFUNCTION("SPLIT(E250,""&gt;"")"),"Japanese Rarepepe")</f>
        <v>Japanese Rarepepe</v>
      </c>
      <c r="G250" s="1" t="str">
        <f>IFERROR(__xludf.DUMMYFUNCTION("""COMPUTED_VALUE"""),"Series 07")</f>
        <v>Series 07</v>
      </c>
      <c r="H250" s="1" t="s">
        <v>79</v>
      </c>
      <c r="I250" s="1" t="s">
        <v>609</v>
      </c>
      <c r="J250" s="4">
        <v>42644.0</v>
      </c>
      <c r="K250" s="1">
        <v>200.0</v>
      </c>
      <c r="L250" s="1">
        <v>200.0</v>
      </c>
      <c r="M250" s="1">
        <v>306.0</v>
      </c>
      <c r="N250" s="6" t="str">
        <f t="shared" si="3"/>
        <v>Japanese Rarepepe🐸</v>
      </c>
      <c r="P250" s="6" t="str">
        <f>VLOOKUP(D250,'シート2'!A:B, 2, 0)</f>
        <v>@TrendStream</v>
      </c>
    </row>
    <row r="251">
      <c r="A251" s="1" t="s">
        <v>620</v>
      </c>
      <c r="B251" s="3" t="s">
        <v>621</v>
      </c>
      <c r="C251" s="1" t="s">
        <v>16</v>
      </c>
      <c r="D251" s="1" t="s">
        <v>79</v>
      </c>
      <c r="E251" s="1" t="s">
        <v>617</v>
      </c>
      <c r="F251" s="1" t="str">
        <f>IFERROR(__xludf.DUMMYFUNCTION("SPLIT(E251,""&gt;"")"),"Japanese Rarepepe")</f>
        <v>Japanese Rarepepe</v>
      </c>
      <c r="G251" s="1" t="str">
        <f>IFERROR(__xludf.DUMMYFUNCTION("""COMPUTED_VALUE"""),"Series 07")</f>
        <v>Series 07</v>
      </c>
      <c r="H251" s="1" t="s">
        <v>79</v>
      </c>
      <c r="I251" s="1" t="s">
        <v>622</v>
      </c>
      <c r="J251" s="4">
        <v>42675.0</v>
      </c>
      <c r="K251" s="1">
        <v>200.0</v>
      </c>
      <c r="L251" s="1">
        <v>200.0</v>
      </c>
      <c r="M251" s="1">
        <v>329.0</v>
      </c>
      <c r="N251" s="6" t="str">
        <f t="shared" si="3"/>
        <v>Japanese Rarepepe🐸</v>
      </c>
      <c r="P251" s="6" t="str">
        <f>VLOOKUP(D251,'シート2'!A:B, 2, 0)</f>
        <v>@TrendStream</v>
      </c>
    </row>
    <row r="252">
      <c r="A252" s="1" t="s">
        <v>623</v>
      </c>
      <c r="B252" s="3" t="s">
        <v>624</v>
      </c>
      <c r="C252" s="1" t="s">
        <v>16</v>
      </c>
      <c r="D252" s="1" t="s">
        <v>79</v>
      </c>
      <c r="E252" s="1" t="s">
        <v>625</v>
      </c>
      <c r="F252" s="1" t="str">
        <f>IFERROR(__xludf.DUMMYFUNCTION("SPLIT(E252,""&gt;"")"),"Japanese Rarepepe")</f>
        <v>Japanese Rarepepe</v>
      </c>
      <c r="G252" s="1" t="str">
        <f>IFERROR(__xludf.DUMMYFUNCTION("""COMPUTED_VALUE"""),"Series 08")</f>
        <v>Series 08</v>
      </c>
      <c r="H252" s="1" t="s">
        <v>79</v>
      </c>
      <c r="I252" s="1" t="s">
        <v>622</v>
      </c>
      <c r="J252" s="4">
        <v>42675.0</v>
      </c>
      <c r="K252" s="1">
        <v>200.0</v>
      </c>
      <c r="L252" s="1">
        <v>200.0</v>
      </c>
      <c r="M252" s="1">
        <v>368.0</v>
      </c>
      <c r="N252" s="6" t="str">
        <f t="shared" si="3"/>
        <v>Japanese Rarepepe🐸</v>
      </c>
      <c r="P252" s="6" t="str">
        <f>VLOOKUP(D252,'シート2'!A:B, 2, 0)</f>
        <v>@TrendStream</v>
      </c>
    </row>
    <row r="253">
      <c r="A253" s="1" t="s">
        <v>626</v>
      </c>
      <c r="B253" s="3" t="s">
        <v>627</v>
      </c>
      <c r="C253" s="1" t="s">
        <v>16</v>
      </c>
      <c r="D253" s="1" t="s">
        <v>79</v>
      </c>
      <c r="E253" s="1" t="s">
        <v>625</v>
      </c>
      <c r="F253" s="1" t="str">
        <f>IFERROR(__xludf.DUMMYFUNCTION("SPLIT(E253,""&gt;"")"),"Japanese Rarepepe")</f>
        <v>Japanese Rarepepe</v>
      </c>
      <c r="G253" s="1" t="str">
        <f>IFERROR(__xludf.DUMMYFUNCTION("""COMPUTED_VALUE"""),"Series 08")</f>
        <v>Series 08</v>
      </c>
      <c r="H253" s="1" t="s">
        <v>79</v>
      </c>
      <c r="I253" s="1" t="s">
        <v>622</v>
      </c>
      <c r="J253" s="4">
        <v>42675.0</v>
      </c>
      <c r="K253" s="1">
        <v>100.0</v>
      </c>
      <c r="L253" s="1">
        <v>100.0</v>
      </c>
      <c r="M253" s="1">
        <v>369.0</v>
      </c>
      <c r="N253" s="6" t="str">
        <f t="shared" si="3"/>
        <v>Japanese Rarepepe🐸</v>
      </c>
      <c r="P253" s="6" t="str">
        <f>VLOOKUP(D253,'シート2'!A:B, 2, 0)</f>
        <v>@TrendStream</v>
      </c>
    </row>
    <row r="254">
      <c r="A254" s="1" t="s">
        <v>628</v>
      </c>
      <c r="B254" s="3" t="s">
        <v>629</v>
      </c>
      <c r="C254" s="1" t="s">
        <v>16</v>
      </c>
      <c r="D254" s="1" t="s">
        <v>79</v>
      </c>
      <c r="E254" s="1" t="s">
        <v>625</v>
      </c>
      <c r="F254" s="1" t="str">
        <f>IFERROR(__xludf.DUMMYFUNCTION("SPLIT(E254,""&gt;"")"),"Japanese Rarepepe")</f>
        <v>Japanese Rarepepe</v>
      </c>
      <c r="G254" s="1" t="str">
        <f>IFERROR(__xludf.DUMMYFUNCTION("""COMPUTED_VALUE"""),"Series 08")</f>
        <v>Series 08</v>
      </c>
      <c r="H254" s="1" t="s">
        <v>79</v>
      </c>
      <c r="I254" s="1" t="s">
        <v>622</v>
      </c>
      <c r="J254" s="4">
        <v>42675.0</v>
      </c>
      <c r="K254" s="1">
        <v>150.0</v>
      </c>
      <c r="L254" s="1">
        <v>150.0</v>
      </c>
      <c r="M254" s="1">
        <v>390.0</v>
      </c>
      <c r="N254" s="6" t="str">
        <f t="shared" si="3"/>
        <v>Japanese Rarepepe🐸</v>
      </c>
      <c r="P254" s="6" t="str">
        <f>VLOOKUP(D254,'シート2'!A:B, 2, 0)</f>
        <v>@TrendStream</v>
      </c>
    </row>
    <row r="255">
      <c r="A255" s="1" t="s">
        <v>630</v>
      </c>
      <c r="B255" s="3" t="s">
        <v>631</v>
      </c>
      <c r="C255" s="1" t="s">
        <v>16</v>
      </c>
      <c r="D255" s="1" t="s">
        <v>79</v>
      </c>
      <c r="E255" s="1" t="s">
        <v>632</v>
      </c>
      <c r="F255" s="1" t="str">
        <f>IFERROR(__xludf.DUMMYFUNCTION("SPLIT(E255,""&gt;"")"),"Japanese Rarepepe")</f>
        <v>Japanese Rarepepe</v>
      </c>
      <c r="G255" s="1" t="str">
        <f>IFERROR(__xludf.DUMMYFUNCTION("""COMPUTED_VALUE"""),"Series 09")</f>
        <v>Series 09</v>
      </c>
      <c r="H255" s="1" t="s">
        <v>79</v>
      </c>
      <c r="I255" s="1" t="s">
        <v>622</v>
      </c>
      <c r="J255" s="4">
        <v>42675.0</v>
      </c>
      <c r="K255" s="1">
        <v>100.0</v>
      </c>
      <c r="L255" s="1">
        <v>100.0</v>
      </c>
      <c r="M255" s="1">
        <v>406.0</v>
      </c>
      <c r="N255" s="6" t="str">
        <f t="shared" si="3"/>
        <v>Japanese Rarepepe🐸</v>
      </c>
      <c r="P255" s="6" t="str">
        <f>VLOOKUP(D255,'シート2'!A:B, 2, 0)</f>
        <v>@TrendStream</v>
      </c>
    </row>
    <row r="256">
      <c r="A256" s="1" t="s">
        <v>633</v>
      </c>
      <c r="B256" s="3" t="s">
        <v>634</v>
      </c>
      <c r="C256" s="1" t="s">
        <v>16</v>
      </c>
      <c r="D256" s="1" t="s">
        <v>79</v>
      </c>
      <c r="E256" s="1" t="s">
        <v>635</v>
      </c>
      <c r="F256" s="1" t="str">
        <f>IFERROR(__xludf.DUMMYFUNCTION("SPLIT(E256,""&gt;"")"),"Japanese Rarepepe")</f>
        <v>Japanese Rarepepe</v>
      </c>
      <c r="G256" s="1" t="str">
        <f>IFERROR(__xludf.DUMMYFUNCTION("""COMPUTED_VALUE"""),"Series 10")</f>
        <v>Series 10</v>
      </c>
      <c r="H256" s="1" t="s">
        <v>79</v>
      </c>
      <c r="I256" s="1" t="s">
        <v>636</v>
      </c>
      <c r="J256" s="4">
        <v>42705.0</v>
      </c>
      <c r="K256" s="1">
        <v>100.0</v>
      </c>
      <c r="L256" s="1">
        <v>50.0</v>
      </c>
      <c r="M256" s="1">
        <v>458.0</v>
      </c>
      <c r="N256" s="6" t="str">
        <f t="shared" si="3"/>
        <v>Japanese Rarepepe🐸</v>
      </c>
      <c r="P256" s="6" t="str">
        <f>VLOOKUP(D256,'シート2'!A:B, 2, 0)</f>
        <v>@TrendStream</v>
      </c>
    </row>
    <row r="257">
      <c r="A257" s="1" t="s">
        <v>637</v>
      </c>
      <c r="B257" s="3" t="s">
        <v>638</v>
      </c>
      <c r="C257" s="1" t="s">
        <v>16</v>
      </c>
      <c r="D257" s="1" t="s">
        <v>71</v>
      </c>
      <c r="E257" s="1" t="s">
        <v>608</v>
      </c>
      <c r="F257" s="1" t="str">
        <f>IFERROR(__xludf.DUMMYFUNCTION("SPLIT(E257,""&gt;"")"),"Japanese Rarepepe")</f>
        <v>Japanese Rarepepe</v>
      </c>
      <c r="G257" s="1" t="str">
        <f>IFERROR(__xludf.DUMMYFUNCTION("""COMPUTED_VALUE"""),"Series 05")</f>
        <v>Series 05</v>
      </c>
      <c r="H257" s="1" t="s">
        <v>71</v>
      </c>
      <c r="I257" s="1" t="s">
        <v>609</v>
      </c>
      <c r="J257" s="4">
        <v>42644.0</v>
      </c>
      <c r="K257" s="1">
        <v>999.0</v>
      </c>
      <c r="L257" s="1">
        <v>999.0</v>
      </c>
      <c r="M257" s="1">
        <v>238.0</v>
      </c>
      <c r="N257" s="6" t="str">
        <f t="shared" si="3"/>
        <v>Japanese Rarepepe🐸</v>
      </c>
      <c r="P257" s="6" t="str">
        <f>VLOOKUP(D257,'シート2'!A:B, 2, 0)</f>
        <v>@DavinciNine</v>
      </c>
    </row>
    <row r="258">
      <c r="A258" s="1" t="s">
        <v>639</v>
      </c>
      <c r="B258" s="3" t="s">
        <v>640</v>
      </c>
      <c r="C258" s="1" t="s">
        <v>16</v>
      </c>
      <c r="D258" s="1" t="s">
        <v>71</v>
      </c>
      <c r="E258" s="1" t="s">
        <v>612</v>
      </c>
      <c r="F258" s="1" t="str">
        <f>IFERROR(__xludf.DUMMYFUNCTION("SPLIT(E258,""&gt;"")"),"Japanese Rarepepe")</f>
        <v>Japanese Rarepepe</v>
      </c>
      <c r="G258" s="1" t="str">
        <f>IFERROR(__xludf.DUMMYFUNCTION("""COMPUTED_VALUE"""),"Series 06")</f>
        <v>Series 06</v>
      </c>
      <c r="H258" s="1" t="s">
        <v>71</v>
      </c>
      <c r="I258" s="1" t="s">
        <v>609</v>
      </c>
      <c r="J258" s="4">
        <v>42644.0</v>
      </c>
      <c r="K258" s="1">
        <v>109.0</v>
      </c>
      <c r="L258" s="1">
        <v>109.0</v>
      </c>
      <c r="M258" s="1">
        <v>280.0</v>
      </c>
      <c r="N258" s="6" t="str">
        <f t="shared" si="3"/>
        <v>Japanese Rarepepe🐸</v>
      </c>
      <c r="P258" s="6" t="str">
        <f>VLOOKUP(D258,'シート2'!A:B, 2, 0)</f>
        <v>@DavinciNine</v>
      </c>
    </row>
    <row r="259">
      <c r="A259" s="1" t="s">
        <v>641</v>
      </c>
      <c r="B259" s="3" t="s">
        <v>642</v>
      </c>
      <c r="C259" s="1" t="s">
        <v>16</v>
      </c>
      <c r="D259" s="1" t="s">
        <v>71</v>
      </c>
      <c r="E259" s="1" t="s">
        <v>612</v>
      </c>
      <c r="F259" s="1" t="str">
        <f>IFERROR(__xludf.DUMMYFUNCTION("SPLIT(E259,""&gt;"")"),"Japanese Rarepepe")</f>
        <v>Japanese Rarepepe</v>
      </c>
      <c r="G259" s="1" t="str">
        <f>IFERROR(__xludf.DUMMYFUNCTION("""COMPUTED_VALUE"""),"Series 06")</f>
        <v>Series 06</v>
      </c>
      <c r="H259" s="1" t="s">
        <v>71</v>
      </c>
      <c r="I259" s="1" t="s">
        <v>609</v>
      </c>
      <c r="J259" s="4">
        <v>42644.0</v>
      </c>
      <c r="K259" s="1">
        <v>109.0</v>
      </c>
      <c r="L259" s="1">
        <v>199.0</v>
      </c>
      <c r="M259" s="1">
        <v>291.0</v>
      </c>
      <c r="N259" s="6" t="str">
        <f t="shared" si="3"/>
        <v>Japanese Rarepepe🐸</v>
      </c>
      <c r="P259" s="6" t="str">
        <f>VLOOKUP(D259,'シート2'!A:B, 2, 0)</f>
        <v>@DavinciNine</v>
      </c>
    </row>
    <row r="260">
      <c r="A260" s="1" t="s">
        <v>643</v>
      </c>
      <c r="B260" s="3" t="s">
        <v>644</v>
      </c>
      <c r="C260" s="1" t="s">
        <v>16</v>
      </c>
      <c r="D260" s="1" t="s">
        <v>71</v>
      </c>
      <c r="E260" s="1" t="s">
        <v>617</v>
      </c>
      <c r="F260" s="1" t="str">
        <f>IFERROR(__xludf.DUMMYFUNCTION("SPLIT(E260,""&gt;"")"),"Japanese Rarepepe")</f>
        <v>Japanese Rarepepe</v>
      </c>
      <c r="G260" s="1" t="str">
        <f>IFERROR(__xludf.DUMMYFUNCTION("""COMPUTED_VALUE"""),"Series 07")</f>
        <v>Series 07</v>
      </c>
      <c r="H260" s="1" t="s">
        <v>71</v>
      </c>
      <c r="I260" s="1" t="s">
        <v>609</v>
      </c>
      <c r="J260" s="4">
        <v>42644.0</v>
      </c>
      <c r="K260" s="1">
        <v>100.0</v>
      </c>
      <c r="L260" s="1">
        <v>100.0</v>
      </c>
      <c r="M260" s="1">
        <v>322.0</v>
      </c>
      <c r="N260" s="6" t="str">
        <f t="shared" si="3"/>
        <v>Japanese Rarepepe🐸</v>
      </c>
      <c r="P260" s="6" t="str">
        <f>VLOOKUP(D260,'シート2'!A:B, 2, 0)</f>
        <v>@DavinciNine</v>
      </c>
    </row>
    <row r="261">
      <c r="A261" s="1" t="s">
        <v>645</v>
      </c>
      <c r="B261" s="3" t="s">
        <v>646</v>
      </c>
      <c r="C261" s="1" t="s">
        <v>16</v>
      </c>
      <c r="D261" s="1" t="s">
        <v>71</v>
      </c>
      <c r="E261" s="1" t="s">
        <v>617</v>
      </c>
      <c r="F261" s="1" t="str">
        <f>IFERROR(__xludf.DUMMYFUNCTION("SPLIT(E261,""&gt;"")"),"Japanese Rarepepe")</f>
        <v>Japanese Rarepepe</v>
      </c>
      <c r="G261" s="1" t="str">
        <f>IFERROR(__xludf.DUMMYFUNCTION("""COMPUTED_VALUE"""),"Series 07")</f>
        <v>Series 07</v>
      </c>
      <c r="H261" s="1" t="s">
        <v>71</v>
      </c>
      <c r="I261" s="1" t="s">
        <v>609</v>
      </c>
      <c r="J261" s="4">
        <v>42644.0</v>
      </c>
      <c r="K261" s="1">
        <v>299.0</v>
      </c>
      <c r="L261" s="1">
        <v>299.0</v>
      </c>
      <c r="M261" s="1">
        <v>323.0</v>
      </c>
      <c r="N261" s="6" t="str">
        <f t="shared" si="3"/>
        <v>Japanese Rarepepe🐸</v>
      </c>
      <c r="P261" s="6" t="str">
        <f>VLOOKUP(D261,'シート2'!A:B, 2, 0)</f>
        <v>@DavinciNine</v>
      </c>
    </row>
    <row r="262">
      <c r="A262" s="1" t="s">
        <v>647</v>
      </c>
      <c r="B262" s="3" t="s">
        <v>648</v>
      </c>
      <c r="C262" s="1" t="s">
        <v>16</v>
      </c>
      <c r="D262" s="1" t="s">
        <v>71</v>
      </c>
      <c r="E262" s="1" t="s">
        <v>617</v>
      </c>
      <c r="F262" s="1" t="str">
        <f>IFERROR(__xludf.DUMMYFUNCTION("SPLIT(E262,""&gt;"")"),"Japanese Rarepepe")</f>
        <v>Japanese Rarepepe</v>
      </c>
      <c r="G262" s="1" t="str">
        <f>IFERROR(__xludf.DUMMYFUNCTION("""COMPUTED_VALUE"""),"Series 07")</f>
        <v>Series 07</v>
      </c>
      <c r="H262" s="1" t="s">
        <v>71</v>
      </c>
      <c r="I262" s="1" t="s">
        <v>622</v>
      </c>
      <c r="J262" s="4">
        <v>42675.0</v>
      </c>
      <c r="K262" s="1">
        <v>599.0</v>
      </c>
      <c r="L262" s="1">
        <v>599.0</v>
      </c>
      <c r="M262" s="1">
        <v>345.0</v>
      </c>
      <c r="N262" s="6" t="str">
        <f t="shared" si="3"/>
        <v>Japanese Rarepepe🐸</v>
      </c>
      <c r="P262" s="6" t="str">
        <f>VLOOKUP(D262,'シート2'!A:B, 2, 0)</f>
        <v>@DavinciNine</v>
      </c>
    </row>
    <row r="263">
      <c r="A263" s="1" t="s">
        <v>649</v>
      </c>
      <c r="B263" s="3" t="s">
        <v>650</v>
      </c>
      <c r="C263" s="1" t="s">
        <v>16</v>
      </c>
      <c r="D263" s="1" t="s">
        <v>71</v>
      </c>
      <c r="E263" s="1" t="s">
        <v>617</v>
      </c>
      <c r="F263" s="1" t="str">
        <f>IFERROR(__xludf.DUMMYFUNCTION("SPLIT(E263,""&gt;"")"),"Japanese Rarepepe")</f>
        <v>Japanese Rarepepe</v>
      </c>
      <c r="G263" s="1" t="str">
        <f>IFERROR(__xludf.DUMMYFUNCTION("""COMPUTED_VALUE"""),"Series 07")</f>
        <v>Series 07</v>
      </c>
      <c r="H263" s="1" t="s">
        <v>71</v>
      </c>
      <c r="I263" s="1" t="s">
        <v>622</v>
      </c>
      <c r="J263" s="4">
        <v>42675.0</v>
      </c>
      <c r="K263" s="1">
        <v>109.0</v>
      </c>
      <c r="L263" s="1">
        <v>109.0</v>
      </c>
      <c r="M263" s="1">
        <v>346.0</v>
      </c>
      <c r="N263" s="6" t="str">
        <f t="shared" si="3"/>
        <v>Japanese Rarepepe🐸</v>
      </c>
      <c r="P263" s="6" t="str">
        <f>VLOOKUP(D263,'シート2'!A:B, 2, 0)</f>
        <v>@DavinciNine</v>
      </c>
    </row>
    <row r="264">
      <c r="A264" s="1" t="s">
        <v>651</v>
      </c>
      <c r="B264" s="3" t="s">
        <v>652</v>
      </c>
      <c r="C264" s="1" t="s">
        <v>16</v>
      </c>
      <c r="D264" s="1" t="s">
        <v>71</v>
      </c>
      <c r="E264" s="1" t="s">
        <v>625</v>
      </c>
      <c r="F264" s="1" t="str">
        <f>IFERROR(__xludf.DUMMYFUNCTION("SPLIT(E264,""&gt;"")"),"Japanese Rarepepe")</f>
        <v>Japanese Rarepepe</v>
      </c>
      <c r="G264" s="1" t="str">
        <f>IFERROR(__xludf.DUMMYFUNCTION("""COMPUTED_VALUE"""),"Series 08")</f>
        <v>Series 08</v>
      </c>
      <c r="H264" s="1" t="s">
        <v>71</v>
      </c>
      <c r="I264" s="1" t="s">
        <v>622</v>
      </c>
      <c r="J264" s="4">
        <v>42675.0</v>
      </c>
      <c r="K264" s="1">
        <v>109.0</v>
      </c>
      <c r="L264" s="1">
        <v>109.0</v>
      </c>
      <c r="M264" s="1">
        <v>370.0</v>
      </c>
      <c r="N264" s="6" t="str">
        <f t="shared" si="3"/>
        <v>Japanese Rarepepe🐸</v>
      </c>
      <c r="P264" s="6" t="str">
        <f>VLOOKUP(D264,'シート2'!A:B, 2, 0)</f>
        <v>@DavinciNine</v>
      </c>
    </row>
    <row r="265">
      <c r="A265" s="1" t="s">
        <v>653</v>
      </c>
      <c r="B265" s="3" t="s">
        <v>654</v>
      </c>
      <c r="C265" s="1" t="s">
        <v>16</v>
      </c>
      <c r="D265" s="1" t="s">
        <v>71</v>
      </c>
      <c r="E265" s="1" t="s">
        <v>625</v>
      </c>
      <c r="F265" s="1" t="str">
        <f>IFERROR(__xludf.DUMMYFUNCTION("SPLIT(E265,""&gt;"")"),"Japanese Rarepepe")</f>
        <v>Japanese Rarepepe</v>
      </c>
      <c r="G265" s="1" t="str">
        <f>IFERROR(__xludf.DUMMYFUNCTION("""COMPUTED_VALUE"""),"Series 08")</f>
        <v>Series 08</v>
      </c>
      <c r="H265" s="1" t="s">
        <v>71</v>
      </c>
      <c r="I265" s="1" t="s">
        <v>622</v>
      </c>
      <c r="J265" s="4">
        <v>42675.0</v>
      </c>
      <c r="K265" s="1">
        <v>777.0</v>
      </c>
      <c r="L265" s="1">
        <v>777.0</v>
      </c>
      <c r="M265" s="1">
        <v>378.0</v>
      </c>
      <c r="N265" s="6" t="str">
        <f t="shared" si="3"/>
        <v>Japanese Rarepepe🐸</v>
      </c>
      <c r="P265" s="6" t="str">
        <f>VLOOKUP(D265,'シート2'!A:B, 2, 0)</f>
        <v>@DavinciNine</v>
      </c>
    </row>
    <row r="266">
      <c r="A266" s="1" t="s">
        <v>655</v>
      </c>
      <c r="B266" s="3" t="s">
        <v>656</v>
      </c>
      <c r="C266" s="1" t="s">
        <v>16</v>
      </c>
      <c r="D266" s="1" t="s">
        <v>71</v>
      </c>
      <c r="E266" s="1" t="s">
        <v>625</v>
      </c>
      <c r="F266" s="1" t="str">
        <f>IFERROR(__xludf.DUMMYFUNCTION("SPLIT(E266,""&gt;"")"),"Japanese Rarepepe")</f>
        <v>Japanese Rarepepe</v>
      </c>
      <c r="G266" s="1" t="str">
        <f>IFERROR(__xludf.DUMMYFUNCTION("""COMPUTED_VALUE"""),"Series 08")</f>
        <v>Series 08</v>
      </c>
      <c r="H266" s="1" t="s">
        <v>71</v>
      </c>
      <c r="I266" s="1" t="s">
        <v>622</v>
      </c>
      <c r="J266" s="4">
        <v>42675.0</v>
      </c>
      <c r="K266" s="1">
        <v>999.0</v>
      </c>
      <c r="L266" s="1">
        <v>999.0</v>
      </c>
      <c r="M266" s="1">
        <v>379.0</v>
      </c>
      <c r="N266" s="6" t="str">
        <f t="shared" si="3"/>
        <v>Japanese Rarepepe🐸</v>
      </c>
      <c r="P266" s="6" t="str">
        <f>VLOOKUP(D266,'シート2'!A:B, 2, 0)</f>
        <v>@DavinciNine</v>
      </c>
    </row>
    <row r="267">
      <c r="A267" s="1" t="s">
        <v>657</v>
      </c>
      <c r="B267" s="3" t="s">
        <v>658</v>
      </c>
      <c r="C267" s="1" t="s">
        <v>16</v>
      </c>
      <c r="D267" s="1" t="s">
        <v>71</v>
      </c>
      <c r="E267" s="1" t="s">
        <v>625</v>
      </c>
      <c r="F267" s="1" t="str">
        <f>IFERROR(__xludf.DUMMYFUNCTION("SPLIT(E267,""&gt;"")"),"Japanese Rarepepe")</f>
        <v>Japanese Rarepepe</v>
      </c>
      <c r="G267" s="1" t="str">
        <f>IFERROR(__xludf.DUMMYFUNCTION("""COMPUTED_VALUE"""),"Series 08")</f>
        <v>Series 08</v>
      </c>
      <c r="H267" s="1" t="s">
        <v>71</v>
      </c>
      <c r="I267" s="1" t="s">
        <v>622</v>
      </c>
      <c r="J267" s="4">
        <v>42675.0</v>
      </c>
      <c r="K267" s="1">
        <v>109.0</v>
      </c>
      <c r="L267" s="1">
        <v>109.0</v>
      </c>
      <c r="M267" s="1">
        <v>385.0</v>
      </c>
      <c r="N267" s="6" t="str">
        <f t="shared" si="3"/>
        <v>Japanese Rarepepe🐸</v>
      </c>
      <c r="P267" s="6" t="str">
        <f>VLOOKUP(D267,'シート2'!A:B, 2, 0)</f>
        <v>@DavinciNine</v>
      </c>
    </row>
    <row r="268">
      <c r="A268" s="1" t="s">
        <v>659</v>
      </c>
      <c r="B268" s="3" t="s">
        <v>660</v>
      </c>
      <c r="C268" s="1" t="s">
        <v>16</v>
      </c>
      <c r="D268" s="1" t="s">
        <v>71</v>
      </c>
      <c r="E268" s="1" t="s">
        <v>632</v>
      </c>
      <c r="F268" s="1" t="str">
        <f>IFERROR(__xludf.DUMMYFUNCTION("SPLIT(E268,""&gt;"")"),"Japanese Rarepepe")</f>
        <v>Japanese Rarepepe</v>
      </c>
      <c r="G268" s="1" t="str">
        <f>IFERROR(__xludf.DUMMYFUNCTION("""COMPUTED_VALUE"""),"Series 09")</f>
        <v>Series 09</v>
      </c>
      <c r="H268" s="1" t="s">
        <v>71</v>
      </c>
      <c r="I268" s="1" t="s">
        <v>622</v>
      </c>
      <c r="J268" s="4">
        <v>42675.0</v>
      </c>
      <c r="K268" s="1">
        <v>2.1E7</v>
      </c>
      <c r="L268" s="1">
        <v>2.1E7</v>
      </c>
      <c r="M268" s="1">
        <v>403.0</v>
      </c>
      <c r="N268" s="6" t="str">
        <f t="shared" si="3"/>
        <v>Japanese Rarepepe🐸</v>
      </c>
      <c r="P268" s="6" t="str">
        <f>VLOOKUP(D268,'シート2'!A:B, 2, 0)</f>
        <v>@DavinciNine</v>
      </c>
    </row>
    <row r="269">
      <c r="A269" s="1" t="s">
        <v>661</v>
      </c>
      <c r="B269" s="3" t="s">
        <v>662</v>
      </c>
      <c r="C269" s="1" t="s">
        <v>16</v>
      </c>
      <c r="D269" s="1" t="s">
        <v>71</v>
      </c>
      <c r="E269" s="1" t="s">
        <v>632</v>
      </c>
      <c r="F269" s="1" t="str">
        <f>IFERROR(__xludf.DUMMYFUNCTION("SPLIT(E269,""&gt;"")"),"Japanese Rarepepe")</f>
        <v>Japanese Rarepepe</v>
      </c>
      <c r="G269" s="1" t="str">
        <f>IFERROR(__xludf.DUMMYFUNCTION("""COMPUTED_VALUE"""),"Series 09")</f>
        <v>Series 09</v>
      </c>
      <c r="H269" s="1" t="s">
        <v>71</v>
      </c>
      <c r="I269" s="1" t="s">
        <v>636</v>
      </c>
      <c r="J269" s="4">
        <v>42705.0</v>
      </c>
      <c r="K269" s="1">
        <v>999999.0</v>
      </c>
      <c r="L269" s="1">
        <v>999999.0</v>
      </c>
      <c r="M269" s="1">
        <v>432.0</v>
      </c>
      <c r="N269" s="6" t="str">
        <f t="shared" si="3"/>
        <v>Japanese Rarepepe🐸</v>
      </c>
      <c r="P269" s="6" t="str">
        <f>VLOOKUP(D269,'シート2'!A:B, 2, 0)</f>
        <v>@DavinciNine</v>
      </c>
    </row>
    <row r="270">
      <c r="A270" s="1" t="s">
        <v>663</v>
      </c>
      <c r="B270" s="3" t="s">
        <v>664</v>
      </c>
      <c r="C270" s="1" t="s">
        <v>16</v>
      </c>
      <c r="D270" s="1" t="s">
        <v>71</v>
      </c>
      <c r="E270" s="1" t="s">
        <v>665</v>
      </c>
      <c r="F270" s="1" t="str">
        <f>IFERROR(__xludf.DUMMYFUNCTION("SPLIT(E270,""&gt;"")"),"Japanese Rarepepe")</f>
        <v>Japanese Rarepepe</v>
      </c>
      <c r="G270" s="1" t="str">
        <f>IFERROR(__xludf.DUMMYFUNCTION("""COMPUTED_VALUE"""),"Series 12")</f>
        <v>Series 12</v>
      </c>
      <c r="H270" s="1" t="s">
        <v>71</v>
      </c>
      <c r="I270" s="1" t="s">
        <v>666</v>
      </c>
      <c r="J270" s="4">
        <v>42767.0</v>
      </c>
      <c r="K270" s="1">
        <v>10000.0</v>
      </c>
      <c r="L270" s="1">
        <v>10000.0</v>
      </c>
      <c r="M270" s="1">
        <v>556.0</v>
      </c>
      <c r="N270" s="6" t="str">
        <f t="shared" si="3"/>
        <v>Japanese Rarepepe🐸</v>
      </c>
      <c r="P270" s="6" t="str">
        <f>VLOOKUP(D270,'シート2'!A:B, 2, 0)</f>
        <v>@DavinciNine</v>
      </c>
    </row>
    <row r="271">
      <c r="A271" s="1" t="s">
        <v>667</v>
      </c>
      <c r="B271" s="3" t="s">
        <v>668</v>
      </c>
      <c r="C271" s="1" t="s">
        <v>16</v>
      </c>
      <c r="D271" s="1" t="s">
        <v>71</v>
      </c>
      <c r="E271" s="1" t="s">
        <v>669</v>
      </c>
      <c r="F271" s="1" t="str">
        <f>IFERROR(__xludf.DUMMYFUNCTION("SPLIT(E271,""&gt;"")"),"Japanese Rarepepe")</f>
        <v>Japanese Rarepepe</v>
      </c>
      <c r="G271" s="1" t="str">
        <f>IFERROR(__xludf.DUMMYFUNCTION("""COMPUTED_VALUE"""),"Series 13")</f>
        <v>Series 13</v>
      </c>
      <c r="H271" s="1" t="s">
        <v>71</v>
      </c>
      <c r="I271" s="1" t="s">
        <v>666</v>
      </c>
      <c r="J271" s="4">
        <v>42767.0</v>
      </c>
      <c r="K271" s="1">
        <v>10000.0</v>
      </c>
      <c r="L271" s="1">
        <v>10000.0</v>
      </c>
      <c r="M271" s="1">
        <v>607.0</v>
      </c>
      <c r="N271" s="6" t="str">
        <f t="shared" si="3"/>
        <v>Japanese Rarepepe🐸</v>
      </c>
      <c r="P271" s="6" t="str">
        <f>VLOOKUP(D271,'シート2'!A:B, 2, 0)</f>
        <v>@DavinciNine</v>
      </c>
    </row>
    <row r="272">
      <c r="A272" s="1" t="s">
        <v>670</v>
      </c>
      <c r="B272" s="3" t="s">
        <v>671</v>
      </c>
      <c r="C272" s="1" t="s">
        <v>16</v>
      </c>
      <c r="D272" s="1" t="s">
        <v>71</v>
      </c>
      <c r="E272" s="1" t="s">
        <v>589</v>
      </c>
      <c r="F272" s="1" t="str">
        <f>IFERROR(__xludf.DUMMYFUNCTION("SPLIT(E272,""&gt;"")"),"Japanese Rarepepe")</f>
        <v>Japanese Rarepepe</v>
      </c>
      <c r="G272" s="1" t="str">
        <f>IFERROR(__xludf.DUMMYFUNCTION("""COMPUTED_VALUE"""),"Series 17")</f>
        <v>Series 17</v>
      </c>
      <c r="H272" s="1" t="s">
        <v>71</v>
      </c>
      <c r="I272" s="1" t="s">
        <v>590</v>
      </c>
      <c r="J272" s="4">
        <v>42795.0</v>
      </c>
      <c r="K272" s="1">
        <v>1000.0</v>
      </c>
      <c r="L272" s="1">
        <v>1000.0</v>
      </c>
      <c r="M272" s="1">
        <v>833.0</v>
      </c>
      <c r="N272" s="6" t="str">
        <f t="shared" si="3"/>
        <v>Japanese Rarepepe🐸</v>
      </c>
      <c r="P272" s="6" t="str">
        <f>VLOOKUP(D272,'シート2'!A:B, 2, 0)</f>
        <v>@DavinciNine</v>
      </c>
    </row>
    <row r="273">
      <c r="A273" s="1" t="s">
        <v>672</v>
      </c>
      <c r="B273" s="3" t="s">
        <v>673</v>
      </c>
      <c r="C273" s="1" t="s">
        <v>16</v>
      </c>
      <c r="D273" s="1" t="s">
        <v>71</v>
      </c>
      <c r="E273" s="1" t="s">
        <v>674</v>
      </c>
      <c r="F273" s="1" t="str">
        <f>IFERROR(__xludf.DUMMYFUNCTION("SPLIT(E273,""&gt;"")"),"Japanese Rarepepe")</f>
        <v>Japanese Rarepepe</v>
      </c>
      <c r="G273" s="1" t="str">
        <f>IFERROR(__xludf.DUMMYFUNCTION("""COMPUTED_VALUE"""),"Series 20")</f>
        <v>Series 20</v>
      </c>
      <c r="H273" s="1" t="s">
        <v>71</v>
      </c>
      <c r="I273" s="1" t="s">
        <v>132</v>
      </c>
      <c r="J273" s="4">
        <v>42856.0</v>
      </c>
      <c r="K273" s="1">
        <v>199.0</v>
      </c>
      <c r="L273" s="1">
        <v>199.0</v>
      </c>
      <c r="M273" s="1">
        <v>974.0</v>
      </c>
      <c r="N273" s="6" t="str">
        <f t="shared" si="3"/>
        <v>Japanese Rarepepe🐸</v>
      </c>
      <c r="P273" s="6" t="str">
        <f>VLOOKUP(D273,'シート2'!A:B, 2, 0)</f>
        <v>@DavinciNine</v>
      </c>
    </row>
    <row r="274">
      <c r="A274" s="1" t="s">
        <v>675</v>
      </c>
      <c r="B274" s="3" t="s">
        <v>676</v>
      </c>
      <c r="C274" s="1" t="s">
        <v>16</v>
      </c>
      <c r="D274" s="1" t="s">
        <v>71</v>
      </c>
      <c r="E274" s="1" t="s">
        <v>578</v>
      </c>
      <c r="F274" s="1" t="str">
        <f>IFERROR(__xludf.DUMMYFUNCTION("SPLIT(E274,""&gt;"")"),"Japanese Rarepepe")</f>
        <v>Japanese Rarepepe</v>
      </c>
      <c r="G274" s="1" t="str">
        <f>IFERROR(__xludf.DUMMYFUNCTION("""COMPUTED_VALUE"""),"Series 21")</f>
        <v>Series 21</v>
      </c>
      <c r="H274" s="1" t="s">
        <v>71</v>
      </c>
      <c r="I274" s="1" t="s">
        <v>288</v>
      </c>
      <c r="J274" s="4">
        <v>42917.0</v>
      </c>
      <c r="K274" s="1">
        <v>200.0</v>
      </c>
      <c r="L274" s="1">
        <v>200.0</v>
      </c>
      <c r="M274" s="1">
        <v>1028.0</v>
      </c>
      <c r="N274" s="6" t="str">
        <f t="shared" si="3"/>
        <v>Japanese Rarepepe🐸</v>
      </c>
      <c r="P274" s="6" t="str">
        <f>VLOOKUP(D274,'シート2'!A:B, 2, 0)</f>
        <v>@DavinciNine</v>
      </c>
    </row>
    <row r="275">
      <c r="A275" s="1" t="s">
        <v>677</v>
      </c>
      <c r="B275" s="3" t="s">
        <v>678</v>
      </c>
      <c r="C275" s="1" t="s">
        <v>16</v>
      </c>
      <c r="D275" s="1" t="s">
        <v>71</v>
      </c>
      <c r="E275" s="1" t="s">
        <v>679</v>
      </c>
      <c r="F275" s="1" t="str">
        <f>IFERROR(__xludf.DUMMYFUNCTION("SPLIT(E275,""&gt;"")"),"Japanese Rarepepe")</f>
        <v>Japanese Rarepepe</v>
      </c>
      <c r="G275" s="1" t="str">
        <f>IFERROR(__xludf.DUMMYFUNCTION("""COMPUTED_VALUE"""),"Series 23")</f>
        <v>Series 23</v>
      </c>
      <c r="H275" s="1" t="s">
        <v>71</v>
      </c>
      <c r="I275" s="1" t="s">
        <v>288</v>
      </c>
      <c r="J275" s="4">
        <v>42917.0</v>
      </c>
      <c r="K275" s="1">
        <v>100.0</v>
      </c>
      <c r="L275" s="1">
        <v>100.0</v>
      </c>
      <c r="M275" s="1">
        <v>1134.0</v>
      </c>
      <c r="N275" s="6" t="str">
        <f t="shared" si="3"/>
        <v>Japanese Rarepepe🐸</v>
      </c>
      <c r="P275" s="6" t="str">
        <f>VLOOKUP(D275,'シート2'!A:B, 2, 0)</f>
        <v>@DavinciNine</v>
      </c>
    </row>
    <row r="276">
      <c r="A276" s="1" t="s">
        <v>680</v>
      </c>
      <c r="B276" s="3" t="s">
        <v>681</v>
      </c>
      <c r="C276" s="1" t="s">
        <v>16</v>
      </c>
      <c r="D276" s="1" t="s">
        <v>34</v>
      </c>
      <c r="E276" s="1" t="s">
        <v>18</v>
      </c>
      <c r="F276" s="1" t="str">
        <f>IFERROR(__xludf.DUMMYFUNCTION("SPLIT(E276,""&gt;"")"),"Badger Capsule")</f>
        <v>Badger Capsule</v>
      </c>
      <c r="G276" s="1" t="str">
        <f>IFERROR(__xludf.DUMMYFUNCTION("""COMPUTED_VALUE"""),"Series 1")</f>
        <v>Series 1</v>
      </c>
      <c r="H276" s="1" t="s">
        <v>34</v>
      </c>
      <c r="I276" s="1" t="s">
        <v>56</v>
      </c>
      <c r="J276" s="4">
        <v>44531.0</v>
      </c>
      <c r="K276" s="1">
        <v>250.0</v>
      </c>
      <c r="L276" s="1">
        <v>250.0</v>
      </c>
      <c r="M276" s="1">
        <v>18.0</v>
      </c>
      <c r="N276" s="5" t="s">
        <v>20</v>
      </c>
      <c r="P276" s="6" t="str">
        <f>VLOOKUP(D276,'シート2'!A:B, 2, 0)</f>
        <v>@pom779</v>
      </c>
    </row>
    <row r="277">
      <c r="A277" s="1" t="s">
        <v>682</v>
      </c>
      <c r="B277" s="3" t="s">
        <v>683</v>
      </c>
      <c r="C277" s="1" t="s">
        <v>16</v>
      </c>
      <c r="D277" s="1" t="s">
        <v>44</v>
      </c>
      <c r="E277" s="1" t="s">
        <v>39</v>
      </c>
      <c r="F277" s="1" t="str">
        <f>IFERROR(__xludf.DUMMYFUNCTION("SPLIT(E277,""&gt;"")"),"Badger Capsule")</f>
        <v>Badger Capsule</v>
      </c>
      <c r="G277" s="1" t="str">
        <f>IFERROR(__xludf.DUMMYFUNCTION("""COMPUTED_VALUE"""),"Badger Innovation Zone")</f>
        <v>Badger Innovation Zone</v>
      </c>
      <c r="H277" s="1" t="s">
        <v>44</v>
      </c>
      <c r="I277" s="1" t="s">
        <v>56</v>
      </c>
      <c r="J277" s="4">
        <v>44531.0</v>
      </c>
      <c r="K277" s="1">
        <v>500.0</v>
      </c>
      <c r="L277" s="1">
        <v>500.0</v>
      </c>
      <c r="M277" s="1">
        <v>19.0</v>
      </c>
      <c r="N277" s="5" t="s">
        <v>20</v>
      </c>
      <c r="P277" s="6" t="str">
        <f>VLOOKUP(D277,'シート2'!A:B, 2, 0)</f>
        <v>Anonymous</v>
      </c>
    </row>
    <row r="278">
      <c r="A278" s="1" t="s">
        <v>684</v>
      </c>
      <c r="B278" s="3" t="s">
        <v>685</v>
      </c>
      <c r="C278" s="1" t="s">
        <v>16</v>
      </c>
      <c r="D278" s="1" t="s">
        <v>53</v>
      </c>
      <c r="E278" s="1" t="s">
        <v>18</v>
      </c>
      <c r="F278" s="1" t="str">
        <f>IFERROR(__xludf.DUMMYFUNCTION("SPLIT(E278,""&gt;"")"),"Badger Capsule")</f>
        <v>Badger Capsule</v>
      </c>
      <c r="G278" s="1" t="str">
        <f>IFERROR(__xludf.DUMMYFUNCTION("""COMPUTED_VALUE"""),"Series 1")</f>
        <v>Series 1</v>
      </c>
      <c r="H278" s="1" t="s">
        <v>53</v>
      </c>
      <c r="I278" s="1" t="s">
        <v>56</v>
      </c>
      <c r="J278" s="4">
        <v>44531.0</v>
      </c>
      <c r="K278" s="1">
        <v>250.0</v>
      </c>
      <c r="L278" s="1">
        <v>250.0</v>
      </c>
      <c r="M278" s="1">
        <v>20.0</v>
      </c>
      <c r="N278" s="5" t="s">
        <v>20</v>
      </c>
      <c r="P278" s="6" t="str">
        <f>VLOOKUP(D278,'シート2'!A:B, 2, 0)</f>
        <v>@Taky_Taky_</v>
      </c>
    </row>
    <row r="279">
      <c r="A279" s="1" t="s">
        <v>686</v>
      </c>
      <c r="B279" s="3" t="s">
        <v>687</v>
      </c>
      <c r="C279" s="1" t="s">
        <v>16</v>
      </c>
      <c r="D279" s="1" t="s">
        <v>293</v>
      </c>
      <c r="E279" s="1" t="s">
        <v>39</v>
      </c>
      <c r="F279" s="1" t="str">
        <f>IFERROR(__xludf.DUMMYFUNCTION("SPLIT(E279,""&gt;"")"),"Badger Capsule")</f>
        <v>Badger Capsule</v>
      </c>
      <c r="G279" s="1" t="str">
        <f>IFERROR(__xludf.DUMMYFUNCTION("""COMPUTED_VALUE"""),"Badger Innovation Zone")</f>
        <v>Badger Innovation Zone</v>
      </c>
      <c r="H279" s="1" t="s">
        <v>293</v>
      </c>
      <c r="I279" s="1" t="s">
        <v>56</v>
      </c>
      <c r="J279" s="4">
        <v>44531.0</v>
      </c>
      <c r="K279" s="1">
        <v>500.0</v>
      </c>
      <c r="L279" s="1">
        <v>500.0</v>
      </c>
      <c r="M279" s="1">
        <v>21.0</v>
      </c>
      <c r="N279" s="5" t="s">
        <v>20</v>
      </c>
      <c r="P279" s="6" t="str">
        <f>VLOOKUP(D279,'シート2'!A:B, 2, 0)</f>
        <v>@ocknamo</v>
      </c>
    </row>
    <row r="280">
      <c r="A280" s="1" t="s">
        <v>688</v>
      </c>
      <c r="B280" s="3" t="s">
        <v>689</v>
      </c>
      <c r="C280" s="1" t="s">
        <v>16</v>
      </c>
      <c r="D280" s="1" t="s">
        <v>53</v>
      </c>
      <c r="E280" s="1" t="s">
        <v>39</v>
      </c>
      <c r="F280" s="1" t="str">
        <f>IFERROR(__xludf.DUMMYFUNCTION("SPLIT(E280,""&gt;"")"),"Badger Capsule")</f>
        <v>Badger Capsule</v>
      </c>
      <c r="G280" s="1" t="str">
        <f>IFERROR(__xludf.DUMMYFUNCTION("""COMPUTED_VALUE"""),"Badger Innovation Zone")</f>
        <v>Badger Innovation Zone</v>
      </c>
      <c r="H280" s="1" t="s">
        <v>53</v>
      </c>
      <c r="I280" s="1" t="s">
        <v>690</v>
      </c>
      <c r="J280" s="4">
        <v>44562.0</v>
      </c>
      <c r="K280" s="1">
        <v>500.0</v>
      </c>
      <c r="L280" s="1">
        <v>500.0</v>
      </c>
      <c r="M280" s="1">
        <v>23.0</v>
      </c>
      <c r="N280" s="5" t="s">
        <v>20</v>
      </c>
      <c r="P280" s="6" t="str">
        <f>VLOOKUP(D280,'シート2'!A:B, 2, 0)</f>
        <v>@Taky_Taky_</v>
      </c>
    </row>
    <row r="281">
      <c r="A281" s="1" t="s">
        <v>691</v>
      </c>
      <c r="B281" s="3" t="s">
        <v>692</v>
      </c>
      <c r="C281" s="1" t="s">
        <v>16</v>
      </c>
      <c r="D281" s="1" t="s">
        <v>53</v>
      </c>
      <c r="E281" s="1" t="s">
        <v>18</v>
      </c>
      <c r="F281" s="1" t="str">
        <f>IFERROR(__xludf.DUMMYFUNCTION("SPLIT(E281,""&gt;"")"),"Badger Capsule")</f>
        <v>Badger Capsule</v>
      </c>
      <c r="G281" s="1" t="str">
        <f>IFERROR(__xludf.DUMMYFUNCTION("""COMPUTED_VALUE"""),"Series 1")</f>
        <v>Series 1</v>
      </c>
      <c r="H281" s="1" t="s">
        <v>53</v>
      </c>
      <c r="I281" s="1" t="s">
        <v>690</v>
      </c>
      <c r="J281" s="4">
        <v>44562.0</v>
      </c>
      <c r="K281" s="1">
        <v>250.0</v>
      </c>
      <c r="L281" s="1">
        <v>250.0</v>
      </c>
      <c r="M281" s="1">
        <v>25.0</v>
      </c>
      <c r="N281" s="5" t="s">
        <v>20</v>
      </c>
      <c r="P281" s="6" t="str">
        <f>VLOOKUP(D281,'シート2'!A:B, 2, 0)</f>
        <v>@Taky_Taky_</v>
      </c>
    </row>
    <row r="282">
      <c r="A282" s="1" t="s">
        <v>693</v>
      </c>
      <c r="B282" s="3" t="s">
        <v>694</v>
      </c>
      <c r="C282" s="1" t="s">
        <v>16</v>
      </c>
      <c r="D282" s="1" t="s">
        <v>53</v>
      </c>
      <c r="E282" s="1" t="s">
        <v>39</v>
      </c>
      <c r="F282" s="1" t="str">
        <f>IFERROR(__xludf.DUMMYFUNCTION("SPLIT(E282,""&gt;"")"),"Badger Capsule")</f>
        <v>Badger Capsule</v>
      </c>
      <c r="G282" s="1" t="str">
        <f>IFERROR(__xludf.DUMMYFUNCTION("""COMPUTED_VALUE"""),"Badger Innovation Zone")</f>
        <v>Badger Innovation Zone</v>
      </c>
      <c r="H282" s="1" t="s">
        <v>53</v>
      </c>
      <c r="I282" s="1" t="s">
        <v>690</v>
      </c>
      <c r="J282" s="4">
        <v>44562.0</v>
      </c>
      <c r="K282" s="1">
        <v>500.0</v>
      </c>
      <c r="L282" s="1">
        <v>500.0</v>
      </c>
      <c r="M282" s="1">
        <v>24.0</v>
      </c>
      <c r="N282" s="5" t="s">
        <v>20</v>
      </c>
      <c r="P282" s="6" t="str">
        <f>VLOOKUP(D282,'シート2'!A:B, 2, 0)</f>
        <v>@Taky_Taky_</v>
      </c>
    </row>
    <row r="283">
      <c r="A283" s="1" t="s">
        <v>695</v>
      </c>
      <c r="B283" s="3" t="s">
        <v>696</v>
      </c>
      <c r="C283" s="1" t="s">
        <v>16</v>
      </c>
      <c r="D283" s="1" t="s">
        <v>593</v>
      </c>
      <c r="E283" s="1" t="s">
        <v>18</v>
      </c>
      <c r="F283" s="1" t="str">
        <f>IFERROR(__xludf.DUMMYFUNCTION("SPLIT(E283,""&gt;"")"),"Badger Capsule")</f>
        <v>Badger Capsule</v>
      </c>
      <c r="G283" s="1" t="str">
        <f>IFERROR(__xludf.DUMMYFUNCTION("""COMPUTED_VALUE"""),"Series 1")</f>
        <v>Series 1</v>
      </c>
      <c r="H283" s="1" t="s">
        <v>593</v>
      </c>
      <c r="I283" s="1" t="s">
        <v>690</v>
      </c>
      <c r="J283" s="4">
        <v>44562.0</v>
      </c>
      <c r="K283" s="1">
        <v>250.0</v>
      </c>
      <c r="L283" s="1">
        <v>250.0</v>
      </c>
      <c r="M283" s="1">
        <v>22.0</v>
      </c>
      <c r="N283" s="5" t="s">
        <v>20</v>
      </c>
      <c r="P283" s="6" t="str">
        <f>VLOOKUP(D283,'シート2'!A:B, 2, 0)</f>
        <v>@monolag</v>
      </c>
    </row>
    <row r="284">
      <c r="A284" s="1" t="s">
        <v>697</v>
      </c>
      <c r="B284" s="3" t="s">
        <v>698</v>
      </c>
      <c r="C284" s="1" t="s">
        <v>16</v>
      </c>
      <c r="D284" s="1" t="s">
        <v>61</v>
      </c>
      <c r="E284" s="1" t="s">
        <v>39</v>
      </c>
      <c r="F284" s="1" t="str">
        <f>IFERROR(__xludf.DUMMYFUNCTION("SPLIT(E284,""&gt;"")"),"Badger Capsule")</f>
        <v>Badger Capsule</v>
      </c>
      <c r="G284" s="1" t="str">
        <f>IFERROR(__xludf.DUMMYFUNCTION("""COMPUTED_VALUE"""),"Badger Innovation Zone")</f>
        <v>Badger Innovation Zone</v>
      </c>
      <c r="H284" s="1" t="s">
        <v>61</v>
      </c>
      <c r="I284" s="1" t="s">
        <v>690</v>
      </c>
      <c r="J284" s="4">
        <v>44562.0</v>
      </c>
      <c r="K284" s="1">
        <v>500.0</v>
      </c>
      <c r="L284" s="1">
        <v>500.0</v>
      </c>
      <c r="M284" s="1">
        <v>26.0</v>
      </c>
      <c r="N284" s="5" t="s">
        <v>20</v>
      </c>
      <c r="P284" s="6" t="str">
        <f>VLOOKUP(D284,'シート2'!A:B, 2, 0)</f>
        <v>@NFTuber</v>
      </c>
    </row>
    <row r="285">
      <c r="A285" s="1" t="s">
        <v>699</v>
      </c>
      <c r="B285" s="3" t="s">
        <v>700</v>
      </c>
      <c r="C285" s="1" t="s">
        <v>16</v>
      </c>
      <c r="D285" s="1" t="s">
        <v>61</v>
      </c>
      <c r="E285" s="1" t="s">
        <v>39</v>
      </c>
      <c r="F285" s="1" t="str">
        <f>IFERROR(__xludf.DUMMYFUNCTION("SPLIT(E285,""&gt;"")"),"Badger Capsule")</f>
        <v>Badger Capsule</v>
      </c>
      <c r="G285" s="1" t="str">
        <f>IFERROR(__xludf.DUMMYFUNCTION("""COMPUTED_VALUE"""),"Badger Innovation Zone")</f>
        <v>Badger Innovation Zone</v>
      </c>
      <c r="H285" s="1" t="s">
        <v>61</v>
      </c>
      <c r="I285" s="1" t="s">
        <v>690</v>
      </c>
      <c r="J285" s="4">
        <v>44562.0</v>
      </c>
      <c r="K285" s="1">
        <v>500.0</v>
      </c>
      <c r="L285" s="1">
        <v>500.0</v>
      </c>
      <c r="M285" s="1">
        <v>27.0</v>
      </c>
      <c r="N285" s="5" t="s">
        <v>20</v>
      </c>
      <c r="P285" s="6" t="str">
        <f>VLOOKUP(D285,'シート2'!A:B, 2, 0)</f>
        <v>@NFTuber</v>
      </c>
    </row>
    <row r="286">
      <c r="A286" s="1" t="s">
        <v>701</v>
      </c>
      <c r="B286" s="3" t="s">
        <v>702</v>
      </c>
      <c r="C286" s="1" t="s">
        <v>16</v>
      </c>
      <c r="D286" s="1" t="s">
        <v>61</v>
      </c>
      <c r="E286" s="1" t="s">
        <v>39</v>
      </c>
      <c r="F286" s="1" t="str">
        <f>IFERROR(__xludf.DUMMYFUNCTION("SPLIT(E286,""&gt;"")"),"Badger Capsule")</f>
        <v>Badger Capsule</v>
      </c>
      <c r="G286" s="1" t="str">
        <f>IFERROR(__xludf.DUMMYFUNCTION("""COMPUTED_VALUE"""),"Badger Innovation Zone")</f>
        <v>Badger Innovation Zone</v>
      </c>
      <c r="H286" s="1" t="s">
        <v>61</v>
      </c>
      <c r="I286" s="1" t="s">
        <v>690</v>
      </c>
      <c r="J286" s="4">
        <v>44562.0</v>
      </c>
      <c r="K286" s="1">
        <v>500.0</v>
      </c>
      <c r="L286" s="1">
        <v>500.0</v>
      </c>
      <c r="M286" s="1">
        <v>28.0</v>
      </c>
      <c r="N286" s="5" t="s">
        <v>20</v>
      </c>
      <c r="P286" s="6" t="str">
        <f>VLOOKUP(D286,'シート2'!A:B, 2, 0)</f>
        <v>@NFTuber</v>
      </c>
    </row>
    <row r="287">
      <c r="A287" s="1" t="s">
        <v>703</v>
      </c>
      <c r="B287" s="3" t="s">
        <v>704</v>
      </c>
      <c r="C287" s="1" t="s">
        <v>16</v>
      </c>
      <c r="D287" s="1" t="s">
        <v>705</v>
      </c>
      <c r="E287" s="1" t="s">
        <v>39</v>
      </c>
      <c r="F287" s="1" t="str">
        <f>IFERROR(__xludf.DUMMYFUNCTION("SPLIT(E287,""&gt;"")"),"Badger Capsule")</f>
        <v>Badger Capsule</v>
      </c>
      <c r="G287" s="1" t="str">
        <f>IFERROR(__xludf.DUMMYFUNCTION("""COMPUTED_VALUE"""),"Badger Innovation Zone")</f>
        <v>Badger Innovation Zone</v>
      </c>
      <c r="H287" s="1" t="s">
        <v>705</v>
      </c>
      <c r="I287" s="1" t="s">
        <v>690</v>
      </c>
      <c r="J287" s="4">
        <v>44562.0</v>
      </c>
      <c r="K287" s="1">
        <v>500.0</v>
      </c>
      <c r="L287" s="1">
        <v>500.0</v>
      </c>
      <c r="M287" s="1">
        <v>29.0</v>
      </c>
      <c r="N287" s="5" t="s">
        <v>20</v>
      </c>
      <c r="P287" s="6" t="str">
        <f>VLOOKUP(D287,'シート2'!A:B, 2, 0)</f>
        <v>@coinpartyX</v>
      </c>
    </row>
    <row r="288">
      <c r="A288" s="1" t="s">
        <v>706</v>
      </c>
      <c r="B288" s="3" t="s">
        <v>707</v>
      </c>
      <c r="C288" s="1" t="s">
        <v>16</v>
      </c>
      <c r="D288" s="1" t="s">
        <v>708</v>
      </c>
      <c r="E288" s="1" t="s">
        <v>18</v>
      </c>
      <c r="F288" s="1" t="str">
        <f>IFERROR(__xludf.DUMMYFUNCTION("SPLIT(E288,""&gt;"")"),"Badger Capsule")</f>
        <v>Badger Capsule</v>
      </c>
      <c r="G288" s="1" t="str">
        <f>IFERROR(__xludf.DUMMYFUNCTION("""COMPUTED_VALUE"""),"Series 1")</f>
        <v>Series 1</v>
      </c>
      <c r="H288" s="1" t="s">
        <v>708</v>
      </c>
      <c r="I288" s="1" t="s">
        <v>29</v>
      </c>
      <c r="J288" s="4">
        <v>44531.0</v>
      </c>
      <c r="K288" s="1">
        <v>250.0</v>
      </c>
      <c r="L288" s="1">
        <v>250.0</v>
      </c>
      <c r="M288" s="1">
        <v>1.0</v>
      </c>
      <c r="N288" s="5" t="s">
        <v>20</v>
      </c>
      <c r="P288" s="6" t="str">
        <f>VLOOKUP(D288,'シート2'!A:B, 2, 0)</f>
        <v>@tomotomo_9696</v>
      </c>
    </row>
    <row r="289">
      <c r="A289" s="1" t="s">
        <v>709</v>
      </c>
      <c r="B289" s="3" t="s">
        <v>710</v>
      </c>
      <c r="C289" s="1" t="s">
        <v>16</v>
      </c>
      <c r="D289" s="1" t="s">
        <v>17</v>
      </c>
      <c r="E289" s="1" t="s">
        <v>679</v>
      </c>
      <c r="F289" s="1" t="str">
        <f>IFERROR(__xludf.DUMMYFUNCTION("SPLIT(E289,""&gt;"")"),"Japanese Rarepepe")</f>
        <v>Japanese Rarepepe</v>
      </c>
      <c r="G289" s="1" t="str">
        <f>IFERROR(__xludf.DUMMYFUNCTION("""COMPUTED_VALUE"""),"Series 23")</f>
        <v>Series 23</v>
      </c>
      <c r="H289" s="1" t="s">
        <v>17</v>
      </c>
      <c r="I289" s="1" t="s">
        <v>288</v>
      </c>
      <c r="J289" s="4">
        <v>42917.0</v>
      </c>
      <c r="K289" s="1">
        <v>100.0</v>
      </c>
      <c r="L289" s="1">
        <v>100.0</v>
      </c>
      <c r="M289" s="1">
        <v>1114.0</v>
      </c>
      <c r="N289" s="6" t="str">
        <f>F289 &amp; "🐸"</f>
        <v>Japanese Rarepepe🐸</v>
      </c>
      <c r="P289" s="6" t="str">
        <f>VLOOKUP(D289,'シート2'!A:B, 2, 0)</f>
        <v>@kartanbitcoin</v>
      </c>
    </row>
    <row r="290">
      <c r="A290" s="1" t="s">
        <v>711</v>
      </c>
      <c r="B290" s="3" t="s">
        <v>712</v>
      </c>
      <c r="C290" s="1" t="s">
        <v>16</v>
      </c>
      <c r="D290" s="1" t="s">
        <v>713</v>
      </c>
      <c r="E290" s="1" t="s">
        <v>714</v>
      </c>
      <c r="F290" s="1" t="str">
        <f>IFERROR(__xludf.DUMMYFUNCTION("SPLIT(E290,""&gt;"")"),"BitGirls")</f>
        <v>BitGirls</v>
      </c>
      <c r="G290" s="1" t="str">
        <f>IFERROR(__xludf.DUMMYFUNCTION("""COMPUTED_VALUE"""),"Block3")</f>
        <v>Block3</v>
      </c>
      <c r="H290" s="1" t="s">
        <v>713</v>
      </c>
      <c r="I290" s="1" t="s">
        <v>715</v>
      </c>
      <c r="J290" s="4">
        <v>42736.0</v>
      </c>
      <c r="K290" s="1">
        <v>500.0</v>
      </c>
      <c r="L290" s="1">
        <v>500.0</v>
      </c>
      <c r="M290" s="1">
        <v>23.0</v>
      </c>
      <c r="N290" s="5" t="s">
        <v>713</v>
      </c>
      <c r="P290" s="6" t="str">
        <f>VLOOKUP(D290,'シート2'!A:B, 2, 0)</f>
        <v>@zaifdotjp</v>
      </c>
    </row>
    <row r="291">
      <c r="A291" s="1" t="s">
        <v>716</v>
      </c>
      <c r="B291" s="3" t="s">
        <v>717</v>
      </c>
      <c r="C291" s="1" t="s">
        <v>16</v>
      </c>
      <c r="D291" s="1" t="s">
        <v>713</v>
      </c>
      <c r="E291" s="1" t="s">
        <v>718</v>
      </c>
      <c r="F291" s="1" t="str">
        <f>IFERROR(__xludf.DUMMYFUNCTION("SPLIT(E291,""&gt;"")"),"BitGirls")</f>
        <v>BitGirls</v>
      </c>
      <c r="G291" s="1" t="str">
        <f>IFERROR(__xludf.DUMMYFUNCTION("""COMPUTED_VALUE"""),"Block1")</f>
        <v>Block1</v>
      </c>
      <c r="H291" s="1" t="s">
        <v>713</v>
      </c>
      <c r="I291" s="1" t="s">
        <v>609</v>
      </c>
      <c r="J291" s="4">
        <v>42644.0</v>
      </c>
      <c r="K291" s="1">
        <v>500.0</v>
      </c>
      <c r="L291" s="1">
        <v>500.0</v>
      </c>
      <c r="M291" s="1">
        <v>1.0</v>
      </c>
      <c r="N291" s="5" t="s">
        <v>713</v>
      </c>
      <c r="P291" s="6" t="str">
        <f>VLOOKUP(D291,'シート2'!A:B, 2, 0)</f>
        <v>@zaifdotjp</v>
      </c>
    </row>
    <row r="292">
      <c r="A292" s="1" t="s">
        <v>719</v>
      </c>
      <c r="B292" s="3" t="s">
        <v>720</v>
      </c>
      <c r="C292" s="1" t="s">
        <v>16</v>
      </c>
      <c r="D292" s="1" t="s">
        <v>713</v>
      </c>
      <c r="E292" s="1" t="s">
        <v>718</v>
      </c>
      <c r="F292" s="1" t="str">
        <f>IFERROR(__xludf.DUMMYFUNCTION("SPLIT(E292,""&gt;"")"),"BitGirls")</f>
        <v>BitGirls</v>
      </c>
      <c r="G292" s="1" t="str">
        <f>IFERROR(__xludf.DUMMYFUNCTION("""COMPUTED_VALUE"""),"Block1")</f>
        <v>Block1</v>
      </c>
      <c r="H292" s="1" t="s">
        <v>713</v>
      </c>
      <c r="I292" s="1" t="s">
        <v>609</v>
      </c>
      <c r="J292" s="4">
        <v>42644.0</v>
      </c>
      <c r="K292" s="1">
        <v>500.0</v>
      </c>
      <c r="L292" s="1">
        <v>500.0</v>
      </c>
      <c r="M292" s="1">
        <v>2.0</v>
      </c>
      <c r="N292" s="5" t="s">
        <v>713</v>
      </c>
      <c r="P292" s="6" t="str">
        <f>VLOOKUP(D292,'シート2'!A:B, 2, 0)</f>
        <v>@zaifdotjp</v>
      </c>
    </row>
    <row r="293">
      <c r="A293" s="1" t="s">
        <v>721</v>
      </c>
      <c r="B293" s="3" t="s">
        <v>722</v>
      </c>
      <c r="C293" s="1" t="s">
        <v>16</v>
      </c>
      <c r="D293" s="1" t="s">
        <v>713</v>
      </c>
      <c r="E293" s="1" t="s">
        <v>718</v>
      </c>
      <c r="F293" s="1" t="str">
        <f>IFERROR(__xludf.DUMMYFUNCTION("SPLIT(E293,""&gt;"")"),"BitGirls")</f>
        <v>BitGirls</v>
      </c>
      <c r="G293" s="1" t="str">
        <f>IFERROR(__xludf.DUMMYFUNCTION("""COMPUTED_VALUE"""),"Block1")</f>
        <v>Block1</v>
      </c>
      <c r="H293" s="1" t="s">
        <v>713</v>
      </c>
      <c r="I293" s="1" t="s">
        <v>609</v>
      </c>
      <c r="J293" s="4">
        <v>42644.0</v>
      </c>
      <c r="K293" s="1">
        <v>500.0</v>
      </c>
      <c r="L293" s="1">
        <v>500.0</v>
      </c>
      <c r="M293" s="1">
        <v>3.0</v>
      </c>
      <c r="N293" s="5" t="s">
        <v>713</v>
      </c>
      <c r="P293" s="6" t="str">
        <f>VLOOKUP(D293,'シート2'!A:B, 2, 0)</f>
        <v>@zaifdotjp</v>
      </c>
    </row>
    <row r="294">
      <c r="A294" s="1" t="s">
        <v>723</v>
      </c>
      <c r="B294" s="3" t="s">
        <v>724</v>
      </c>
      <c r="C294" s="1" t="s">
        <v>16</v>
      </c>
      <c r="D294" s="1" t="s">
        <v>713</v>
      </c>
      <c r="E294" s="1" t="s">
        <v>718</v>
      </c>
      <c r="F294" s="1" t="str">
        <f>IFERROR(__xludf.DUMMYFUNCTION("SPLIT(E294,""&gt;"")"),"BitGirls")</f>
        <v>BitGirls</v>
      </c>
      <c r="G294" s="1" t="str">
        <f>IFERROR(__xludf.DUMMYFUNCTION("""COMPUTED_VALUE"""),"Block1")</f>
        <v>Block1</v>
      </c>
      <c r="H294" s="1" t="s">
        <v>713</v>
      </c>
      <c r="I294" s="1" t="s">
        <v>609</v>
      </c>
      <c r="J294" s="4">
        <v>42644.0</v>
      </c>
      <c r="K294" s="1">
        <v>500.0</v>
      </c>
      <c r="L294" s="1">
        <v>500.0</v>
      </c>
      <c r="M294" s="1">
        <v>4.0</v>
      </c>
      <c r="N294" s="5" t="s">
        <v>713</v>
      </c>
      <c r="P294" s="6" t="str">
        <f>VLOOKUP(D294,'シート2'!A:B, 2, 0)</f>
        <v>@zaifdotjp</v>
      </c>
    </row>
    <row r="295">
      <c r="A295" s="1" t="s">
        <v>725</v>
      </c>
      <c r="B295" s="3" t="s">
        <v>726</v>
      </c>
      <c r="C295" s="1" t="s">
        <v>16</v>
      </c>
      <c r="D295" s="1" t="s">
        <v>713</v>
      </c>
      <c r="E295" s="1" t="s">
        <v>718</v>
      </c>
      <c r="F295" s="1" t="str">
        <f>IFERROR(__xludf.DUMMYFUNCTION("SPLIT(E295,""&gt;"")"),"BitGirls")</f>
        <v>BitGirls</v>
      </c>
      <c r="G295" s="1" t="str">
        <f>IFERROR(__xludf.DUMMYFUNCTION("""COMPUTED_VALUE"""),"Block1")</f>
        <v>Block1</v>
      </c>
      <c r="H295" s="1" t="s">
        <v>713</v>
      </c>
      <c r="I295" s="1" t="s">
        <v>609</v>
      </c>
      <c r="J295" s="4">
        <v>42644.0</v>
      </c>
      <c r="K295" s="1">
        <v>500.0</v>
      </c>
      <c r="L295" s="1">
        <v>500.0</v>
      </c>
      <c r="M295" s="1">
        <v>5.0</v>
      </c>
      <c r="N295" s="5" t="s">
        <v>713</v>
      </c>
      <c r="P295" s="6" t="str">
        <f>VLOOKUP(D295,'シート2'!A:B, 2, 0)</f>
        <v>@zaifdotjp</v>
      </c>
    </row>
    <row r="296">
      <c r="A296" s="1" t="s">
        <v>727</v>
      </c>
      <c r="B296" s="3" t="s">
        <v>728</v>
      </c>
      <c r="C296" s="1" t="s">
        <v>16</v>
      </c>
      <c r="D296" s="1" t="s">
        <v>713</v>
      </c>
      <c r="E296" s="1" t="s">
        <v>718</v>
      </c>
      <c r="F296" s="1" t="str">
        <f>IFERROR(__xludf.DUMMYFUNCTION("SPLIT(E296,""&gt;"")"),"BitGirls")</f>
        <v>BitGirls</v>
      </c>
      <c r="G296" s="1" t="str">
        <f>IFERROR(__xludf.DUMMYFUNCTION("""COMPUTED_VALUE"""),"Block1")</f>
        <v>Block1</v>
      </c>
      <c r="H296" s="1" t="s">
        <v>713</v>
      </c>
      <c r="I296" s="1" t="s">
        <v>609</v>
      </c>
      <c r="J296" s="4">
        <v>42644.0</v>
      </c>
      <c r="K296" s="1">
        <v>500.0</v>
      </c>
      <c r="L296" s="1">
        <v>500.0</v>
      </c>
      <c r="M296" s="1">
        <v>6.0</v>
      </c>
      <c r="N296" s="5" t="s">
        <v>713</v>
      </c>
      <c r="P296" s="6" t="str">
        <f>VLOOKUP(D296,'シート2'!A:B, 2, 0)</f>
        <v>@zaifdotjp</v>
      </c>
    </row>
    <row r="297">
      <c r="A297" s="1" t="s">
        <v>729</v>
      </c>
      <c r="B297" s="3" t="s">
        <v>730</v>
      </c>
      <c r="C297" s="1" t="s">
        <v>16</v>
      </c>
      <c r="D297" s="1" t="s">
        <v>713</v>
      </c>
      <c r="E297" s="1" t="s">
        <v>731</v>
      </c>
      <c r="F297" s="1" t="str">
        <f>IFERROR(__xludf.DUMMYFUNCTION("SPLIT(E297,""&gt;"")"),"BitGirls")</f>
        <v>BitGirls</v>
      </c>
      <c r="G297" s="1" t="str">
        <f>IFERROR(__xludf.DUMMYFUNCTION("""COMPUTED_VALUE"""),"Block2")</f>
        <v>Block2</v>
      </c>
      <c r="H297" s="1" t="s">
        <v>713</v>
      </c>
      <c r="I297" s="1" t="s">
        <v>622</v>
      </c>
      <c r="J297" s="4">
        <v>42675.0</v>
      </c>
      <c r="K297" s="1">
        <v>500.0</v>
      </c>
      <c r="L297" s="1">
        <v>500.0</v>
      </c>
      <c r="M297" s="1">
        <v>7.0</v>
      </c>
      <c r="N297" s="5" t="s">
        <v>713</v>
      </c>
      <c r="P297" s="6" t="str">
        <f>VLOOKUP(D297,'シート2'!A:B, 2, 0)</f>
        <v>@zaifdotjp</v>
      </c>
    </row>
    <row r="298">
      <c r="A298" s="1" t="s">
        <v>732</v>
      </c>
      <c r="B298" s="3" t="s">
        <v>733</v>
      </c>
      <c r="C298" s="1" t="s">
        <v>16</v>
      </c>
      <c r="D298" s="1" t="s">
        <v>713</v>
      </c>
      <c r="E298" s="1" t="s">
        <v>731</v>
      </c>
      <c r="F298" s="1" t="str">
        <f>IFERROR(__xludf.DUMMYFUNCTION("SPLIT(E298,""&gt;"")"),"BitGirls")</f>
        <v>BitGirls</v>
      </c>
      <c r="G298" s="1" t="str">
        <f>IFERROR(__xludf.DUMMYFUNCTION("""COMPUTED_VALUE"""),"Block2")</f>
        <v>Block2</v>
      </c>
      <c r="H298" s="1" t="s">
        <v>713</v>
      </c>
      <c r="I298" s="1" t="s">
        <v>622</v>
      </c>
      <c r="J298" s="4">
        <v>42675.0</v>
      </c>
      <c r="K298" s="1">
        <v>500.0</v>
      </c>
      <c r="L298" s="1">
        <v>500.0</v>
      </c>
      <c r="M298" s="1">
        <v>8.0</v>
      </c>
      <c r="N298" s="5" t="s">
        <v>713</v>
      </c>
      <c r="P298" s="6" t="str">
        <f>VLOOKUP(D298,'シート2'!A:B, 2, 0)</f>
        <v>@zaifdotjp</v>
      </c>
    </row>
    <row r="299">
      <c r="A299" s="1" t="s">
        <v>734</v>
      </c>
      <c r="B299" s="3" t="s">
        <v>735</v>
      </c>
      <c r="C299" s="1" t="s">
        <v>16</v>
      </c>
      <c r="D299" s="1" t="s">
        <v>713</v>
      </c>
      <c r="E299" s="1" t="s">
        <v>731</v>
      </c>
      <c r="F299" s="1" t="str">
        <f>IFERROR(__xludf.DUMMYFUNCTION("SPLIT(E299,""&gt;"")"),"BitGirls")</f>
        <v>BitGirls</v>
      </c>
      <c r="G299" s="1" t="str">
        <f>IFERROR(__xludf.DUMMYFUNCTION("""COMPUTED_VALUE"""),"Block2")</f>
        <v>Block2</v>
      </c>
      <c r="H299" s="1" t="s">
        <v>713</v>
      </c>
      <c r="I299" s="1" t="s">
        <v>622</v>
      </c>
      <c r="J299" s="4">
        <v>42675.0</v>
      </c>
      <c r="K299" s="1">
        <v>500.0</v>
      </c>
      <c r="L299" s="1">
        <v>500.0</v>
      </c>
      <c r="M299" s="1">
        <v>9.0</v>
      </c>
      <c r="N299" s="5" t="s">
        <v>713</v>
      </c>
      <c r="P299" s="6" t="str">
        <f>VLOOKUP(D299,'シート2'!A:B, 2, 0)</f>
        <v>@zaifdotjp</v>
      </c>
    </row>
    <row r="300">
      <c r="A300" s="1" t="s">
        <v>736</v>
      </c>
      <c r="B300" s="3" t="s">
        <v>737</v>
      </c>
      <c r="C300" s="1" t="s">
        <v>16</v>
      </c>
      <c r="D300" s="1" t="s">
        <v>713</v>
      </c>
      <c r="E300" s="1" t="s">
        <v>731</v>
      </c>
      <c r="F300" s="1" t="str">
        <f>IFERROR(__xludf.DUMMYFUNCTION("SPLIT(E300,""&gt;"")"),"BitGirls")</f>
        <v>BitGirls</v>
      </c>
      <c r="G300" s="1" t="str">
        <f>IFERROR(__xludf.DUMMYFUNCTION("""COMPUTED_VALUE"""),"Block2")</f>
        <v>Block2</v>
      </c>
      <c r="H300" s="1" t="s">
        <v>713</v>
      </c>
      <c r="I300" s="1" t="s">
        <v>622</v>
      </c>
      <c r="J300" s="4">
        <v>42675.0</v>
      </c>
      <c r="K300" s="1">
        <v>500.0</v>
      </c>
      <c r="L300" s="1">
        <v>500.0</v>
      </c>
      <c r="M300" s="1">
        <v>10.0</v>
      </c>
      <c r="N300" s="5" t="s">
        <v>713</v>
      </c>
      <c r="P300" s="6" t="str">
        <f>VLOOKUP(D300,'シート2'!A:B, 2, 0)</f>
        <v>@zaifdotjp</v>
      </c>
    </row>
    <row r="301">
      <c r="A301" s="1" t="s">
        <v>738</v>
      </c>
      <c r="B301" s="3" t="s">
        <v>739</v>
      </c>
      <c r="C301" s="1" t="s">
        <v>16</v>
      </c>
      <c r="D301" s="1" t="s">
        <v>713</v>
      </c>
      <c r="E301" s="1" t="s">
        <v>731</v>
      </c>
      <c r="F301" s="1" t="str">
        <f>IFERROR(__xludf.DUMMYFUNCTION("SPLIT(E301,""&gt;"")"),"BitGirls")</f>
        <v>BitGirls</v>
      </c>
      <c r="G301" s="1" t="str">
        <f>IFERROR(__xludf.DUMMYFUNCTION("""COMPUTED_VALUE"""),"Block2")</f>
        <v>Block2</v>
      </c>
      <c r="H301" s="1" t="s">
        <v>713</v>
      </c>
      <c r="I301" s="1" t="s">
        <v>622</v>
      </c>
      <c r="J301" s="4">
        <v>42675.0</v>
      </c>
      <c r="K301" s="1">
        <v>500.0</v>
      </c>
      <c r="L301" s="1">
        <v>500.0</v>
      </c>
      <c r="M301" s="1">
        <v>11.0</v>
      </c>
      <c r="N301" s="5" t="s">
        <v>713</v>
      </c>
      <c r="P301" s="6" t="str">
        <f>VLOOKUP(D301,'シート2'!A:B, 2, 0)</f>
        <v>@zaifdotjp</v>
      </c>
    </row>
    <row r="302">
      <c r="A302" s="1" t="s">
        <v>740</v>
      </c>
      <c r="B302" s="3" t="s">
        <v>741</v>
      </c>
      <c r="C302" s="1" t="s">
        <v>16</v>
      </c>
      <c r="D302" s="1" t="s">
        <v>713</v>
      </c>
      <c r="E302" s="1" t="s">
        <v>731</v>
      </c>
      <c r="F302" s="1" t="str">
        <f>IFERROR(__xludf.DUMMYFUNCTION("SPLIT(E302,""&gt;"")"),"BitGirls")</f>
        <v>BitGirls</v>
      </c>
      <c r="G302" s="1" t="str">
        <f>IFERROR(__xludf.DUMMYFUNCTION("""COMPUTED_VALUE"""),"Block2")</f>
        <v>Block2</v>
      </c>
      <c r="H302" s="1" t="s">
        <v>713</v>
      </c>
      <c r="I302" s="1" t="s">
        <v>622</v>
      </c>
      <c r="J302" s="4">
        <v>42675.0</v>
      </c>
      <c r="K302" s="1">
        <v>500.0</v>
      </c>
      <c r="L302" s="1">
        <v>500.0</v>
      </c>
      <c r="M302" s="1">
        <v>12.0</v>
      </c>
      <c r="N302" s="5" t="s">
        <v>713</v>
      </c>
      <c r="P302" s="6" t="str">
        <f>VLOOKUP(D302,'シート2'!A:B, 2, 0)</f>
        <v>@zaifdotjp</v>
      </c>
    </row>
    <row r="303">
      <c r="A303" s="1" t="s">
        <v>742</v>
      </c>
      <c r="B303" s="3" t="s">
        <v>743</v>
      </c>
      <c r="C303" s="1" t="s">
        <v>16</v>
      </c>
      <c r="D303" s="1" t="s">
        <v>713</v>
      </c>
      <c r="E303" s="1" t="s">
        <v>744</v>
      </c>
      <c r="F303" s="1" t="str">
        <f>IFERROR(__xludf.DUMMYFUNCTION("SPLIT(E303,""&gt;"")"),"BitGirls")</f>
        <v>BitGirls</v>
      </c>
      <c r="G303" s="1" t="str">
        <f>IFERROR(__xludf.DUMMYFUNCTION("""COMPUTED_VALUE"""),"Christmas")</f>
        <v>Christmas</v>
      </c>
      <c r="H303" s="1" t="s">
        <v>713</v>
      </c>
      <c r="I303" s="1" t="s">
        <v>636</v>
      </c>
      <c r="J303" s="4">
        <v>42705.0</v>
      </c>
      <c r="K303" s="1">
        <v>1000.0</v>
      </c>
      <c r="L303" s="1">
        <v>1000.0</v>
      </c>
      <c r="M303" s="1">
        <v>13.0</v>
      </c>
      <c r="N303" s="5" t="s">
        <v>713</v>
      </c>
      <c r="P303" s="6" t="str">
        <f>VLOOKUP(D303,'シート2'!A:B, 2, 0)</f>
        <v>@zaifdotjp</v>
      </c>
    </row>
    <row r="304">
      <c r="A304" s="1" t="s">
        <v>745</v>
      </c>
      <c r="B304" s="3" t="s">
        <v>746</v>
      </c>
      <c r="C304" s="1" t="s">
        <v>16</v>
      </c>
      <c r="D304" s="1" t="s">
        <v>713</v>
      </c>
      <c r="E304" s="1" t="s">
        <v>744</v>
      </c>
      <c r="F304" s="1" t="str">
        <f>IFERROR(__xludf.DUMMYFUNCTION("SPLIT(E304,""&gt;"")"),"BitGirls")</f>
        <v>BitGirls</v>
      </c>
      <c r="G304" s="1" t="str">
        <f>IFERROR(__xludf.DUMMYFUNCTION("""COMPUTED_VALUE"""),"Christmas")</f>
        <v>Christmas</v>
      </c>
      <c r="H304" s="1" t="s">
        <v>713</v>
      </c>
      <c r="I304" s="1" t="s">
        <v>636</v>
      </c>
      <c r="J304" s="4">
        <v>42705.0</v>
      </c>
      <c r="K304" s="1">
        <v>1000.0</v>
      </c>
      <c r="L304" s="1">
        <v>1000.0</v>
      </c>
      <c r="M304" s="1">
        <v>14.0</v>
      </c>
      <c r="N304" s="5" t="s">
        <v>713</v>
      </c>
      <c r="P304" s="6" t="str">
        <f>VLOOKUP(D304,'シート2'!A:B, 2, 0)</f>
        <v>@zaifdotjp</v>
      </c>
    </row>
    <row r="305">
      <c r="A305" s="1" t="s">
        <v>747</v>
      </c>
      <c r="B305" s="3" t="s">
        <v>748</v>
      </c>
      <c r="C305" s="1" t="s">
        <v>16</v>
      </c>
      <c r="D305" s="1" t="s">
        <v>713</v>
      </c>
      <c r="E305" s="1" t="s">
        <v>744</v>
      </c>
      <c r="F305" s="1" t="str">
        <f>IFERROR(__xludf.DUMMYFUNCTION("SPLIT(E305,""&gt;"")"),"BitGirls")</f>
        <v>BitGirls</v>
      </c>
      <c r="G305" s="1" t="str">
        <f>IFERROR(__xludf.DUMMYFUNCTION("""COMPUTED_VALUE"""),"Christmas")</f>
        <v>Christmas</v>
      </c>
      <c r="H305" s="1" t="s">
        <v>713</v>
      </c>
      <c r="I305" s="1" t="s">
        <v>636</v>
      </c>
      <c r="J305" s="4">
        <v>42705.0</v>
      </c>
      <c r="K305" s="1">
        <v>1000.0</v>
      </c>
      <c r="L305" s="1">
        <v>1000.0</v>
      </c>
      <c r="M305" s="1">
        <v>15.0</v>
      </c>
      <c r="N305" s="5" t="s">
        <v>713</v>
      </c>
      <c r="P305" s="6" t="str">
        <f>VLOOKUP(D305,'シート2'!A:B, 2, 0)</f>
        <v>@zaifdotjp</v>
      </c>
    </row>
    <row r="306">
      <c r="A306" s="1" t="s">
        <v>749</v>
      </c>
      <c r="B306" s="3" t="s">
        <v>750</v>
      </c>
      <c r="C306" s="1" t="s">
        <v>16</v>
      </c>
      <c r="D306" s="1" t="s">
        <v>713</v>
      </c>
      <c r="E306" s="1" t="s">
        <v>744</v>
      </c>
      <c r="F306" s="1" t="str">
        <f>IFERROR(__xludf.DUMMYFUNCTION("SPLIT(E306,""&gt;"")"),"BitGirls")</f>
        <v>BitGirls</v>
      </c>
      <c r="G306" s="1" t="str">
        <f>IFERROR(__xludf.DUMMYFUNCTION("""COMPUTED_VALUE"""),"Christmas")</f>
        <v>Christmas</v>
      </c>
      <c r="H306" s="1" t="s">
        <v>713</v>
      </c>
      <c r="I306" s="1" t="s">
        <v>636</v>
      </c>
      <c r="J306" s="4">
        <v>42705.0</v>
      </c>
      <c r="K306" s="1">
        <v>1000.0</v>
      </c>
      <c r="L306" s="1">
        <v>1000.0</v>
      </c>
      <c r="M306" s="1">
        <v>16.0</v>
      </c>
      <c r="N306" s="5" t="s">
        <v>713</v>
      </c>
      <c r="P306" s="6" t="str">
        <f>VLOOKUP(D306,'シート2'!A:B, 2, 0)</f>
        <v>@zaifdotjp</v>
      </c>
    </row>
    <row r="307">
      <c r="A307" s="1" t="s">
        <v>751</v>
      </c>
      <c r="B307" s="3" t="s">
        <v>752</v>
      </c>
      <c r="C307" s="1" t="s">
        <v>16</v>
      </c>
      <c r="D307" s="1" t="s">
        <v>713</v>
      </c>
      <c r="E307" s="1" t="s">
        <v>744</v>
      </c>
      <c r="F307" s="1" t="str">
        <f>IFERROR(__xludf.DUMMYFUNCTION("SPLIT(E307,""&gt;"")"),"BitGirls")</f>
        <v>BitGirls</v>
      </c>
      <c r="G307" s="1" t="str">
        <f>IFERROR(__xludf.DUMMYFUNCTION("""COMPUTED_VALUE"""),"Christmas")</f>
        <v>Christmas</v>
      </c>
      <c r="H307" s="1" t="s">
        <v>713</v>
      </c>
      <c r="I307" s="1" t="s">
        <v>636</v>
      </c>
      <c r="J307" s="4">
        <v>42705.0</v>
      </c>
      <c r="K307" s="1">
        <v>1000.0</v>
      </c>
      <c r="L307" s="1">
        <v>1000.0</v>
      </c>
      <c r="M307" s="1">
        <v>17.0</v>
      </c>
      <c r="N307" s="5" t="s">
        <v>713</v>
      </c>
      <c r="P307" s="6" t="str">
        <f>VLOOKUP(D307,'シート2'!A:B, 2, 0)</f>
        <v>@zaifdotjp</v>
      </c>
    </row>
    <row r="308">
      <c r="A308" s="1" t="s">
        <v>753</v>
      </c>
      <c r="B308" s="3" t="s">
        <v>754</v>
      </c>
      <c r="C308" s="1" t="s">
        <v>16</v>
      </c>
      <c r="D308" s="1" t="s">
        <v>713</v>
      </c>
      <c r="E308" s="1" t="s">
        <v>744</v>
      </c>
      <c r="F308" s="1" t="str">
        <f>IFERROR(__xludf.DUMMYFUNCTION("SPLIT(E308,""&gt;"")"),"BitGirls")</f>
        <v>BitGirls</v>
      </c>
      <c r="G308" s="1" t="str">
        <f>IFERROR(__xludf.DUMMYFUNCTION("""COMPUTED_VALUE"""),"Christmas")</f>
        <v>Christmas</v>
      </c>
      <c r="H308" s="1" t="s">
        <v>713</v>
      </c>
      <c r="I308" s="1" t="s">
        <v>636</v>
      </c>
      <c r="J308" s="4">
        <v>42705.0</v>
      </c>
      <c r="K308" s="1">
        <v>1000.0</v>
      </c>
      <c r="L308" s="1">
        <v>1000.0</v>
      </c>
      <c r="M308" s="1">
        <v>18.0</v>
      </c>
      <c r="N308" s="5" t="s">
        <v>713</v>
      </c>
      <c r="P308" s="6" t="str">
        <f>VLOOKUP(D308,'シート2'!A:B, 2, 0)</f>
        <v>@zaifdotjp</v>
      </c>
    </row>
    <row r="309">
      <c r="A309" s="1" t="s">
        <v>755</v>
      </c>
      <c r="B309" s="3" t="s">
        <v>756</v>
      </c>
      <c r="C309" s="1" t="s">
        <v>16</v>
      </c>
      <c r="D309" s="1" t="s">
        <v>84</v>
      </c>
      <c r="E309" s="1" t="s">
        <v>589</v>
      </c>
      <c r="F309" s="1" t="str">
        <f>IFERROR(__xludf.DUMMYFUNCTION("SPLIT(E309,""&gt;"")"),"Japanese Rarepepe")</f>
        <v>Japanese Rarepepe</v>
      </c>
      <c r="G309" s="1" t="str">
        <f>IFERROR(__xludf.DUMMYFUNCTION("""COMPUTED_VALUE"""),"Series 17")</f>
        <v>Series 17</v>
      </c>
      <c r="H309" s="1" t="s">
        <v>84</v>
      </c>
      <c r="I309" s="1" t="s">
        <v>590</v>
      </c>
      <c r="J309" s="4">
        <v>42795.0</v>
      </c>
      <c r="K309" s="1">
        <v>200.0</v>
      </c>
      <c r="L309" s="1">
        <v>200.0</v>
      </c>
      <c r="M309" s="1">
        <v>849.0</v>
      </c>
      <c r="N309" s="6" t="str">
        <f t="shared" ref="N309:N402" si="4">F309 &amp; "🐸"</f>
        <v>Japanese Rarepepe🐸</v>
      </c>
      <c r="P309" s="6" t="str">
        <f>VLOOKUP(D309,'シート2'!A:B, 2, 0)</f>
        <v>@aria_minase</v>
      </c>
    </row>
    <row r="310">
      <c r="A310" s="1" t="s">
        <v>757</v>
      </c>
      <c r="B310" s="3" t="s">
        <v>758</v>
      </c>
      <c r="C310" s="1" t="s">
        <v>16</v>
      </c>
      <c r="D310" s="1" t="s">
        <v>84</v>
      </c>
      <c r="E310" s="1" t="s">
        <v>759</v>
      </c>
      <c r="F310" s="1" t="str">
        <f>IFERROR(__xludf.DUMMYFUNCTION("SPLIT(E310,""&gt;"")"),"Japanese Rarepepe")</f>
        <v>Japanese Rarepepe</v>
      </c>
      <c r="G310" s="1" t="str">
        <f>IFERROR(__xludf.DUMMYFUNCTION("""COMPUTED_VALUE"""),"Series 18")</f>
        <v>Series 18</v>
      </c>
      <c r="H310" s="1" t="s">
        <v>84</v>
      </c>
      <c r="I310" s="1" t="s">
        <v>590</v>
      </c>
      <c r="J310" s="4">
        <v>42795.0</v>
      </c>
      <c r="K310" s="1">
        <v>200.0</v>
      </c>
      <c r="L310" s="1">
        <v>200.0</v>
      </c>
      <c r="M310" s="1">
        <v>859.0</v>
      </c>
      <c r="N310" s="6" t="str">
        <f t="shared" si="4"/>
        <v>Japanese Rarepepe🐸</v>
      </c>
      <c r="P310" s="6" t="str">
        <f>VLOOKUP(D310,'シート2'!A:B, 2, 0)</f>
        <v>@aria_minase</v>
      </c>
    </row>
    <row r="311">
      <c r="A311" s="1" t="s">
        <v>760</v>
      </c>
      <c r="B311" s="3" t="s">
        <v>761</v>
      </c>
      <c r="C311" s="1" t="s">
        <v>16</v>
      </c>
      <c r="D311" s="1" t="s">
        <v>84</v>
      </c>
      <c r="E311" s="1" t="s">
        <v>759</v>
      </c>
      <c r="F311" s="1" t="str">
        <f>IFERROR(__xludf.DUMMYFUNCTION("SPLIT(E311,""&gt;"")"),"Japanese Rarepepe")</f>
        <v>Japanese Rarepepe</v>
      </c>
      <c r="G311" s="1" t="str">
        <f>IFERROR(__xludf.DUMMYFUNCTION("""COMPUTED_VALUE"""),"Series 18")</f>
        <v>Series 18</v>
      </c>
      <c r="H311" s="1" t="s">
        <v>84</v>
      </c>
      <c r="I311" s="1" t="s">
        <v>590</v>
      </c>
      <c r="J311" s="4">
        <v>42795.0</v>
      </c>
      <c r="K311" s="1">
        <v>200.0</v>
      </c>
      <c r="L311" s="1">
        <v>200.0</v>
      </c>
      <c r="M311" s="1">
        <v>871.0</v>
      </c>
      <c r="N311" s="6" t="str">
        <f t="shared" si="4"/>
        <v>Japanese Rarepepe🐸</v>
      </c>
      <c r="P311" s="6" t="str">
        <f>VLOOKUP(D311,'シート2'!A:B, 2, 0)</f>
        <v>@aria_minase</v>
      </c>
    </row>
    <row r="312">
      <c r="A312" s="1" t="s">
        <v>762</v>
      </c>
      <c r="B312" s="3" t="s">
        <v>763</v>
      </c>
      <c r="C312" s="1" t="s">
        <v>16</v>
      </c>
      <c r="D312" s="1" t="s">
        <v>84</v>
      </c>
      <c r="E312" s="1" t="s">
        <v>674</v>
      </c>
      <c r="F312" s="1" t="str">
        <f>IFERROR(__xludf.DUMMYFUNCTION("SPLIT(E312,""&gt;"")"),"Japanese Rarepepe")</f>
        <v>Japanese Rarepepe</v>
      </c>
      <c r="G312" s="1" t="str">
        <f>IFERROR(__xludf.DUMMYFUNCTION("""COMPUTED_VALUE"""),"Series 20")</f>
        <v>Series 20</v>
      </c>
      <c r="H312" s="1" t="s">
        <v>84</v>
      </c>
      <c r="I312" s="1" t="s">
        <v>132</v>
      </c>
      <c r="J312" s="4">
        <v>42856.0</v>
      </c>
      <c r="K312" s="1">
        <v>10000.0</v>
      </c>
      <c r="L312" s="1">
        <v>10000.0</v>
      </c>
      <c r="M312" s="1">
        <v>958.0</v>
      </c>
      <c r="N312" s="6" t="str">
        <f t="shared" si="4"/>
        <v>Japanese Rarepepe🐸</v>
      </c>
      <c r="P312" s="6" t="str">
        <f>VLOOKUP(D312,'シート2'!A:B, 2, 0)</f>
        <v>@aria_minase</v>
      </c>
    </row>
    <row r="313">
      <c r="A313" s="1" t="s">
        <v>764</v>
      </c>
      <c r="B313" s="3" t="s">
        <v>765</v>
      </c>
      <c r="C313" s="1" t="s">
        <v>16</v>
      </c>
      <c r="D313" s="1" t="s">
        <v>76</v>
      </c>
      <c r="E313" s="1" t="s">
        <v>632</v>
      </c>
      <c r="F313" s="1" t="str">
        <f>IFERROR(__xludf.DUMMYFUNCTION("SPLIT(E313,""&gt;"")"),"Japanese Rarepepe")</f>
        <v>Japanese Rarepepe</v>
      </c>
      <c r="G313" s="1" t="str">
        <f>IFERROR(__xludf.DUMMYFUNCTION("""COMPUTED_VALUE"""),"Series 09")</f>
        <v>Series 09</v>
      </c>
      <c r="H313" s="1" t="s">
        <v>76</v>
      </c>
      <c r="I313" s="1" t="s">
        <v>636</v>
      </c>
      <c r="J313" s="4">
        <v>42705.0</v>
      </c>
      <c r="K313" s="1">
        <v>999999.0</v>
      </c>
      <c r="L313" s="1">
        <v>999999.0</v>
      </c>
      <c r="M313" s="1">
        <v>444.0</v>
      </c>
      <c r="N313" s="6" t="str">
        <f t="shared" si="4"/>
        <v>Japanese Rarepepe🐸</v>
      </c>
      <c r="P313" s="6" t="str">
        <f>VLOOKUP(D313,'シート2'!A:B, 2, 0)</f>
        <v>@JapepeneseMan</v>
      </c>
    </row>
    <row r="314">
      <c r="A314" s="1" t="s">
        <v>766</v>
      </c>
      <c r="B314" s="3" t="s">
        <v>767</v>
      </c>
      <c r="C314" s="1" t="s">
        <v>16</v>
      </c>
      <c r="D314" s="1" t="s">
        <v>76</v>
      </c>
      <c r="E314" s="1" t="s">
        <v>635</v>
      </c>
      <c r="F314" s="1" t="str">
        <f>IFERROR(__xludf.DUMMYFUNCTION("SPLIT(E314,""&gt;"")"),"Japanese Rarepepe")</f>
        <v>Japanese Rarepepe</v>
      </c>
      <c r="G314" s="1" t="str">
        <f>IFERROR(__xludf.DUMMYFUNCTION("""COMPUTED_VALUE"""),"Series 10")</f>
        <v>Series 10</v>
      </c>
      <c r="H314" s="1" t="s">
        <v>76</v>
      </c>
      <c r="I314" s="1" t="s">
        <v>636</v>
      </c>
      <c r="J314" s="4">
        <v>42705.0</v>
      </c>
      <c r="K314" s="1">
        <v>999999.0</v>
      </c>
      <c r="L314" s="1">
        <v>999999.0</v>
      </c>
      <c r="M314" s="1">
        <v>455.0</v>
      </c>
      <c r="N314" s="6" t="str">
        <f t="shared" si="4"/>
        <v>Japanese Rarepepe🐸</v>
      </c>
      <c r="P314" s="6" t="str">
        <f>VLOOKUP(D314,'シート2'!A:B, 2, 0)</f>
        <v>@JapepeneseMan</v>
      </c>
    </row>
    <row r="315">
      <c r="A315" s="1" t="s">
        <v>768</v>
      </c>
      <c r="B315" s="3" t="s">
        <v>769</v>
      </c>
      <c r="C315" s="1" t="s">
        <v>16</v>
      </c>
      <c r="D315" s="1" t="s">
        <v>76</v>
      </c>
      <c r="E315" s="1" t="s">
        <v>635</v>
      </c>
      <c r="F315" s="1" t="str">
        <f>IFERROR(__xludf.DUMMYFUNCTION("SPLIT(E315,""&gt;"")"),"Japanese Rarepepe")</f>
        <v>Japanese Rarepepe</v>
      </c>
      <c r="G315" s="1" t="str">
        <f>IFERROR(__xludf.DUMMYFUNCTION("""COMPUTED_VALUE"""),"Series 10")</f>
        <v>Series 10</v>
      </c>
      <c r="H315" s="1" t="s">
        <v>76</v>
      </c>
      <c r="I315" s="1" t="s">
        <v>715</v>
      </c>
      <c r="J315" s="4">
        <v>42736.0</v>
      </c>
      <c r="K315" s="1">
        <v>999999.0</v>
      </c>
      <c r="L315" s="1">
        <v>999999.0</v>
      </c>
      <c r="M315" s="1">
        <v>484.0</v>
      </c>
      <c r="N315" s="6" t="str">
        <f t="shared" si="4"/>
        <v>Japanese Rarepepe🐸</v>
      </c>
      <c r="P315" s="6" t="str">
        <f>VLOOKUP(D315,'シート2'!A:B, 2, 0)</f>
        <v>@JapepeneseMan</v>
      </c>
    </row>
    <row r="316">
      <c r="A316" s="1" t="s">
        <v>770</v>
      </c>
      <c r="B316" s="3" t="s">
        <v>771</v>
      </c>
      <c r="C316" s="1" t="s">
        <v>16</v>
      </c>
      <c r="D316" s="1" t="s">
        <v>76</v>
      </c>
      <c r="E316" s="1" t="s">
        <v>772</v>
      </c>
      <c r="F316" s="1" t="str">
        <f>IFERROR(__xludf.DUMMYFUNCTION("SPLIT(E316,""&gt;"")"),"Japanese Rarepepe")</f>
        <v>Japanese Rarepepe</v>
      </c>
      <c r="G316" s="1" t="str">
        <f>IFERROR(__xludf.DUMMYFUNCTION("""COMPUTED_VALUE"""),"Series 16")</f>
        <v>Series 16</v>
      </c>
      <c r="H316" s="1" t="s">
        <v>76</v>
      </c>
      <c r="I316" s="1" t="s">
        <v>590</v>
      </c>
      <c r="J316" s="4">
        <v>42795.0</v>
      </c>
      <c r="K316" s="1">
        <v>3333.0</v>
      </c>
      <c r="L316" s="1">
        <v>3333.0</v>
      </c>
      <c r="M316" s="1">
        <v>767.0</v>
      </c>
      <c r="N316" s="6" t="str">
        <f t="shared" si="4"/>
        <v>Japanese Rarepepe🐸</v>
      </c>
      <c r="P316" s="6" t="str">
        <f>VLOOKUP(D316,'シート2'!A:B, 2, 0)</f>
        <v>@JapepeneseMan</v>
      </c>
    </row>
    <row r="317">
      <c r="A317" s="1" t="s">
        <v>773</v>
      </c>
      <c r="B317" s="3" t="s">
        <v>774</v>
      </c>
      <c r="C317" s="1" t="s">
        <v>16</v>
      </c>
      <c r="D317" s="1" t="s">
        <v>76</v>
      </c>
      <c r="E317" s="1" t="s">
        <v>674</v>
      </c>
      <c r="F317" s="1" t="str">
        <f>IFERROR(__xludf.DUMMYFUNCTION("SPLIT(E317,""&gt;"")"),"Japanese Rarepepe")</f>
        <v>Japanese Rarepepe</v>
      </c>
      <c r="G317" s="1" t="str">
        <f>IFERROR(__xludf.DUMMYFUNCTION("""COMPUTED_VALUE"""),"Series 20")</f>
        <v>Series 20</v>
      </c>
      <c r="H317" s="1" t="s">
        <v>76</v>
      </c>
      <c r="I317" s="1" t="s">
        <v>132</v>
      </c>
      <c r="J317" s="4">
        <v>42856.0</v>
      </c>
      <c r="K317" s="1">
        <v>3333.0</v>
      </c>
      <c r="L317" s="1">
        <v>3333.0</v>
      </c>
      <c r="M317" s="1">
        <v>956.0</v>
      </c>
      <c r="N317" s="6" t="str">
        <f t="shared" si="4"/>
        <v>Japanese Rarepepe🐸</v>
      </c>
      <c r="P317" s="6" t="str">
        <f>VLOOKUP(D317,'シート2'!A:B, 2, 0)</f>
        <v>@JapepeneseMan</v>
      </c>
    </row>
    <row r="318">
      <c r="A318" s="1" t="s">
        <v>775</v>
      </c>
      <c r="B318" s="3" t="s">
        <v>776</v>
      </c>
      <c r="C318" s="1" t="s">
        <v>16</v>
      </c>
      <c r="D318" s="1" t="s">
        <v>76</v>
      </c>
      <c r="E318" s="1" t="s">
        <v>578</v>
      </c>
      <c r="F318" s="1" t="str">
        <f>IFERROR(__xludf.DUMMYFUNCTION("SPLIT(E318,""&gt;"")"),"Japanese Rarepepe")</f>
        <v>Japanese Rarepepe</v>
      </c>
      <c r="G318" s="1" t="str">
        <f>IFERROR(__xludf.DUMMYFUNCTION("""COMPUTED_VALUE"""),"Series 21")</f>
        <v>Series 21</v>
      </c>
      <c r="H318" s="1" t="s">
        <v>76</v>
      </c>
      <c r="I318" s="1" t="s">
        <v>288</v>
      </c>
      <c r="J318" s="4">
        <v>42917.0</v>
      </c>
      <c r="K318" s="1">
        <v>3333.0</v>
      </c>
      <c r="L318" s="1">
        <v>3333.0</v>
      </c>
      <c r="M318" s="1">
        <v>1004.0</v>
      </c>
      <c r="N318" s="6" t="str">
        <f t="shared" si="4"/>
        <v>Japanese Rarepepe🐸</v>
      </c>
      <c r="P318" s="6" t="str">
        <f>VLOOKUP(D318,'シート2'!A:B, 2, 0)</f>
        <v>@JapepeneseMan</v>
      </c>
    </row>
    <row r="319">
      <c r="A319" s="1" t="s">
        <v>777</v>
      </c>
      <c r="B319" s="3" t="s">
        <v>778</v>
      </c>
      <c r="C319" s="1" t="s">
        <v>16</v>
      </c>
      <c r="D319" s="1" t="s">
        <v>76</v>
      </c>
      <c r="E319" s="1" t="s">
        <v>596</v>
      </c>
      <c r="F319" s="1" t="str">
        <f>IFERROR(__xludf.DUMMYFUNCTION("SPLIT(E319,""&gt;"")"),"Japanese Rarepepe")</f>
        <v>Japanese Rarepepe</v>
      </c>
      <c r="G319" s="1" t="str">
        <f>IFERROR(__xludf.DUMMYFUNCTION("""COMPUTED_VALUE"""),"Series 26")</f>
        <v>Series 26</v>
      </c>
      <c r="H319" s="1" t="s">
        <v>76</v>
      </c>
      <c r="I319" s="1" t="s">
        <v>395</v>
      </c>
      <c r="J319" s="4">
        <v>42948.0</v>
      </c>
      <c r="K319" s="1">
        <v>333.0</v>
      </c>
      <c r="L319" s="1">
        <v>333.0</v>
      </c>
      <c r="M319" s="1">
        <v>1255.0</v>
      </c>
      <c r="N319" s="6" t="str">
        <f t="shared" si="4"/>
        <v>Japanese Rarepepe🐸</v>
      </c>
      <c r="P319" s="6" t="str">
        <f>VLOOKUP(D319,'シート2'!A:B, 2, 0)</f>
        <v>@JapepeneseMan</v>
      </c>
    </row>
    <row r="320">
      <c r="A320" s="1" t="s">
        <v>779</v>
      </c>
      <c r="B320" s="3" t="s">
        <v>780</v>
      </c>
      <c r="C320" s="1" t="s">
        <v>16</v>
      </c>
      <c r="D320" s="1" t="s">
        <v>76</v>
      </c>
      <c r="E320" s="1" t="s">
        <v>781</v>
      </c>
      <c r="F320" s="1" t="str">
        <f>IFERROR(__xludf.DUMMYFUNCTION("SPLIT(E320,""&gt;"")"),"Japanese Rarepepe")</f>
        <v>Japanese Rarepepe</v>
      </c>
      <c r="G320" s="1" t="str">
        <f>IFERROR(__xludf.DUMMYFUNCTION("""COMPUTED_VALUE"""),"Series 32")</f>
        <v>Series 32</v>
      </c>
      <c r="H320" s="1" t="s">
        <v>76</v>
      </c>
      <c r="I320" s="1" t="s">
        <v>782</v>
      </c>
      <c r="J320" s="4">
        <v>43101.0</v>
      </c>
      <c r="K320" s="1">
        <v>300.0</v>
      </c>
      <c r="L320" s="1">
        <v>300.0</v>
      </c>
      <c r="M320" s="1">
        <v>1577.0</v>
      </c>
      <c r="N320" s="6" t="str">
        <f t="shared" si="4"/>
        <v>Japanese Rarepepe🐸</v>
      </c>
      <c r="P320" s="6" t="str">
        <f>VLOOKUP(D320,'シート2'!A:B, 2, 0)</f>
        <v>@JapepeneseMan</v>
      </c>
    </row>
    <row r="321">
      <c r="A321" s="1" t="s">
        <v>783</v>
      </c>
      <c r="B321" s="3" t="s">
        <v>784</v>
      </c>
      <c r="C321" s="1" t="s">
        <v>16</v>
      </c>
      <c r="D321" s="1" t="s">
        <v>89</v>
      </c>
      <c r="E321" s="1" t="s">
        <v>578</v>
      </c>
      <c r="F321" s="1" t="str">
        <f>IFERROR(__xludf.DUMMYFUNCTION("SPLIT(E321,""&gt;"")"),"Japanese Rarepepe")</f>
        <v>Japanese Rarepepe</v>
      </c>
      <c r="G321" s="1" t="str">
        <f>IFERROR(__xludf.DUMMYFUNCTION("""COMPUTED_VALUE"""),"Series 21")</f>
        <v>Series 21</v>
      </c>
      <c r="H321" s="1" t="s">
        <v>89</v>
      </c>
      <c r="I321" s="1" t="s">
        <v>288</v>
      </c>
      <c r="J321" s="4">
        <v>42917.0</v>
      </c>
      <c r="K321" s="1">
        <v>300.0</v>
      </c>
      <c r="L321" s="1">
        <v>300.0</v>
      </c>
      <c r="M321" s="1">
        <v>1047.0</v>
      </c>
      <c r="N321" s="6" t="str">
        <f t="shared" si="4"/>
        <v>Japanese Rarepepe🐸</v>
      </c>
      <c r="P321" s="6" t="str">
        <f>VLOOKUP(D321,'シート2'!A:B, 2, 0)</f>
        <v>@sai33211</v>
      </c>
    </row>
    <row r="322">
      <c r="A322" s="1" t="s">
        <v>785</v>
      </c>
      <c r="B322" s="3" t="s">
        <v>786</v>
      </c>
      <c r="C322" s="1" t="s">
        <v>16</v>
      </c>
      <c r="D322" s="1" t="s">
        <v>89</v>
      </c>
      <c r="E322" s="1" t="s">
        <v>679</v>
      </c>
      <c r="F322" s="1" t="str">
        <f>IFERROR(__xludf.DUMMYFUNCTION("SPLIT(E322,""&gt;"")"),"Japanese Rarepepe")</f>
        <v>Japanese Rarepepe</v>
      </c>
      <c r="G322" s="1" t="str">
        <f>IFERROR(__xludf.DUMMYFUNCTION("""COMPUTED_VALUE"""),"Series 23")</f>
        <v>Series 23</v>
      </c>
      <c r="H322" s="1" t="s">
        <v>89</v>
      </c>
      <c r="I322" s="1" t="s">
        <v>787</v>
      </c>
      <c r="J322" s="4">
        <v>42917.0</v>
      </c>
      <c r="K322" s="1">
        <v>200.0</v>
      </c>
      <c r="L322" s="1">
        <v>200.0</v>
      </c>
      <c r="M322" s="1">
        <v>1116.0</v>
      </c>
      <c r="N322" s="6" t="str">
        <f t="shared" si="4"/>
        <v>Japanese Rarepepe🐸</v>
      </c>
      <c r="P322" s="6" t="str">
        <f>VLOOKUP(D322,'シート2'!A:B, 2, 0)</f>
        <v>@sai33211</v>
      </c>
    </row>
    <row r="323">
      <c r="A323" s="1" t="s">
        <v>788</v>
      </c>
      <c r="B323" s="3" t="s">
        <v>789</v>
      </c>
      <c r="C323" s="1" t="s">
        <v>16</v>
      </c>
      <c r="D323" s="1" t="s">
        <v>89</v>
      </c>
      <c r="E323" s="1" t="s">
        <v>581</v>
      </c>
      <c r="F323" s="1" t="str">
        <f>IFERROR(__xludf.DUMMYFUNCTION("SPLIT(E323,""&gt;"")"),"Japanese Rarepepe")</f>
        <v>Japanese Rarepepe</v>
      </c>
      <c r="G323" s="1" t="str">
        <f>IFERROR(__xludf.DUMMYFUNCTION("""COMPUTED_VALUE"""),"Series 24")</f>
        <v>Series 24</v>
      </c>
      <c r="H323" s="1" t="s">
        <v>89</v>
      </c>
      <c r="I323" s="1" t="s">
        <v>288</v>
      </c>
      <c r="J323" s="4">
        <v>42917.0</v>
      </c>
      <c r="K323" s="1">
        <v>300.0</v>
      </c>
      <c r="L323" s="1">
        <v>300.0</v>
      </c>
      <c r="M323" s="1">
        <v>1159.0</v>
      </c>
      <c r="N323" s="6" t="str">
        <f t="shared" si="4"/>
        <v>Japanese Rarepepe🐸</v>
      </c>
      <c r="P323" s="6" t="str">
        <f>VLOOKUP(D323,'シート2'!A:B, 2, 0)</f>
        <v>@sai33211</v>
      </c>
    </row>
    <row r="324">
      <c r="A324" s="1" t="s">
        <v>790</v>
      </c>
      <c r="B324" s="3" t="s">
        <v>791</v>
      </c>
      <c r="C324" s="1" t="s">
        <v>16</v>
      </c>
      <c r="D324" s="1" t="s">
        <v>89</v>
      </c>
      <c r="E324" s="1" t="s">
        <v>792</v>
      </c>
      <c r="F324" s="1" t="str">
        <f>IFERROR(__xludf.DUMMYFUNCTION("SPLIT(E324,""&gt;"")"),"Japanese Rarepepe")</f>
        <v>Japanese Rarepepe</v>
      </c>
      <c r="G324" s="1" t="str">
        <f>IFERROR(__xludf.DUMMYFUNCTION("""COMPUTED_VALUE"""),"Series 25")</f>
        <v>Series 25</v>
      </c>
      <c r="H324" s="1" t="s">
        <v>89</v>
      </c>
      <c r="I324" s="1" t="s">
        <v>395</v>
      </c>
      <c r="J324" s="4">
        <v>42948.0</v>
      </c>
      <c r="K324" s="1">
        <v>300.0</v>
      </c>
      <c r="L324" s="1">
        <v>300.0</v>
      </c>
      <c r="M324" s="1">
        <v>1224.0</v>
      </c>
      <c r="N324" s="6" t="str">
        <f t="shared" si="4"/>
        <v>Japanese Rarepepe🐸</v>
      </c>
      <c r="P324" s="6" t="str">
        <f>VLOOKUP(D324,'シート2'!A:B, 2, 0)</f>
        <v>@sai33211</v>
      </c>
    </row>
    <row r="325">
      <c r="A325" s="1" t="s">
        <v>793</v>
      </c>
      <c r="B325" s="3" t="s">
        <v>794</v>
      </c>
      <c r="C325" s="1" t="s">
        <v>16</v>
      </c>
      <c r="D325" s="1" t="s">
        <v>89</v>
      </c>
      <c r="E325" s="1" t="s">
        <v>596</v>
      </c>
      <c r="F325" s="1" t="str">
        <f>IFERROR(__xludf.DUMMYFUNCTION("SPLIT(E325,""&gt;"")"),"Japanese Rarepepe")</f>
        <v>Japanese Rarepepe</v>
      </c>
      <c r="G325" s="1" t="str">
        <f>IFERROR(__xludf.DUMMYFUNCTION("""COMPUTED_VALUE"""),"Series 26")</f>
        <v>Series 26</v>
      </c>
      <c r="H325" s="1" t="s">
        <v>89</v>
      </c>
      <c r="I325" s="1" t="s">
        <v>395</v>
      </c>
      <c r="J325" s="4">
        <v>42948.0</v>
      </c>
      <c r="K325" s="1">
        <v>222.0</v>
      </c>
      <c r="L325" s="1">
        <v>222.0</v>
      </c>
      <c r="M325" s="1">
        <v>1295.0</v>
      </c>
      <c r="N325" s="6" t="str">
        <f t="shared" si="4"/>
        <v>Japanese Rarepepe🐸</v>
      </c>
      <c r="P325" s="6" t="str">
        <f>VLOOKUP(D325,'シート2'!A:B, 2, 0)</f>
        <v>@sai33211</v>
      </c>
    </row>
    <row r="326">
      <c r="A326" s="1" t="s">
        <v>795</v>
      </c>
      <c r="B326" s="3" t="s">
        <v>796</v>
      </c>
      <c r="C326" s="1" t="s">
        <v>16</v>
      </c>
      <c r="D326" s="1" t="s">
        <v>89</v>
      </c>
      <c r="E326" s="1" t="s">
        <v>797</v>
      </c>
      <c r="F326" s="1" t="str">
        <f>IFERROR(__xludf.DUMMYFUNCTION("SPLIT(E326,""&gt;"")"),"Japanese Rarepepe")</f>
        <v>Japanese Rarepepe</v>
      </c>
      <c r="G326" s="1" t="str">
        <f>IFERROR(__xludf.DUMMYFUNCTION("""COMPUTED_VALUE"""),"Series 30")</f>
        <v>Series 30</v>
      </c>
      <c r="H326" s="1" t="s">
        <v>89</v>
      </c>
      <c r="I326" s="1" t="s">
        <v>798</v>
      </c>
      <c r="J326" s="4">
        <v>43009.0</v>
      </c>
      <c r="K326" s="1">
        <v>300.0</v>
      </c>
      <c r="L326" s="1">
        <v>121.0</v>
      </c>
      <c r="M326" s="1">
        <v>1494.0</v>
      </c>
      <c r="N326" s="6" t="str">
        <f t="shared" si="4"/>
        <v>Japanese Rarepepe🐸</v>
      </c>
      <c r="P326" s="6" t="str">
        <f>VLOOKUP(D326,'シート2'!A:B, 2, 0)</f>
        <v>@sai33211</v>
      </c>
    </row>
    <row r="327">
      <c r="A327" s="1" t="s">
        <v>799</v>
      </c>
      <c r="B327" s="3" t="s">
        <v>800</v>
      </c>
      <c r="C327" s="1" t="s">
        <v>16</v>
      </c>
      <c r="D327" s="1" t="s">
        <v>92</v>
      </c>
      <c r="E327" s="1" t="s">
        <v>612</v>
      </c>
      <c r="F327" s="1" t="str">
        <f>IFERROR(__xludf.DUMMYFUNCTION("SPLIT(E327,""&gt;"")"),"Japanese Rarepepe")</f>
        <v>Japanese Rarepepe</v>
      </c>
      <c r="G327" s="1" t="str">
        <f>IFERROR(__xludf.DUMMYFUNCTION("""COMPUTED_VALUE"""),"Series 06")</f>
        <v>Series 06</v>
      </c>
      <c r="H327" s="1" t="s">
        <v>92</v>
      </c>
      <c r="I327" s="1" t="s">
        <v>609</v>
      </c>
      <c r="J327" s="4">
        <v>42644.0</v>
      </c>
      <c r="K327" s="1">
        <v>1927.0</v>
      </c>
      <c r="L327" s="1">
        <v>1927.0</v>
      </c>
      <c r="M327" s="1">
        <v>294.0</v>
      </c>
      <c r="N327" s="6" t="str">
        <f t="shared" si="4"/>
        <v>Japanese Rarepepe🐸</v>
      </c>
      <c r="P327" s="6" t="str">
        <f>VLOOKUP(D327,'シート2'!A:B, 2, 0)</f>
        <v>@Myon9</v>
      </c>
    </row>
    <row r="328">
      <c r="A328" s="1" t="s">
        <v>801</v>
      </c>
      <c r="B328" s="3" t="s">
        <v>802</v>
      </c>
      <c r="C328" s="1" t="s">
        <v>16</v>
      </c>
      <c r="D328" s="1" t="s">
        <v>92</v>
      </c>
      <c r="E328" s="1" t="s">
        <v>665</v>
      </c>
      <c r="F328" s="1" t="str">
        <f>IFERROR(__xludf.DUMMYFUNCTION("SPLIT(E328,""&gt;"")"),"Japanese Rarepepe")</f>
        <v>Japanese Rarepepe</v>
      </c>
      <c r="G328" s="1" t="str">
        <f>IFERROR(__xludf.DUMMYFUNCTION("""COMPUTED_VALUE"""),"Series 12")</f>
        <v>Series 12</v>
      </c>
      <c r="H328" s="1" t="s">
        <v>92</v>
      </c>
      <c r="I328" s="1" t="s">
        <v>666</v>
      </c>
      <c r="J328" s="4">
        <v>42767.0</v>
      </c>
      <c r="K328" s="1">
        <v>666.0</v>
      </c>
      <c r="L328" s="1">
        <v>666.0</v>
      </c>
      <c r="M328" s="1">
        <v>596.0</v>
      </c>
      <c r="N328" s="6" t="str">
        <f t="shared" si="4"/>
        <v>Japanese Rarepepe🐸</v>
      </c>
      <c r="P328" s="6" t="str">
        <f>VLOOKUP(D328,'シート2'!A:B, 2, 0)</f>
        <v>@Myon9</v>
      </c>
    </row>
    <row r="329">
      <c r="A329" s="1" t="s">
        <v>803</v>
      </c>
      <c r="B329" s="3" t="s">
        <v>804</v>
      </c>
      <c r="C329" s="1" t="s">
        <v>16</v>
      </c>
      <c r="D329" s="1" t="s">
        <v>95</v>
      </c>
      <c r="E329" s="1" t="s">
        <v>581</v>
      </c>
      <c r="F329" s="1" t="str">
        <f>IFERROR(__xludf.DUMMYFUNCTION("SPLIT(E329,""&gt;"")"),"Japanese Rarepepe")</f>
        <v>Japanese Rarepepe</v>
      </c>
      <c r="G329" s="1" t="str">
        <f>IFERROR(__xludf.DUMMYFUNCTION("""COMPUTED_VALUE"""),"Series 24")</f>
        <v>Series 24</v>
      </c>
      <c r="H329" s="1" t="s">
        <v>95</v>
      </c>
      <c r="I329" s="1" t="s">
        <v>288</v>
      </c>
      <c r="J329" s="4">
        <v>42917.0</v>
      </c>
      <c r="K329" s="1">
        <v>300.0</v>
      </c>
      <c r="L329" s="1">
        <v>300.0</v>
      </c>
      <c r="M329" s="1">
        <v>1177.0</v>
      </c>
      <c r="N329" s="6" t="str">
        <f t="shared" si="4"/>
        <v>Japanese Rarepepe🐸</v>
      </c>
      <c r="P329" s="6" t="str">
        <f>VLOOKUP(D329,'シート2'!A:B, 2, 0)</f>
        <v>@SmartSpaceDogs</v>
      </c>
    </row>
    <row r="330">
      <c r="A330" s="1" t="s">
        <v>805</v>
      </c>
      <c r="B330" s="3" t="s">
        <v>806</v>
      </c>
      <c r="C330" s="1" t="s">
        <v>16</v>
      </c>
      <c r="D330" s="1" t="s">
        <v>95</v>
      </c>
      <c r="E330" s="1" t="s">
        <v>581</v>
      </c>
      <c r="F330" s="1" t="str">
        <f>IFERROR(__xludf.DUMMYFUNCTION("SPLIT(E330,""&gt;"")"),"Japanese Rarepepe")</f>
        <v>Japanese Rarepepe</v>
      </c>
      <c r="G330" s="1" t="str">
        <f>IFERROR(__xludf.DUMMYFUNCTION("""COMPUTED_VALUE"""),"Series 24")</f>
        <v>Series 24</v>
      </c>
      <c r="H330" s="1" t="s">
        <v>95</v>
      </c>
      <c r="I330" s="1" t="s">
        <v>288</v>
      </c>
      <c r="J330" s="4">
        <v>42917.0</v>
      </c>
      <c r="K330" s="1">
        <v>300.0</v>
      </c>
      <c r="L330" s="1">
        <v>300.0</v>
      </c>
      <c r="M330" s="1">
        <v>1188.0</v>
      </c>
      <c r="N330" s="6" t="str">
        <f t="shared" si="4"/>
        <v>Japanese Rarepepe🐸</v>
      </c>
      <c r="P330" s="6" t="str">
        <f>VLOOKUP(D330,'シート2'!A:B, 2, 0)</f>
        <v>@SmartSpaceDogs</v>
      </c>
    </row>
    <row r="331">
      <c r="A331" s="1" t="s">
        <v>807</v>
      </c>
      <c r="B331" s="3" t="s">
        <v>808</v>
      </c>
      <c r="C331" s="1" t="s">
        <v>16</v>
      </c>
      <c r="D331" s="1" t="s">
        <v>95</v>
      </c>
      <c r="E331" s="1" t="s">
        <v>596</v>
      </c>
      <c r="F331" s="1" t="str">
        <f>IFERROR(__xludf.DUMMYFUNCTION("SPLIT(E331,""&gt;"")"),"Japanese Rarepepe")</f>
        <v>Japanese Rarepepe</v>
      </c>
      <c r="G331" s="1" t="str">
        <f>IFERROR(__xludf.DUMMYFUNCTION("""COMPUTED_VALUE"""),"Series 26")</f>
        <v>Series 26</v>
      </c>
      <c r="H331" s="1" t="s">
        <v>95</v>
      </c>
      <c r="I331" s="1" t="s">
        <v>395</v>
      </c>
      <c r="J331" s="4">
        <v>42948.0</v>
      </c>
      <c r="K331" s="1">
        <v>300.0</v>
      </c>
      <c r="L331" s="1">
        <v>300.0</v>
      </c>
      <c r="M331" s="1">
        <v>1268.0</v>
      </c>
      <c r="N331" s="6" t="str">
        <f t="shared" si="4"/>
        <v>Japanese Rarepepe🐸</v>
      </c>
      <c r="P331" s="6" t="str">
        <f>VLOOKUP(D331,'シート2'!A:B, 2, 0)</f>
        <v>@SmartSpaceDogs</v>
      </c>
    </row>
    <row r="332">
      <c r="A332" s="1" t="s">
        <v>809</v>
      </c>
      <c r="B332" s="3" t="s">
        <v>810</v>
      </c>
      <c r="C332" s="1" t="s">
        <v>16</v>
      </c>
      <c r="D332" s="1" t="s">
        <v>95</v>
      </c>
      <c r="E332" s="1" t="s">
        <v>596</v>
      </c>
      <c r="F332" s="1" t="str">
        <f>IFERROR(__xludf.DUMMYFUNCTION("SPLIT(E332,""&gt;"")"),"Japanese Rarepepe")</f>
        <v>Japanese Rarepepe</v>
      </c>
      <c r="G332" s="1" t="str">
        <f>IFERROR(__xludf.DUMMYFUNCTION("""COMPUTED_VALUE"""),"Series 26")</f>
        <v>Series 26</v>
      </c>
      <c r="H332" s="1" t="s">
        <v>95</v>
      </c>
      <c r="I332" s="1" t="s">
        <v>395</v>
      </c>
      <c r="J332" s="4">
        <v>42948.0</v>
      </c>
      <c r="K332" s="1">
        <v>300.0</v>
      </c>
      <c r="L332" s="1">
        <v>300.0</v>
      </c>
      <c r="M332" s="1">
        <v>1291.0</v>
      </c>
      <c r="N332" s="6" t="str">
        <f t="shared" si="4"/>
        <v>Japanese Rarepepe🐸</v>
      </c>
      <c r="P332" s="6" t="str">
        <f>VLOOKUP(D332,'シート2'!A:B, 2, 0)</f>
        <v>@SmartSpaceDogs</v>
      </c>
    </row>
    <row r="333">
      <c r="A333" s="1" t="s">
        <v>811</v>
      </c>
      <c r="B333" s="3" t="s">
        <v>812</v>
      </c>
      <c r="C333" s="1" t="s">
        <v>16</v>
      </c>
      <c r="D333" s="1" t="s">
        <v>95</v>
      </c>
      <c r="E333" s="1" t="s">
        <v>813</v>
      </c>
      <c r="F333" s="1" t="str">
        <f>IFERROR(__xludf.DUMMYFUNCTION("SPLIT(E333,""&gt;"")"),"Japanese Rarepepe")</f>
        <v>Japanese Rarepepe</v>
      </c>
      <c r="G333" s="1" t="str">
        <f>IFERROR(__xludf.DUMMYFUNCTION("""COMPUTED_VALUE"""),"Series 31")</f>
        <v>Series 31</v>
      </c>
      <c r="H333" s="1" t="s">
        <v>95</v>
      </c>
      <c r="I333" s="1" t="s">
        <v>782</v>
      </c>
      <c r="J333" s="4">
        <v>43101.0</v>
      </c>
      <c r="K333" s="1">
        <v>300.0</v>
      </c>
      <c r="L333" s="1">
        <v>300.0</v>
      </c>
      <c r="M333" s="1">
        <v>1524.0</v>
      </c>
      <c r="N333" s="6" t="str">
        <f t="shared" si="4"/>
        <v>Japanese Rarepepe🐸</v>
      </c>
      <c r="P333" s="6" t="str">
        <f>VLOOKUP(D333,'シート2'!A:B, 2, 0)</f>
        <v>@SmartSpaceDogs</v>
      </c>
    </row>
    <row r="334">
      <c r="A334" s="1" t="s">
        <v>814</v>
      </c>
      <c r="B334" s="3" t="s">
        <v>815</v>
      </c>
      <c r="C334" s="1" t="s">
        <v>16</v>
      </c>
      <c r="D334" s="1" t="s">
        <v>95</v>
      </c>
      <c r="E334" s="1" t="s">
        <v>816</v>
      </c>
      <c r="F334" s="1" t="str">
        <f>IFERROR(__xludf.DUMMYFUNCTION("SPLIT(E334,""&gt;"")"),"Japanese Rarepepe")</f>
        <v>Japanese Rarepepe</v>
      </c>
      <c r="G334" s="1" t="str">
        <f>IFERROR(__xludf.DUMMYFUNCTION("""COMPUTED_VALUE"""),"Series 33")</f>
        <v>Series 33</v>
      </c>
      <c r="H334" s="1" t="s">
        <v>95</v>
      </c>
      <c r="I334" s="1" t="s">
        <v>817</v>
      </c>
      <c r="J334" s="4">
        <v>43132.0</v>
      </c>
      <c r="K334" s="1">
        <v>100.0</v>
      </c>
      <c r="L334" s="1">
        <v>100.0</v>
      </c>
      <c r="M334" s="1">
        <v>1628.0</v>
      </c>
      <c r="N334" s="6" t="str">
        <f t="shared" si="4"/>
        <v>Japanese Rarepepe🐸</v>
      </c>
      <c r="P334" s="6" t="str">
        <f>VLOOKUP(D334,'シート2'!A:B, 2, 0)</f>
        <v>@SmartSpaceDogs</v>
      </c>
    </row>
    <row r="335">
      <c r="A335" s="1" t="s">
        <v>818</v>
      </c>
      <c r="B335" s="3" t="s">
        <v>819</v>
      </c>
      <c r="C335" s="1" t="s">
        <v>16</v>
      </c>
      <c r="D335" s="1" t="s">
        <v>95</v>
      </c>
      <c r="E335" s="1" t="s">
        <v>816</v>
      </c>
      <c r="F335" s="1" t="str">
        <f>IFERROR(__xludf.DUMMYFUNCTION("SPLIT(E335,""&gt;"")"),"Japanese Rarepepe")</f>
        <v>Japanese Rarepepe</v>
      </c>
      <c r="G335" s="1" t="str">
        <f>IFERROR(__xludf.DUMMYFUNCTION("""COMPUTED_VALUE"""),"Series 33")</f>
        <v>Series 33</v>
      </c>
      <c r="H335" s="1" t="s">
        <v>95</v>
      </c>
      <c r="I335" s="1" t="s">
        <v>817</v>
      </c>
      <c r="J335" s="4">
        <v>43132.0</v>
      </c>
      <c r="K335" s="1">
        <v>100.0</v>
      </c>
      <c r="L335" s="1">
        <v>100.0</v>
      </c>
      <c r="M335" s="1">
        <v>1642.0</v>
      </c>
      <c r="N335" s="6" t="str">
        <f t="shared" si="4"/>
        <v>Japanese Rarepepe🐸</v>
      </c>
      <c r="P335" s="6" t="str">
        <f>VLOOKUP(D335,'シート2'!A:B, 2, 0)</f>
        <v>@SmartSpaceDogs</v>
      </c>
    </row>
    <row r="336">
      <c r="A336" s="1" t="s">
        <v>820</v>
      </c>
      <c r="B336" s="3" t="s">
        <v>821</v>
      </c>
      <c r="C336" s="1" t="s">
        <v>16</v>
      </c>
      <c r="D336" s="1" t="s">
        <v>95</v>
      </c>
      <c r="E336" s="1" t="s">
        <v>822</v>
      </c>
      <c r="F336" s="1" t="str">
        <f>IFERROR(__xludf.DUMMYFUNCTION("SPLIT(E336,""&gt;"")"),"Japanese Rarepepe")</f>
        <v>Japanese Rarepepe</v>
      </c>
      <c r="G336" s="1" t="str">
        <f>IFERROR(__xludf.DUMMYFUNCTION("""COMPUTED_VALUE"""),"Series 35")</f>
        <v>Series 35</v>
      </c>
      <c r="H336" s="1" t="s">
        <v>95</v>
      </c>
      <c r="I336" s="1" t="s">
        <v>823</v>
      </c>
      <c r="J336" s="4">
        <v>43160.0</v>
      </c>
      <c r="K336" s="1">
        <v>300.0</v>
      </c>
      <c r="L336" s="1">
        <v>300.0</v>
      </c>
      <c r="M336" s="1">
        <v>1711.0</v>
      </c>
      <c r="N336" s="6" t="str">
        <f t="shared" si="4"/>
        <v>Japanese Rarepepe🐸</v>
      </c>
      <c r="P336" s="6" t="str">
        <f>VLOOKUP(D336,'シート2'!A:B, 2, 0)</f>
        <v>@SmartSpaceDogs</v>
      </c>
    </row>
    <row r="337">
      <c r="A337" s="1" t="s">
        <v>824</v>
      </c>
      <c r="B337" s="3" t="s">
        <v>825</v>
      </c>
      <c r="C337" s="1" t="s">
        <v>16</v>
      </c>
      <c r="D337" s="1" t="s">
        <v>95</v>
      </c>
      <c r="E337" s="1" t="s">
        <v>826</v>
      </c>
      <c r="F337" s="1" t="str">
        <f>IFERROR(__xludf.DUMMYFUNCTION("SPLIT(E337,""&gt;"")"),"Japanese Rarepepe")</f>
        <v>Japanese Rarepepe</v>
      </c>
      <c r="G337" s="1" t="str">
        <f>IFERROR(__xludf.DUMMYFUNCTION("""COMPUTED_VALUE"""),"Series 36")</f>
        <v>Series 36</v>
      </c>
      <c r="H337" s="1" t="s">
        <v>95</v>
      </c>
      <c r="I337" s="1" t="s">
        <v>823</v>
      </c>
      <c r="J337" s="4">
        <v>43160.0</v>
      </c>
      <c r="K337" s="1">
        <v>300.0</v>
      </c>
      <c r="L337" s="1">
        <v>300.0</v>
      </c>
      <c r="M337" s="1">
        <v>1765.0</v>
      </c>
      <c r="N337" s="6" t="str">
        <f t="shared" si="4"/>
        <v>Japanese Rarepepe🐸</v>
      </c>
      <c r="P337" s="6" t="str">
        <f>VLOOKUP(D337,'シート2'!A:B, 2, 0)</f>
        <v>@SmartSpaceDogs</v>
      </c>
    </row>
    <row r="338">
      <c r="A338" s="1" t="s">
        <v>827</v>
      </c>
      <c r="B338" s="3" t="s">
        <v>828</v>
      </c>
      <c r="C338" s="1" t="s">
        <v>16</v>
      </c>
      <c r="D338" s="1" t="s">
        <v>23</v>
      </c>
      <c r="E338" s="1" t="s">
        <v>617</v>
      </c>
      <c r="F338" s="1" t="str">
        <f>IFERROR(__xludf.DUMMYFUNCTION("SPLIT(E338,""&gt;"")"),"Japanese Rarepepe")</f>
        <v>Japanese Rarepepe</v>
      </c>
      <c r="G338" s="1" t="str">
        <f>IFERROR(__xludf.DUMMYFUNCTION("""COMPUTED_VALUE"""),"Series 07")</f>
        <v>Series 07</v>
      </c>
      <c r="H338" s="1" t="s">
        <v>23</v>
      </c>
      <c r="I338" s="1" t="s">
        <v>622</v>
      </c>
      <c r="J338" s="4">
        <v>42675.0</v>
      </c>
      <c r="K338" s="1">
        <v>216.0</v>
      </c>
      <c r="L338" s="1">
        <v>216.0</v>
      </c>
      <c r="M338" s="1">
        <v>347.0</v>
      </c>
      <c r="N338" s="6" t="str">
        <f t="shared" si="4"/>
        <v>Japanese Rarepepe🐸</v>
      </c>
      <c r="P338" s="6" t="str">
        <f>VLOOKUP(D338,'シート2'!A:B, 2, 0)</f>
        <v>@ChunriMD</v>
      </c>
    </row>
    <row r="339">
      <c r="A339" s="1" t="s">
        <v>829</v>
      </c>
      <c r="B339" s="3" t="s">
        <v>830</v>
      </c>
      <c r="C339" s="1" t="s">
        <v>16</v>
      </c>
      <c r="D339" s="1" t="s">
        <v>23</v>
      </c>
      <c r="E339" s="1" t="s">
        <v>625</v>
      </c>
      <c r="F339" s="1" t="str">
        <f>IFERROR(__xludf.DUMMYFUNCTION("SPLIT(E339,""&gt;"")"),"Japanese Rarepepe")</f>
        <v>Japanese Rarepepe</v>
      </c>
      <c r="G339" s="1" t="str">
        <f>IFERROR(__xludf.DUMMYFUNCTION("""COMPUTED_VALUE"""),"Series 08")</f>
        <v>Series 08</v>
      </c>
      <c r="H339" s="1" t="s">
        <v>23</v>
      </c>
      <c r="I339" s="1" t="s">
        <v>622</v>
      </c>
      <c r="J339" s="4">
        <v>42675.0</v>
      </c>
      <c r="K339" s="1">
        <v>216.0</v>
      </c>
      <c r="L339" s="1">
        <v>216.0</v>
      </c>
      <c r="M339" s="1">
        <v>357.0</v>
      </c>
      <c r="N339" s="6" t="str">
        <f t="shared" si="4"/>
        <v>Japanese Rarepepe🐸</v>
      </c>
      <c r="P339" s="6" t="str">
        <f>VLOOKUP(D339,'シート2'!A:B, 2, 0)</f>
        <v>@ChunriMD</v>
      </c>
    </row>
    <row r="340">
      <c r="A340" s="1" t="s">
        <v>831</v>
      </c>
      <c r="B340" s="3" t="s">
        <v>832</v>
      </c>
      <c r="C340" s="1" t="s">
        <v>16</v>
      </c>
      <c r="D340" s="1" t="s">
        <v>23</v>
      </c>
      <c r="E340" s="1" t="s">
        <v>632</v>
      </c>
      <c r="F340" s="1" t="str">
        <f>IFERROR(__xludf.DUMMYFUNCTION("SPLIT(E340,""&gt;"")"),"Japanese Rarepepe")</f>
        <v>Japanese Rarepepe</v>
      </c>
      <c r="G340" s="1" t="str">
        <f>IFERROR(__xludf.DUMMYFUNCTION("""COMPUTED_VALUE"""),"Series 09")</f>
        <v>Series 09</v>
      </c>
      <c r="H340" s="1" t="s">
        <v>23</v>
      </c>
      <c r="I340" s="1" t="s">
        <v>636</v>
      </c>
      <c r="J340" s="4">
        <v>42705.0</v>
      </c>
      <c r="K340" s="1">
        <v>216.0</v>
      </c>
      <c r="L340" s="1">
        <v>216.0</v>
      </c>
      <c r="M340" s="1">
        <v>434.0</v>
      </c>
      <c r="N340" s="6" t="str">
        <f t="shared" si="4"/>
        <v>Japanese Rarepepe🐸</v>
      </c>
      <c r="P340" s="6" t="str">
        <f>VLOOKUP(D340,'シート2'!A:B, 2, 0)</f>
        <v>@ChunriMD</v>
      </c>
    </row>
    <row r="341">
      <c r="A341" s="1" t="s">
        <v>833</v>
      </c>
      <c r="B341" s="3" t="s">
        <v>834</v>
      </c>
      <c r="C341" s="1" t="s">
        <v>16</v>
      </c>
      <c r="D341" s="1" t="s">
        <v>23</v>
      </c>
      <c r="E341" s="1" t="s">
        <v>635</v>
      </c>
      <c r="F341" s="1" t="str">
        <f>IFERROR(__xludf.DUMMYFUNCTION("SPLIT(E341,""&gt;"")"),"Japanese Rarepepe")</f>
        <v>Japanese Rarepepe</v>
      </c>
      <c r="G341" s="1" t="str">
        <f>IFERROR(__xludf.DUMMYFUNCTION("""COMPUTED_VALUE"""),"Series 10")</f>
        <v>Series 10</v>
      </c>
      <c r="H341" s="1" t="s">
        <v>23</v>
      </c>
      <c r="I341" s="1" t="s">
        <v>636</v>
      </c>
      <c r="J341" s="4">
        <v>42705.0</v>
      </c>
      <c r="K341" s="1">
        <v>108.0</v>
      </c>
      <c r="L341" s="1">
        <v>18.0</v>
      </c>
      <c r="M341" s="1">
        <v>452.0</v>
      </c>
      <c r="N341" s="6" t="str">
        <f t="shared" si="4"/>
        <v>Japanese Rarepepe🐸</v>
      </c>
      <c r="P341" s="6" t="str">
        <f>VLOOKUP(D341,'シート2'!A:B, 2, 0)</f>
        <v>@ChunriMD</v>
      </c>
    </row>
    <row r="342">
      <c r="A342" s="1" t="s">
        <v>835</v>
      </c>
      <c r="B342" s="3" t="s">
        <v>836</v>
      </c>
      <c r="C342" s="1" t="s">
        <v>16</v>
      </c>
      <c r="D342" s="1" t="s">
        <v>23</v>
      </c>
      <c r="E342" s="1" t="s">
        <v>635</v>
      </c>
      <c r="F342" s="1" t="str">
        <f>IFERROR(__xludf.DUMMYFUNCTION("SPLIT(E342,""&gt;"")"),"Japanese Rarepepe")</f>
        <v>Japanese Rarepepe</v>
      </c>
      <c r="G342" s="1" t="str">
        <f>IFERROR(__xludf.DUMMYFUNCTION("""COMPUTED_VALUE"""),"Series 10")</f>
        <v>Series 10</v>
      </c>
      <c r="H342" s="1" t="s">
        <v>23</v>
      </c>
      <c r="I342" s="1" t="s">
        <v>715</v>
      </c>
      <c r="J342" s="4">
        <v>42736.0</v>
      </c>
      <c r="K342" s="1">
        <v>3333.0</v>
      </c>
      <c r="L342" s="1">
        <v>3332.0</v>
      </c>
      <c r="M342" s="1">
        <v>480.0</v>
      </c>
      <c r="N342" s="6" t="str">
        <f t="shared" si="4"/>
        <v>Japanese Rarepepe🐸</v>
      </c>
      <c r="P342" s="6" t="str">
        <f>VLOOKUP(D342,'シート2'!A:B, 2, 0)</f>
        <v>@ChunriMD</v>
      </c>
    </row>
    <row r="343">
      <c r="A343" s="1" t="s">
        <v>837</v>
      </c>
      <c r="B343" s="3" t="s">
        <v>838</v>
      </c>
      <c r="C343" s="1" t="s">
        <v>16</v>
      </c>
      <c r="D343" s="1" t="s">
        <v>23</v>
      </c>
      <c r="E343" s="1" t="s">
        <v>674</v>
      </c>
      <c r="F343" s="1" t="str">
        <f>IFERROR(__xludf.DUMMYFUNCTION("SPLIT(E343,""&gt;"")"),"Japanese Rarepepe")</f>
        <v>Japanese Rarepepe</v>
      </c>
      <c r="G343" s="1" t="str">
        <f>IFERROR(__xludf.DUMMYFUNCTION("""COMPUTED_VALUE"""),"Series 20")</f>
        <v>Series 20</v>
      </c>
      <c r="H343" s="1" t="s">
        <v>23</v>
      </c>
      <c r="I343" s="1" t="s">
        <v>132</v>
      </c>
      <c r="J343" s="4">
        <v>42856.0</v>
      </c>
      <c r="K343" s="1">
        <v>500.0</v>
      </c>
      <c r="L343" s="1">
        <v>101.0</v>
      </c>
      <c r="M343" s="1">
        <v>998.0</v>
      </c>
      <c r="N343" s="6" t="str">
        <f t="shared" si="4"/>
        <v>Japanese Rarepepe🐸</v>
      </c>
      <c r="P343" s="6" t="str">
        <f>VLOOKUP(D343,'シート2'!A:B, 2, 0)</f>
        <v>@ChunriMD</v>
      </c>
    </row>
    <row r="344">
      <c r="A344" s="1" t="s">
        <v>839</v>
      </c>
      <c r="B344" s="3" t="s">
        <v>840</v>
      </c>
      <c r="C344" s="1" t="s">
        <v>16</v>
      </c>
      <c r="D344" s="1" t="s">
        <v>23</v>
      </c>
      <c r="E344" s="1" t="s">
        <v>679</v>
      </c>
      <c r="F344" s="1" t="str">
        <f>IFERROR(__xludf.DUMMYFUNCTION("SPLIT(E344,""&gt;"")"),"Japanese Rarepepe")</f>
        <v>Japanese Rarepepe</v>
      </c>
      <c r="G344" s="1" t="str">
        <f>IFERROR(__xludf.DUMMYFUNCTION("""COMPUTED_VALUE"""),"Series 23")</f>
        <v>Series 23</v>
      </c>
      <c r="H344" s="1" t="s">
        <v>23</v>
      </c>
      <c r="I344" s="1" t="s">
        <v>288</v>
      </c>
      <c r="J344" s="4">
        <v>42917.0</v>
      </c>
      <c r="K344" s="1">
        <v>1000.0</v>
      </c>
      <c r="L344" s="1">
        <v>200.0</v>
      </c>
      <c r="M344" s="1">
        <v>1140.0</v>
      </c>
      <c r="N344" s="6" t="str">
        <f t="shared" si="4"/>
        <v>Japanese Rarepepe🐸</v>
      </c>
      <c r="P344" s="6" t="str">
        <f>VLOOKUP(D344,'シート2'!A:B, 2, 0)</f>
        <v>@ChunriMD</v>
      </c>
    </row>
    <row r="345">
      <c r="A345" s="1" t="s">
        <v>841</v>
      </c>
      <c r="B345" s="3" t="s">
        <v>842</v>
      </c>
      <c r="C345" s="1" t="s">
        <v>16</v>
      </c>
      <c r="D345" s="1" t="s">
        <v>123</v>
      </c>
      <c r="E345" s="1" t="s">
        <v>635</v>
      </c>
      <c r="F345" s="1" t="str">
        <f>IFERROR(__xludf.DUMMYFUNCTION("SPLIT(E345,""&gt;"")"),"Japanese Rarepepe")</f>
        <v>Japanese Rarepepe</v>
      </c>
      <c r="G345" s="1" t="str">
        <f>IFERROR(__xludf.DUMMYFUNCTION("""COMPUTED_VALUE"""),"Series 10")</f>
        <v>Series 10</v>
      </c>
      <c r="H345" s="1" t="s">
        <v>123</v>
      </c>
      <c r="I345" s="1" t="s">
        <v>636</v>
      </c>
      <c r="J345" s="4">
        <v>42705.0</v>
      </c>
      <c r="K345" s="1">
        <v>300.0</v>
      </c>
      <c r="L345" s="1">
        <v>300.0</v>
      </c>
      <c r="M345" s="1">
        <v>449.0</v>
      </c>
      <c r="N345" s="6" t="str">
        <f t="shared" si="4"/>
        <v>Japanese Rarepepe🐸</v>
      </c>
      <c r="P345" s="6" t="str">
        <f>VLOOKUP(D345,'シート2'!A:B, 2, 0)</f>
        <v>@kassy_nara</v>
      </c>
    </row>
    <row r="346">
      <c r="A346" s="1" t="s">
        <v>843</v>
      </c>
      <c r="B346" s="3" t="s">
        <v>844</v>
      </c>
      <c r="C346" s="1" t="s">
        <v>16</v>
      </c>
      <c r="D346" s="1" t="s">
        <v>159</v>
      </c>
      <c r="E346" s="1" t="s">
        <v>792</v>
      </c>
      <c r="F346" s="1" t="str">
        <f>IFERROR(__xludf.DUMMYFUNCTION("SPLIT(E346,""&gt;"")"),"Japanese Rarepepe")</f>
        <v>Japanese Rarepepe</v>
      </c>
      <c r="G346" s="1" t="str">
        <f>IFERROR(__xludf.DUMMYFUNCTION("""COMPUTED_VALUE"""),"Series 25")</f>
        <v>Series 25</v>
      </c>
      <c r="H346" s="1" t="s">
        <v>159</v>
      </c>
      <c r="I346" s="1" t="s">
        <v>395</v>
      </c>
      <c r="J346" s="4">
        <v>42948.0</v>
      </c>
      <c r="K346" s="1">
        <v>100.0</v>
      </c>
      <c r="L346" s="1">
        <v>100.0</v>
      </c>
      <c r="M346" s="1">
        <v>1214.0</v>
      </c>
      <c r="N346" s="6" t="str">
        <f t="shared" si="4"/>
        <v>Japanese Rarepepe🐸</v>
      </c>
      <c r="P346" s="6" t="str">
        <f>VLOOKUP(D346,'シート2'!A:B, 2, 0)</f>
        <v>@1aughingcat</v>
      </c>
    </row>
    <row r="347">
      <c r="A347" s="1" t="s">
        <v>845</v>
      </c>
      <c r="B347" s="3" t="s">
        <v>846</v>
      </c>
      <c r="C347" s="1" t="s">
        <v>16</v>
      </c>
      <c r="D347" s="1" t="s">
        <v>159</v>
      </c>
      <c r="E347" s="1" t="s">
        <v>584</v>
      </c>
      <c r="F347" s="1" t="str">
        <f>IFERROR(__xludf.DUMMYFUNCTION("SPLIT(E347,""&gt;"")"),"Japanese Rarepepe")</f>
        <v>Japanese Rarepepe</v>
      </c>
      <c r="G347" s="1" t="str">
        <f>IFERROR(__xludf.DUMMYFUNCTION("""COMPUTED_VALUE"""),"Series 27")</f>
        <v>Series 27</v>
      </c>
      <c r="H347" s="1" t="s">
        <v>159</v>
      </c>
      <c r="I347" s="1" t="s">
        <v>395</v>
      </c>
      <c r="J347" s="4">
        <v>42948.0</v>
      </c>
      <c r="K347" s="1">
        <v>100.0</v>
      </c>
      <c r="L347" s="1">
        <v>100.0</v>
      </c>
      <c r="M347" s="1">
        <v>1321.0</v>
      </c>
      <c r="N347" s="6" t="str">
        <f t="shared" si="4"/>
        <v>Japanese Rarepepe🐸</v>
      </c>
      <c r="P347" s="6" t="str">
        <f>VLOOKUP(D347,'シート2'!A:B, 2, 0)</f>
        <v>@1aughingcat</v>
      </c>
    </row>
    <row r="348">
      <c r="A348" s="1" t="s">
        <v>847</v>
      </c>
      <c r="B348" s="3" t="s">
        <v>848</v>
      </c>
      <c r="C348" s="1" t="s">
        <v>16</v>
      </c>
      <c r="D348" s="1" t="s">
        <v>159</v>
      </c>
      <c r="E348" s="1" t="s">
        <v>604</v>
      </c>
      <c r="F348" s="1" t="str">
        <f>IFERROR(__xludf.DUMMYFUNCTION("SPLIT(E348,""&gt;"")"),"Japanese Rarepepe")</f>
        <v>Japanese Rarepepe</v>
      </c>
      <c r="G348" s="1" t="str">
        <f>IFERROR(__xludf.DUMMYFUNCTION("""COMPUTED_VALUE"""),"Series 29")</f>
        <v>Series 29</v>
      </c>
      <c r="H348" s="1" t="s">
        <v>159</v>
      </c>
      <c r="I348" s="1" t="s">
        <v>545</v>
      </c>
      <c r="J348" s="4">
        <v>42979.0</v>
      </c>
      <c r="K348" s="1">
        <v>100.0</v>
      </c>
      <c r="L348" s="1">
        <v>100.0</v>
      </c>
      <c r="M348" s="1">
        <v>1400.0</v>
      </c>
      <c r="N348" s="6" t="str">
        <f t="shared" si="4"/>
        <v>Japanese Rarepepe🐸</v>
      </c>
      <c r="P348" s="6" t="str">
        <f>VLOOKUP(D348,'シート2'!A:B, 2, 0)</f>
        <v>@1aughingcat</v>
      </c>
    </row>
    <row r="349">
      <c r="A349" s="1" t="s">
        <v>849</v>
      </c>
      <c r="B349" s="3" t="s">
        <v>850</v>
      </c>
      <c r="C349" s="1" t="s">
        <v>16</v>
      </c>
      <c r="D349" s="1" t="s">
        <v>159</v>
      </c>
      <c r="E349" s="1" t="s">
        <v>604</v>
      </c>
      <c r="F349" s="1" t="str">
        <f>IFERROR(__xludf.DUMMYFUNCTION("SPLIT(E349,""&gt;"")"),"Japanese Rarepepe")</f>
        <v>Japanese Rarepepe</v>
      </c>
      <c r="G349" s="1" t="str">
        <f>IFERROR(__xludf.DUMMYFUNCTION("""COMPUTED_VALUE"""),"Series 29")</f>
        <v>Series 29</v>
      </c>
      <c r="H349" s="1" t="s">
        <v>159</v>
      </c>
      <c r="I349" s="1" t="s">
        <v>545</v>
      </c>
      <c r="J349" s="4">
        <v>42979.0</v>
      </c>
      <c r="K349" s="1">
        <v>100.0</v>
      </c>
      <c r="L349" s="1">
        <v>100.0</v>
      </c>
      <c r="M349" s="1">
        <v>1445.0</v>
      </c>
      <c r="N349" s="6" t="str">
        <f t="shared" si="4"/>
        <v>Japanese Rarepepe🐸</v>
      </c>
      <c r="P349" s="6" t="str">
        <f>VLOOKUP(D349,'シート2'!A:B, 2, 0)</f>
        <v>@1aughingcat</v>
      </c>
    </row>
    <row r="350">
      <c r="A350" s="1" t="s">
        <v>851</v>
      </c>
      <c r="B350" s="3" t="s">
        <v>852</v>
      </c>
      <c r="C350" s="1" t="s">
        <v>16</v>
      </c>
      <c r="D350" s="1" t="s">
        <v>159</v>
      </c>
      <c r="E350" s="1" t="s">
        <v>797</v>
      </c>
      <c r="F350" s="1" t="str">
        <f>IFERROR(__xludf.DUMMYFUNCTION("SPLIT(E350,""&gt;"")"),"Japanese Rarepepe")</f>
        <v>Japanese Rarepepe</v>
      </c>
      <c r="G350" s="1" t="str">
        <f>IFERROR(__xludf.DUMMYFUNCTION("""COMPUTED_VALUE"""),"Series 30")</f>
        <v>Series 30</v>
      </c>
      <c r="H350" s="1" t="s">
        <v>159</v>
      </c>
      <c r="I350" s="1" t="s">
        <v>853</v>
      </c>
      <c r="J350" s="4">
        <v>43009.0</v>
      </c>
      <c r="K350" s="1">
        <v>100.0</v>
      </c>
      <c r="L350" s="1">
        <v>100.0</v>
      </c>
      <c r="M350" s="1">
        <v>1471.0</v>
      </c>
      <c r="N350" s="6" t="str">
        <f t="shared" si="4"/>
        <v>Japanese Rarepepe🐸</v>
      </c>
      <c r="P350" s="6" t="str">
        <f>VLOOKUP(D350,'シート2'!A:B, 2, 0)</f>
        <v>@1aughingcat</v>
      </c>
    </row>
    <row r="351">
      <c r="A351" s="1" t="s">
        <v>854</v>
      </c>
      <c r="B351" s="3" t="s">
        <v>855</v>
      </c>
      <c r="C351" s="1" t="s">
        <v>16</v>
      </c>
      <c r="D351" s="1" t="s">
        <v>159</v>
      </c>
      <c r="E351" s="1" t="s">
        <v>822</v>
      </c>
      <c r="F351" s="1" t="str">
        <f>IFERROR(__xludf.DUMMYFUNCTION("SPLIT(E351,""&gt;"")"),"Japanese Rarepepe")</f>
        <v>Japanese Rarepepe</v>
      </c>
      <c r="G351" s="1" t="str">
        <f>IFERROR(__xludf.DUMMYFUNCTION("""COMPUTED_VALUE"""),"Series 35")</f>
        <v>Series 35</v>
      </c>
      <c r="H351" s="1" t="s">
        <v>159</v>
      </c>
      <c r="I351" s="1" t="s">
        <v>823</v>
      </c>
      <c r="J351" s="4">
        <v>43160.0</v>
      </c>
      <c r="K351" s="1">
        <v>100.0</v>
      </c>
      <c r="L351" s="1">
        <v>100.0</v>
      </c>
      <c r="M351" s="1">
        <v>1707.0</v>
      </c>
      <c r="N351" s="6" t="str">
        <f t="shared" si="4"/>
        <v>Japanese Rarepepe🐸</v>
      </c>
      <c r="P351" s="6" t="str">
        <f>VLOOKUP(D351,'シート2'!A:B, 2, 0)</f>
        <v>@1aughingcat</v>
      </c>
    </row>
    <row r="352">
      <c r="A352" s="1" t="s">
        <v>856</v>
      </c>
      <c r="B352" s="3" t="s">
        <v>857</v>
      </c>
      <c r="C352" s="1" t="s">
        <v>16</v>
      </c>
      <c r="D352" s="1" t="s">
        <v>168</v>
      </c>
      <c r="E352" s="1" t="s">
        <v>599</v>
      </c>
      <c r="F352" s="1" t="str">
        <f>IFERROR(__xludf.DUMMYFUNCTION("SPLIT(E352,""&gt;"")"),"Japanese Rarepepe")</f>
        <v>Japanese Rarepepe</v>
      </c>
      <c r="G352" s="1" t="str">
        <f>IFERROR(__xludf.DUMMYFUNCTION("""COMPUTED_VALUE"""),"Series 22")</f>
        <v>Series 22</v>
      </c>
      <c r="H352" s="1" t="s">
        <v>168</v>
      </c>
      <c r="I352" s="1" t="s">
        <v>288</v>
      </c>
      <c r="J352" s="4">
        <v>42917.0</v>
      </c>
      <c r="K352" s="1">
        <v>300.0</v>
      </c>
      <c r="L352" s="1">
        <v>100.0</v>
      </c>
      <c r="M352" s="1">
        <v>1066.0</v>
      </c>
      <c r="N352" s="6" t="str">
        <f t="shared" si="4"/>
        <v>Japanese Rarepepe🐸</v>
      </c>
      <c r="P352" s="6" t="str">
        <f>VLOOKUP(D352,'シート2'!A:B, 2, 0)</f>
        <v>@Whiskey_bonbon_</v>
      </c>
    </row>
    <row r="353">
      <c r="A353" s="1" t="s">
        <v>858</v>
      </c>
      <c r="B353" s="3" t="s">
        <v>859</v>
      </c>
      <c r="C353" s="1" t="s">
        <v>16</v>
      </c>
      <c r="D353" s="1" t="s">
        <v>179</v>
      </c>
      <c r="E353" s="1" t="s">
        <v>797</v>
      </c>
      <c r="F353" s="1" t="str">
        <f>IFERROR(__xludf.DUMMYFUNCTION("SPLIT(E353,""&gt;"")"),"Japanese Rarepepe")</f>
        <v>Japanese Rarepepe</v>
      </c>
      <c r="G353" s="1" t="str">
        <f>IFERROR(__xludf.DUMMYFUNCTION("""COMPUTED_VALUE"""),"Series 30")</f>
        <v>Series 30</v>
      </c>
      <c r="H353" s="1" t="s">
        <v>179</v>
      </c>
      <c r="I353" s="1" t="s">
        <v>853</v>
      </c>
      <c r="J353" s="4">
        <v>43009.0</v>
      </c>
      <c r="K353" s="1">
        <v>1000.0</v>
      </c>
      <c r="L353" s="1">
        <v>1000.0</v>
      </c>
      <c r="M353" s="1">
        <v>1472.0</v>
      </c>
      <c r="N353" s="6" t="str">
        <f t="shared" si="4"/>
        <v>Japanese Rarepepe🐸</v>
      </c>
      <c r="P353" s="6" t="str">
        <f>VLOOKUP(D353,'シート2'!A:B, 2, 0)</f>
        <v>@todokasumi</v>
      </c>
    </row>
    <row r="354">
      <c r="A354" s="1" t="s">
        <v>860</v>
      </c>
      <c r="B354" s="3" t="s">
        <v>861</v>
      </c>
      <c r="C354" s="1" t="s">
        <v>16</v>
      </c>
      <c r="D354" s="1" t="s">
        <v>17</v>
      </c>
      <c r="E354" s="1" t="s">
        <v>679</v>
      </c>
      <c r="F354" s="1" t="str">
        <f>IFERROR(__xludf.DUMMYFUNCTION("SPLIT(E354,""&gt;"")"),"Japanese Rarepepe")</f>
        <v>Japanese Rarepepe</v>
      </c>
      <c r="G354" s="1" t="str">
        <f>IFERROR(__xludf.DUMMYFUNCTION("""COMPUTED_VALUE"""),"Series 23")</f>
        <v>Series 23</v>
      </c>
      <c r="H354" s="1" t="s">
        <v>17</v>
      </c>
      <c r="I354" s="1" t="s">
        <v>288</v>
      </c>
      <c r="J354" s="4">
        <v>42917.0</v>
      </c>
      <c r="K354" s="1">
        <v>100.0</v>
      </c>
      <c r="L354" s="1">
        <v>100.0</v>
      </c>
      <c r="M354" s="1">
        <v>1144.0</v>
      </c>
      <c r="N354" s="6" t="str">
        <f t="shared" si="4"/>
        <v>Japanese Rarepepe🐸</v>
      </c>
      <c r="P354" s="6" t="str">
        <f>VLOOKUP(D354,'シート2'!A:B, 2, 0)</f>
        <v>@kartanbitcoin</v>
      </c>
    </row>
    <row r="355">
      <c r="A355" s="1" t="s">
        <v>862</v>
      </c>
      <c r="B355" s="3" t="s">
        <v>863</v>
      </c>
      <c r="C355" s="1" t="s">
        <v>16</v>
      </c>
      <c r="D355" s="1" t="s">
        <v>17</v>
      </c>
      <c r="E355" s="1" t="s">
        <v>581</v>
      </c>
      <c r="F355" s="1" t="str">
        <f>IFERROR(__xludf.DUMMYFUNCTION("SPLIT(E355,""&gt;"")"),"Japanese Rarepepe")</f>
        <v>Japanese Rarepepe</v>
      </c>
      <c r="G355" s="1" t="str">
        <f>IFERROR(__xludf.DUMMYFUNCTION("""COMPUTED_VALUE"""),"Series 24")</f>
        <v>Series 24</v>
      </c>
      <c r="H355" s="1" t="s">
        <v>17</v>
      </c>
      <c r="I355" s="1" t="s">
        <v>288</v>
      </c>
      <c r="J355" s="4">
        <v>42917.0</v>
      </c>
      <c r="K355" s="1">
        <v>100.0</v>
      </c>
      <c r="L355" s="1">
        <v>100.0</v>
      </c>
      <c r="M355" s="1">
        <v>1162.0</v>
      </c>
      <c r="N355" s="6" t="str">
        <f t="shared" si="4"/>
        <v>Japanese Rarepepe🐸</v>
      </c>
      <c r="P355" s="6" t="str">
        <f>VLOOKUP(D355,'シート2'!A:B, 2, 0)</f>
        <v>@kartanbitcoin</v>
      </c>
    </row>
    <row r="356">
      <c r="A356" s="1" t="s">
        <v>864</v>
      </c>
      <c r="B356" s="3" t="s">
        <v>865</v>
      </c>
      <c r="C356" s="1" t="s">
        <v>16</v>
      </c>
      <c r="D356" s="1" t="s">
        <v>17</v>
      </c>
      <c r="E356" s="1" t="s">
        <v>581</v>
      </c>
      <c r="F356" s="1" t="str">
        <f>IFERROR(__xludf.DUMMYFUNCTION("SPLIT(E356,""&gt;"")"),"Japanese Rarepepe")</f>
        <v>Japanese Rarepepe</v>
      </c>
      <c r="G356" s="1" t="str">
        <f>IFERROR(__xludf.DUMMYFUNCTION("""COMPUTED_VALUE"""),"Series 24")</f>
        <v>Series 24</v>
      </c>
      <c r="H356" s="1" t="s">
        <v>17</v>
      </c>
      <c r="I356" s="1" t="s">
        <v>288</v>
      </c>
      <c r="J356" s="4">
        <v>42917.0</v>
      </c>
      <c r="K356" s="1">
        <v>100.0</v>
      </c>
      <c r="L356" s="1">
        <v>100.0</v>
      </c>
      <c r="M356" s="1">
        <v>1185.0</v>
      </c>
      <c r="N356" s="6" t="str">
        <f t="shared" si="4"/>
        <v>Japanese Rarepepe🐸</v>
      </c>
      <c r="P356" s="6" t="str">
        <f>VLOOKUP(D356,'シート2'!A:B, 2, 0)</f>
        <v>@kartanbitcoin</v>
      </c>
    </row>
    <row r="357">
      <c r="A357" s="1" t="s">
        <v>866</v>
      </c>
      <c r="B357" s="3" t="s">
        <v>867</v>
      </c>
      <c r="C357" s="1" t="s">
        <v>16</v>
      </c>
      <c r="D357" s="1" t="s">
        <v>17</v>
      </c>
      <c r="E357" s="1" t="s">
        <v>792</v>
      </c>
      <c r="F357" s="1" t="str">
        <f>IFERROR(__xludf.DUMMYFUNCTION("SPLIT(E357,""&gt;"")"),"Japanese Rarepepe")</f>
        <v>Japanese Rarepepe</v>
      </c>
      <c r="G357" s="1" t="str">
        <f>IFERROR(__xludf.DUMMYFUNCTION("""COMPUTED_VALUE"""),"Series 25")</f>
        <v>Series 25</v>
      </c>
      <c r="H357" s="1" t="s">
        <v>17</v>
      </c>
      <c r="I357" s="1" t="s">
        <v>395</v>
      </c>
      <c r="J357" s="4">
        <v>42948.0</v>
      </c>
      <c r="K357" s="1">
        <v>100.0</v>
      </c>
      <c r="L357" s="1">
        <v>100.0</v>
      </c>
      <c r="M357" s="1">
        <v>1225.0</v>
      </c>
      <c r="N357" s="6" t="str">
        <f t="shared" si="4"/>
        <v>Japanese Rarepepe🐸</v>
      </c>
      <c r="P357" s="6" t="str">
        <f>VLOOKUP(D357,'シート2'!A:B, 2, 0)</f>
        <v>@kartanbitcoin</v>
      </c>
    </row>
    <row r="358">
      <c r="A358" s="1" t="s">
        <v>868</v>
      </c>
      <c r="B358" s="3" t="s">
        <v>869</v>
      </c>
      <c r="C358" s="1" t="s">
        <v>16</v>
      </c>
      <c r="D358" s="1" t="s">
        <v>17</v>
      </c>
      <c r="E358" s="1" t="s">
        <v>596</v>
      </c>
      <c r="F358" s="1" t="str">
        <f>IFERROR(__xludf.DUMMYFUNCTION("SPLIT(E358,""&gt;"")"),"Japanese Rarepepe")</f>
        <v>Japanese Rarepepe</v>
      </c>
      <c r="G358" s="1" t="str">
        <f>IFERROR(__xludf.DUMMYFUNCTION("""COMPUTED_VALUE"""),"Series 26")</f>
        <v>Series 26</v>
      </c>
      <c r="H358" s="1" t="s">
        <v>17</v>
      </c>
      <c r="I358" s="1" t="s">
        <v>395</v>
      </c>
      <c r="J358" s="4">
        <v>42948.0</v>
      </c>
      <c r="K358" s="1">
        <v>200.0</v>
      </c>
      <c r="L358" s="1">
        <v>100.0</v>
      </c>
      <c r="M358" s="1">
        <v>1259.0</v>
      </c>
      <c r="N358" s="6" t="str">
        <f t="shared" si="4"/>
        <v>Japanese Rarepepe🐸</v>
      </c>
      <c r="P358" s="6" t="str">
        <f>VLOOKUP(D358,'シート2'!A:B, 2, 0)</f>
        <v>@kartanbitcoin</v>
      </c>
    </row>
    <row r="359">
      <c r="A359" s="1" t="s">
        <v>870</v>
      </c>
      <c r="B359" s="3" t="s">
        <v>871</v>
      </c>
      <c r="C359" s="1" t="s">
        <v>16</v>
      </c>
      <c r="D359" s="1" t="s">
        <v>17</v>
      </c>
      <c r="E359" s="1" t="s">
        <v>596</v>
      </c>
      <c r="F359" s="1" t="str">
        <f>IFERROR(__xludf.DUMMYFUNCTION("SPLIT(E359,""&gt;"")"),"Japanese Rarepepe")</f>
        <v>Japanese Rarepepe</v>
      </c>
      <c r="G359" s="1" t="str">
        <f>IFERROR(__xludf.DUMMYFUNCTION("""COMPUTED_VALUE"""),"Series 26")</f>
        <v>Series 26</v>
      </c>
      <c r="H359" s="1" t="s">
        <v>17</v>
      </c>
      <c r="I359" s="1" t="s">
        <v>395</v>
      </c>
      <c r="J359" s="4">
        <v>42948.0</v>
      </c>
      <c r="K359" s="1">
        <v>150.0</v>
      </c>
      <c r="L359" s="1">
        <v>150.0</v>
      </c>
      <c r="M359" s="1">
        <v>1283.0</v>
      </c>
      <c r="N359" s="6" t="str">
        <f t="shared" si="4"/>
        <v>Japanese Rarepepe🐸</v>
      </c>
      <c r="P359" s="6" t="str">
        <f>VLOOKUP(D359,'シート2'!A:B, 2, 0)</f>
        <v>@kartanbitcoin</v>
      </c>
    </row>
    <row r="360">
      <c r="A360" s="1" t="s">
        <v>872</v>
      </c>
      <c r="B360" s="3" t="s">
        <v>873</v>
      </c>
      <c r="C360" s="1" t="s">
        <v>16</v>
      </c>
      <c r="D360" s="1" t="s">
        <v>17</v>
      </c>
      <c r="E360" s="1" t="s">
        <v>584</v>
      </c>
      <c r="F360" s="1" t="str">
        <f>IFERROR(__xludf.DUMMYFUNCTION("SPLIT(E360,""&gt;"")"),"Japanese Rarepepe")</f>
        <v>Japanese Rarepepe</v>
      </c>
      <c r="G360" s="1" t="str">
        <f>IFERROR(__xludf.DUMMYFUNCTION("""COMPUTED_VALUE"""),"Series 27")</f>
        <v>Series 27</v>
      </c>
      <c r="H360" s="1" t="s">
        <v>17</v>
      </c>
      <c r="I360" s="1" t="s">
        <v>395</v>
      </c>
      <c r="J360" s="4">
        <v>42948.0</v>
      </c>
      <c r="K360" s="1">
        <v>200.0</v>
      </c>
      <c r="L360" s="1">
        <v>200.0</v>
      </c>
      <c r="M360" s="1">
        <v>1315.0</v>
      </c>
      <c r="N360" s="6" t="str">
        <f t="shared" si="4"/>
        <v>Japanese Rarepepe🐸</v>
      </c>
      <c r="P360" s="6" t="str">
        <f>VLOOKUP(D360,'シート2'!A:B, 2, 0)</f>
        <v>@kartanbitcoin</v>
      </c>
    </row>
    <row r="361">
      <c r="A361" s="1" t="s">
        <v>874</v>
      </c>
      <c r="B361" s="3" t="s">
        <v>875</v>
      </c>
      <c r="C361" s="1" t="s">
        <v>16</v>
      </c>
      <c r="D361" s="1" t="s">
        <v>17</v>
      </c>
      <c r="E361" s="1" t="s">
        <v>876</v>
      </c>
      <c r="F361" s="1" t="str">
        <f>IFERROR(__xludf.DUMMYFUNCTION("SPLIT(E361,""&gt;"")"),"Japanese Rarepepe")</f>
        <v>Japanese Rarepepe</v>
      </c>
      <c r="G361" s="1" t="str">
        <f>IFERROR(__xludf.DUMMYFUNCTION("""COMPUTED_VALUE"""),"Series 28")</f>
        <v>Series 28</v>
      </c>
      <c r="H361" s="1" t="s">
        <v>17</v>
      </c>
      <c r="I361" s="1" t="s">
        <v>545</v>
      </c>
      <c r="J361" s="4">
        <v>42979.0</v>
      </c>
      <c r="K361" s="1">
        <v>150.0</v>
      </c>
      <c r="L361" s="1">
        <v>150.0</v>
      </c>
      <c r="M361" s="1">
        <v>1360.0</v>
      </c>
      <c r="N361" s="6" t="str">
        <f t="shared" si="4"/>
        <v>Japanese Rarepepe🐸</v>
      </c>
      <c r="P361" s="6" t="str">
        <f>VLOOKUP(D361,'シート2'!A:B, 2, 0)</f>
        <v>@kartanbitcoin</v>
      </c>
    </row>
    <row r="362">
      <c r="A362" s="1" t="s">
        <v>877</v>
      </c>
      <c r="B362" s="3" t="s">
        <v>878</v>
      </c>
      <c r="C362" s="1" t="s">
        <v>16</v>
      </c>
      <c r="D362" s="1" t="s">
        <v>17</v>
      </c>
      <c r="E362" s="1" t="s">
        <v>876</v>
      </c>
      <c r="F362" s="1" t="str">
        <f>IFERROR(__xludf.DUMMYFUNCTION("SPLIT(E362,""&gt;"")"),"Japanese Rarepepe")</f>
        <v>Japanese Rarepepe</v>
      </c>
      <c r="G362" s="1" t="str">
        <f>IFERROR(__xludf.DUMMYFUNCTION("""COMPUTED_VALUE"""),"Series 28")</f>
        <v>Series 28</v>
      </c>
      <c r="H362" s="1" t="s">
        <v>17</v>
      </c>
      <c r="I362" s="1" t="s">
        <v>545</v>
      </c>
      <c r="J362" s="4">
        <v>42979.0</v>
      </c>
      <c r="K362" s="1">
        <v>150.0</v>
      </c>
      <c r="L362" s="1">
        <v>150.0</v>
      </c>
      <c r="M362" s="1">
        <v>1375.0</v>
      </c>
      <c r="N362" s="6" t="str">
        <f t="shared" si="4"/>
        <v>Japanese Rarepepe🐸</v>
      </c>
      <c r="P362" s="6" t="str">
        <f>VLOOKUP(D362,'シート2'!A:B, 2, 0)</f>
        <v>@kartanbitcoin</v>
      </c>
    </row>
    <row r="363">
      <c r="A363" s="1" t="s">
        <v>879</v>
      </c>
      <c r="B363" s="3" t="s">
        <v>880</v>
      </c>
      <c r="C363" s="1" t="s">
        <v>16</v>
      </c>
      <c r="D363" s="1" t="s">
        <v>17</v>
      </c>
      <c r="E363" s="1" t="s">
        <v>604</v>
      </c>
      <c r="F363" s="1" t="str">
        <f>IFERROR(__xludf.DUMMYFUNCTION("SPLIT(E363,""&gt;"")"),"Japanese Rarepepe")</f>
        <v>Japanese Rarepepe</v>
      </c>
      <c r="G363" s="1" t="str">
        <f>IFERROR(__xludf.DUMMYFUNCTION("""COMPUTED_VALUE"""),"Series 29")</f>
        <v>Series 29</v>
      </c>
      <c r="H363" s="1" t="s">
        <v>17</v>
      </c>
      <c r="I363" s="1" t="s">
        <v>545</v>
      </c>
      <c r="J363" s="4">
        <v>42979.0</v>
      </c>
      <c r="K363" s="1">
        <v>150.0</v>
      </c>
      <c r="L363" s="1">
        <v>150.0</v>
      </c>
      <c r="M363" s="1">
        <v>1442.0</v>
      </c>
      <c r="N363" s="6" t="str">
        <f t="shared" si="4"/>
        <v>Japanese Rarepepe🐸</v>
      </c>
      <c r="P363" s="6" t="str">
        <f>VLOOKUP(D363,'シート2'!A:B, 2, 0)</f>
        <v>@kartanbitcoin</v>
      </c>
    </row>
    <row r="364">
      <c r="A364" s="1" t="s">
        <v>881</v>
      </c>
      <c r="B364" s="3" t="s">
        <v>882</v>
      </c>
      <c r="C364" s="1" t="s">
        <v>16</v>
      </c>
      <c r="D364" s="1" t="s">
        <v>17</v>
      </c>
      <c r="E364" s="1" t="s">
        <v>797</v>
      </c>
      <c r="F364" s="1" t="str">
        <f>IFERROR(__xludf.DUMMYFUNCTION("SPLIT(E364,""&gt;"")"),"Japanese Rarepepe")</f>
        <v>Japanese Rarepepe</v>
      </c>
      <c r="G364" s="1" t="str">
        <f>IFERROR(__xludf.DUMMYFUNCTION("""COMPUTED_VALUE"""),"Series 30")</f>
        <v>Series 30</v>
      </c>
      <c r="H364" s="1" t="s">
        <v>17</v>
      </c>
      <c r="I364" s="1" t="s">
        <v>545</v>
      </c>
      <c r="J364" s="4">
        <v>42979.0</v>
      </c>
      <c r="K364" s="1">
        <v>100.0</v>
      </c>
      <c r="L364" s="1">
        <v>100.0</v>
      </c>
      <c r="M364" s="1">
        <v>1455.0</v>
      </c>
      <c r="N364" s="6" t="str">
        <f t="shared" si="4"/>
        <v>Japanese Rarepepe🐸</v>
      </c>
      <c r="P364" s="6" t="str">
        <f>VLOOKUP(D364,'シート2'!A:B, 2, 0)</f>
        <v>@kartanbitcoin</v>
      </c>
    </row>
    <row r="365">
      <c r="A365" s="1" t="s">
        <v>883</v>
      </c>
      <c r="B365" s="3" t="s">
        <v>884</v>
      </c>
      <c r="C365" s="1" t="s">
        <v>16</v>
      </c>
      <c r="D365" s="1" t="s">
        <v>252</v>
      </c>
      <c r="E365" s="1" t="s">
        <v>578</v>
      </c>
      <c r="F365" s="1" t="str">
        <f>IFERROR(__xludf.DUMMYFUNCTION("SPLIT(E365,""&gt;"")"),"Japanese Rarepepe")</f>
        <v>Japanese Rarepepe</v>
      </c>
      <c r="G365" s="1" t="str">
        <f>IFERROR(__xludf.DUMMYFUNCTION("""COMPUTED_VALUE"""),"Series 21")</f>
        <v>Series 21</v>
      </c>
      <c r="H365" s="1" t="s">
        <v>252</v>
      </c>
      <c r="I365" s="1" t="s">
        <v>288</v>
      </c>
      <c r="J365" s="4">
        <v>42917.0</v>
      </c>
      <c r="K365" s="1">
        <v>10000.0</v>
      </c>
      <c r="L365" s="1">
        <v>888.0</v>
      </c>
      <c r="M365" s="1">
        <v>1017.0</v>
      </c>
      <c r="N365" s="6" t="str">
        <f t="shared" si="4"/>
        <v>Japanese Rarepepe🐸</v>
      </c>
      <c r="P365" s="6" t="str">
        <f>VLOOKUP(D365,'シート2'!A:B, 2, 0)</f>
        <v>@7cryptocurrency</v>
      </c>
    </row>
    <row r="366">
      <c r="A366" s="1" t="s">
        <v>885</v>
      </c>
      <c r="B366" s="3" t="s">
        <v>886</v>
      </c>
      <c r="C366" s="1" t="s">
        <v>16</v>
      </c>
      <c r="D366" s="1" t="s">
        <v>252</v>
      </c>
      <c r="E366" s="1" t="s">
        <v>578</v>
      </c>
      <c r="F366" s="1" t="str">
        <f>IFERROR(__xludf.DUMMYFUNCTION("SPLIT(E366,""&gt;"")"),"Japanese Rarepepe")</f>
        <v>Japanese Rarepepe</v>
      </c>
      <c r="G366" s="1" t="str">
        <f>IFERROR(__xludf.DUMMYFUNCTION("""COMPUTED_VALUE"""),"Series 21")</f>
        <v>Series 21</v>
      </c>
      <c r="H366" s="1" t="s">
        <v>252</v>
      </c>
      <c r="I366" s="1" t="s">
        <v>288</v>
      </c>
      <c r="J366" s="4">
        <v>42917.0</v>
      </c>
      <c r="K366" s="1">
        <v>200.0</v>
      </c>
      <c r="L366" s="1">
        <v>100.0</v>
      </c>
      <c r="M366" s="1">
        <v>1041.0</v>
      </c>
      <c r="N366" s="6" t="str">
        <f t="shared" si="4"/>
        <v>Japanese Rarepepe🐸</v>
      </c>
      <c r="P366" s="6" t="str">
        <f>VLOOKUP(D366,'シート2'!A:B, 2, 0)</f>
        <v>@7cryptocurrency</v>
      </c>
    </row>
    <row r="367">
      <c r="A367" s="1" t="s">
        <v>887</v>
      </c>
      <c r="B367" s="3" t="s">
        <v>888</v>
      </c>
      <c r="C367" s="1" t="s">
        <v>16</v>
      </c>
      <c r="D367" s="1" t="s">
        <v>252</v>
      </c>
      <c r="E367" s="1" t="s">
        <v>599</v>
      </c>
      <c r="F367" s="1" t="str">
        <f>IFERROR(__xludf.DUMMYFUNCTION("SPLIT(E367,""&gt;"")"),"Japanese Rarepepe")</f>
        <v>Japanese Rarepepe</v>
      </c>
      <c r="G367" s="1" t="str">
        <f>IFERROR(__xludf.DUMMYFUNCTION("""COMPUTED_VALUE"""),"Series 22")</f>
        <v>Series 22</v>
      </c>
      <c r="H367" s="1" t="s">
        <v>252</v>
      </c>
      <c r="I367" s="1" t="s">
        <v>288</v>
      </c>
      <c r="J367" s="4">
        <v>42917.0</v>
      </c>
      <c r="K367" s="1">
        <v>100.0</v>
      </c>
      <c r="L367" s="1">
        <v>100.0</v>
      </c>
      <c r="M367" s="1">
        <v>1072.0</v>
      </c>
      <c r="N367" s="6" t="str">
        <f t="shared" si="4"/>
        <v>Japanese Rarepepe🐸</v>
      </c>
      <c r="P367" s="6" t="str">
        <f>VLOOKUP(D367,'シート2'!A:B, 2, 0)</f>
        <v>@7cryptocurrency</v>
      </c>
    </row>
    <row r="368">
      <c r="A368" s="1" t="s">
        <v>889</v>
      </c>
      <c r="B368" s="3" t="s">
        <v>890</v>
      </c>
      <c r="C368" s="1" t="s">
        <v>16</v>
      </c>
      <c r="D368" s="1" t="s">
        <v>252</v>
      </c>
      <c r="E368" s="1" t="s">
        <v>679</v>
      </c>
      <c r="F368" s="1" t="str">
        <f>IFERROR(__xludf.DUMMYFUNCTION("SPLIT(E368,""&gt;"")"),"Japanese Rarepepe")</f>
        <v>Japanese Rarepepe</v>
      </c>
      <c r="G368" s="1" t="str">
        <f>IFERROR(__xludf.DUMMYFUNCTION("""COMPUTED_VALUE"""),"Series 23")</f>
        <v>Series 23</v>
      </c>
      <c r="H368" s="1" t="s">
        <v>252</v>
      </c>
      <c r="I368" s="1" t="s">
        <v>288</v>
      </c>
      <c r="J368" s="4">
        <v>42917.0</v>
      </c>
      <c r="K368" s="1">
        <v>100.0</v>
      </c>
      <c r="L368" s="1">
        <v>100.0</v>
      </c>
      <c r="M368" s="1">
        <v>1115.0</v>
      </c>
      <c r="N368" s="6" t="str">
        <f t="shared" si="4"/>
        <v>Japanese Rarepepe🐸</v>
      </c>
      <c r="P368" s="6" t="str">
        <f>VLOOKUP(D368,'シート2'!A:B, 2, 0)</f>
        <v>@7cryptocurrency</v>
      </c>
    </row>
    <row r="369">
      <c r="A369" s="1" t="s">
        <v>891</v>
      </c>
      <c r="B369" s="3" t="s">
        <v>892</v>
      </c>
      <c r="C369" s="1" t="s">
        <v>16</v>
      </c>
      <c r="D369" s="1" t="s">
        <v>252</v>
      </c>
      <c r="E369" s="1" t="s">
        <v>679</v>
      </c>
      <c r="F369" s="1" t="str">
        <f>IFERROR(__xludf.DUMMYFUNCTION("SPLIT(E369,""&gt;"")"),"Japanese Rarepepe")</f>
        <v>Japanese Rarepepe</v>
      </c>
      <c r="G369" s="1" t="str">
        <f>IFERROR(__xludf.DUMMYFUNCTION("""COMPUTED_VALUE"""),"Series 23")</f>
        <v>Series 23</v>
      </c>
      <c r="H369" s="1" t="s">
        <v>252</v>
      </c>
      <c r="I369" s="1" t="s">
        <v>288</v>
      </c>
      <c r="J369" s="4">
        <v>42917.0</v>
      </c>
      <c r="K369" s="1">
        <v>100.0</v>
      </c>
      <c r="L369" s="1">
        <v>100.0</v>
      </c>
      <c r="M369" s="1">
        <v>1147.0</v>
      </c>
      <c r="N369" s="6" t="str">
        <f t="shared" si="4"/>
        <v>Japanese Rarepepe🐸</v>
      </c>
      <c r="P369" s="6" t="str">
        <f>VLOOKUP(D369,'シート2'!A:B, 2, 0)</f>
        <v>@7cryptocurrency</v>
      </c>
    </row>
    <row r="370">
      <c r="A370" s="1" t="s">
        <v>893</v>
      </c>
      <c r="B370" s="3" t="s">
        <v>894</v>
      </c>
      <c r="C370" s="1" t="s">
        <v>16</v>
      </c>
      <c r="D370" s="1" t="s">
        <v>252</v>
      </c>
      <c r="E370" s="1" t="s">
        <v>792</v>
      </c>
      <c r="F370" s="1" t="str">
        <f>IFERROR(__xludf.DUMMYFUNCTION("SPLIT(E370,""&gt;"")"),"Japanese Rarepepe")</f>
        <v>Japanese Rarepepe</v>
      </c>
      <c r="G370" s="1" t="str">
        <f>IFERROR(__xludf.DUMMYFUNCTION("""COMPUTED_VALUE"""),"Series 25")</f>
        <v>Series 25</v>
      </c>
      <c r="H370" s="1" t="s">
        <v>252</v>
      </c>
      <c r="I370" s="1" t="s">
        <v>395</v>
      </c>
      <c r="J370" s="4">
        <v>42948.0</v>
      </c>
      <c r="K370" s="1">
        <v>100.0</v>
      </c>
      <c r="L370" s="1">
        <v>100.0</v>
      </c>
      <c r="M370" s="1">
        <v>1226.0</v>
      </c>
      <c r="N370" s="6" t="str">
        <f t="shared" si="4"/>
        <v>Japanese Rarepepe🐸</v>
      </c>
      <c r="P370" s="6" t="str">
        <f>VLOOKUP(D370,'シート2'!A:B, 2, 0)</f>
        <v>@7cryptocurrency</v>
      </c>
    </row>
    <row r="371">
      <c r="A371" s="1" t="s">
        <v>895</v>
      </c>
      <c r="B371" s="3" t="s">
        <v>896</v>
      </c>
      <c r="C371" s="1" t="s">
        <v>16</v>
      </c>
      <c r="D371" s="1" t="s">
        <v>252</v>
      </c>
      <c r="E371" s="1" t="s">
        <v>604</v>
      </c>
      <c r="F371" s="1" t="str">
        <f>IFERROR(__xludf.DUMMYFUNCTION("SPLIT(E371,""&gt;"")"),"Japanese Rarepepe")</f>
        <v>Japanese Rarepepe</v>
      </c>
      <c r="G371" s="1" t="str">
        <f>IFERROR(__xludf.DUMMYFUNCTION("""COMPUTED_VALUE"""),"Series 29")</f>
        <v>Series 29</v>
      </c>
      <c r="H371" s="1" t="s">
        <v>252</v>
      </c>
      <c r="I371" s="1" t="s">
        <v>545</v>
      </c>
      <c r="J371" s="4">
        <v>42979.0</v>
      </c>
      <c r="K371" s="1">
        <v>60.0</v>
      </c>
      <c r="L371" s="1">
        <v>60.0</v>
      </c>
      <c r="M371" s="1">
        <v>1423.0</v>
      </c>
      <c r="N371" s="6" t="str">
        <f t="shared" si="4"/>
        <v>Japanese Rarepepe🐸</v>
      </c>
      <c r="P371" s="6" t="str">
        <f>VLOOKUP(D371,'シート2'!A:B, 2, 0)</f>
        <v>@7cryptocurrency</v>
      </c>
    </row>
    <row r="372">
      <c r="A372" s="1" t="s">
        <v>897</v>
      </c>
      <c r="B372" s="3" t="s">
        <v>898</v>
      </c>
      <c r="C372" s="1" t="s">
        <v>16</v>
      </c>
      <c r="D372" s="1" t="s">
        <v>252</v>
      </c>
      <c r="E372" s="1" t="s">
        <v>604</v>
      </c>
      <c r="F372" s="1" t="str">
        <f>IFERROR(__xludf.DUMMYFUNCTION("SPLIT(E372,""&gt;"")"),"Japanese Rarepepe")</f>
        <v>Japanese Rarepepe</v>
      </c>
      <c r="G372" s="1" t="str">
        <f>IFERROR(__xludf.DUMMYFUNCTION("""COMPUTED_VALUE"""),"Series 29")</f>
        <v>Series 29</v>
      </c>
      <c r="H372" s="1" t="s">
        <v>252</v>
      </c>
      <c r="I372" s="1" t="s">
        <v>545</v>
      </c>
      <c r="J372" s="4">
        <v>42979.0</v>
      </c>
      <c r="K372" s="1">
        <v>100.0</v>
      </c>
      <c r="L372" s="1">
        <v>66.0</v>
      </c>
      <c r="M372" s="1">
        <v>1444.0</v>
      </c>
      <c r="N372" s="6" t="str">
        <f t="shared" si="4"/>
        <v>Japanese Rarepepe🐸</v>
      </c>
      <c r="P372" s="6" t="str">
        <f>VLOOKUP(D372,'シート2'!A:B, 2, 0)</f>
        <v>@7cryptocurrency</v>
      </c>
    </row>
    <row r="373">
      <c r="A373" s="1" t="s">
        <v>899</v>
      </c>
      <c r="B373" s="3" t="s">
        <v>900</v>
      </c>
      <c r="C373" s="1" t="s">
        <v>16</v>
      </c>
      <c r="D373" s="1" t="s">
        <v>252</v>
      </c>
      <c r="E373" s="1" t="s">
        <v>797</v>
      </c>
      <c r="F373" s="1" t="str">
        <f>IFERROR(__xludf.DUMMYFUNCTION("SPLIT(E373,""&gt;"")"),"Japanese Rarepepe")</f>
        <v>Japanese Rarepepe</v>
      </c>
      <c r="G373" s="1" t="str">
        <f>IFERROR(__xludf.DUMMYFUNCTION("""COMPUTED_VALUE"""),"Series 30")</f>
        <v>Series 30</v>
      </c>
      <c r="H373" s="1" t="s">
        <v>252</v>
      </c>
      <c r="I373" s="1" t="s">
        <v>545</v>
      </c>
      <c r="J373" s="4">
        <v>42979.0</v>
      </c>
      <c r="K373" s="1">
        <v>100.0</v>
      </c>
      <c r="L373" s="1">
        <v>55.0</v>
      </c>
      <c r="M373" s="1">
        <v>1450.0</v>
      </c>
      <c r="N373" s="6" t="str">
        <f t="shared" si="4"/>
        <v>Japanese Rarepepe🐸</v>
      </c>
      <c r="P373" s="6" t="str">
        <f>VLOOKUP(D373,'シート2'!A:B, 2, 0)</f>
        <v>@7cryptocurrency</v>
      </c>
    </row>
    <row r="374">
      <c r="A374" s="1" t="s">
        <v>901</v>
      </c>
      <c r="B374" s="3" t="s">
        <v>902</v>
      </c>
      <c r="C374" s="1" t="s">
        <v>16</v>
      </c>
      <c r="D374" s="1" t="s">
        <v>255</v>
      </c>
      <c r="E374" s="1" t="s">
        <v>797</v>
      </c>
      <c r="F374" s="1" t="str">
        <f>IFERROR(__xludf.DUMMYFUNCTION("SPLIT(E374,""&gt;"")"),"Japanese Rarepepe")</f>
        <v>Japanese Rarepepe</v>
      </c>
      <c r="G374" s="1" t="str">
        <f>IFERROR(__xludf.DUMMYFUNCTION("""COMPUTED_VALUE"""),"Series 30")</f>
        <v>Series 30</v>
      </c>
      <c r="H374" s="1" t="s">
        <v>255</v>
      </c>
      <c r="I374" s="1" t="s">
        <v>853</v>
      </c>
      <c r="J374" s="4">
        <v>43009.0</v>
      </c>
      <c r="K374" s="1">
        <v>100.0</v>
      </c>
      <c r="L374" s="1">
        <v>100.0</v>
      </c>
      <c r="M374" s="1">
        <v>1496.0</v>
      </c>
      <c r="N374" s="6" t="str">
        <f t="shared" si="4"/>
        <v>Japanese Rarepepe🐸</v>
      </c>
      <c r="P374" s="6" t="str">
        <f>VLOOKUP(D374,'シート2'!A:B, 2, 0)</f>
        <v>チノ</v>
      </c>
    </row>
    <row r="375">
      <c r="A375" s="1" t="s">
        <v>903</v>
      </c>
      <c r="B375" s="3" t="s">
        <v>904</v>
      </c>
      <c r="C375" s="1" t="s">
        <v>16</v>
      </c>
      <c r="D375" s="1" t="s">
        <v>286</v>
      </c>
      <c r="E375" s="1" t="s">
        <v>608</v>
      </c>
      <c r="F375" s="1" t="str">
        <f>IFERROR(__xludf.DUMMYFUNCTION("SPLIT(E375,""&gt;"")"),"Japanese Rarepepe")</f>
        <v>Japanese Rarepepe</v>
      </c>
      <c r="G375" s="1" t="str">
        <f>IFERROR(__xludf.DUMMYFUNCTION("""COMPUTED_VALUE"""),"Series 05")</f>
        <v>Series 05</v>
      </c>
      <c r="H375" s="1" t="s">
        <v>286</v>
      </c>
      <c r="I375" s="1" t="s">
        <v>609</v>
      </c>
      <c r="J375" s="4">
        <v>42644.0</v>
      </c>
      <c r="K375" s="1">
        <v>5000.0</v>
      </c>
      <c r="L375" s="1">
        <v>500.0</v>
      </c>
      <c r="M375" s="1">
        <v>218.0</v>
      </c>
      <c r="N375" s="6" t="str">
        <f t="shared" si="4"/>
        <v>Japanese Rarepepe🐸</v>
      </c>
      <c r="P375" s="6" t="str">
        <f>VLOOKUP(D375,'シート2'!A:B, 2, 0)</f>
        <v>@MandelDuck</v>
      </c>
    </row>
    <row r="376">
      <c r="A376" s="1" t="s">
        <v>905</v>
      </c>
      <c r="B376" s="3" t="s">
        <v>906</v>
      </c>
      <c r="C376" s="1" t="s">
        <v>16</v>
      </c>
      <c r="D376" s="1" t="s">
        <v>330</v>
      </c>
      <c r="E376" s="1" t="s">
        <v>581</v>
      </c>
      <c r="F376" s="1" t="str">
        <f>IFERROR(__xludf.DUMMYFUNCTION("SPLIT(E376,""&gt;"")"),"Japanese Rarepepe")</f>
        <v>Japanese Rarepepe</v>
      </c>
      <c r="G376" s="1" t="str">
        <f>IFERROR(__xludf.DUMMYFUNCTION("""COMPUTED_VALUE"""),"Series 24")</f>
        <v>Series 24</v>
      </c>
      <c r="H376" s="1" t="s">
        <v>330</v>
      </c>
      <c r="I376" s="1" t="s">
        <v>288</v>
      </c>
      <c r="J376" s="4">
        <v>42917.0</v>
      </c>
      <c r="K376" s="1">
        <v>200.0</v>
      </c>
      <c r="L376" s="1">
        <v>200.0</v>
      </c>
      <c r="M376" s="1">
        <v>1160.0</v>
      </c>
      <c r="N376" s="6" t="str">
        <f t="shared" si="4"/>
        <v>Japanese Rarepepe🐸</v>
      </c>
      <c r="P376" s="6" t="str">
        <f>VLOOKUP(D376,'シート2'!A:B, 2, 0)</f>
        <v>ウーピン</v>
      </c>
    </row>
    <row r="377">
      <c r="A377" s="1" t="s">
        <v>907</v>
      </c>
      <c r="B377" s="3" t="s">
        <v>908</v>
      </c>
      <c r="C377" s="1" t="s">
        <v>16</v>
      </c>
      <c r="D377" s="1" t="s">
        <v>330</v>
      </c>
      <c r="E377" s="1" t="s">
        <v>876</v>
      </c>
      <c r="F377" s="1" t="str">
        <f>IFERROR(__xludf.DUMMYFUNCTION("SPLIT(E377,""&gt;"")"),"Japanese Rarepepe")</f>
        <v>Japanese Rarepepe</v>
      </c>
      <c r="G377" s="1" t="str">
        <f>IFERROR(__xludf.DUMMYFUNCTION("""COMPUTED_VALUE"""),"Series 28")</f>
        <v>Series 28</v>
      </c>
      <c r="H377" s="1" t="s">
        <v>330</v>
      </c>
      <c r="I377" s="1" t="s">
        <v>545</v>
      </c>
      <c r="J377" s="4">
        <v>42979.0</v>
      </c>
      <c r="K377" s="1">
        <v>200.0</v>
      </c>
      <c r="L377" s="1">
        <v>200.0</v>
      </c>
      <c r="M377" s="1">
        <v>1367.0</v>
      </c>
      <c r="N377" s="6" t="str">
        <f t="shared" si="4"/>
        <v>Japanese Rarepepe🐸</v>
      </c>
      <c r="P377" s="6" t="str">
        <f>VLOOKUP(D377,'シート2'!A:B, 2, 0)</f>
        <v>ウーピン</v>
      </c>
    </row>
    <row r="378">
      <c r="A378" s="1" t="s">
        <v>909</v>
      </c>
      <c r="B378" s="3" t="s">
        <v>910</v>
      </c>
      <c r="C378" s="1" t="s">
        <v>16</v>
      </c>
      <c r="D378" s="1" t="s">
        <v>330</v>
      </c>
      <c r="E378" s="1" t="s">
        <v>876</v>
      </c>
      <c r="F378" s="1" t="str">
        <f>IFERROR(__xludf.DUMMYFUNCTION("SPLIT(E378,""&gt;"")"),"Japanese Rarepepe")</f>
        <v>Japanese Rarepepe</v>
      </c>
      <c r="G378" s="1" t="str">
        <f>IFERROR(__xludf.DUMMYFUNCTION("""COMPUTED_VALUE"""),"Series 28")</f>
        <v>Series 28</v>
      </c>
      <c r="H378" s="1" t="s">
        <v>330</v>
      </c>
      <c r="I378" s="1" t="s">
        <v>545</v>
      </c>
      <c r="J378" s="4">
        <v>42979.0</v>
      </c>
      <c r="K378" s="1">
        <v>250.0</v>
      </c>
      <c r="L378" s="1">
        <v>250.0</v>
      </c>
      <c r="M378" s="1">
        <v>1387.0</v>
      </c>
      <c r="N378" s="6" t="str">
        <f t="shared" si="4"/>
        <v>Japanese Rarepepe🐸</v>
      </c>
      <c r="P378" s="6" t="str">
        <f>VLOOKUP(D378,'シート2'!A:B, 2, 0)</f>
        <v>ウーピン</v>
      </c>
    </row>
    <row r="379">
      <c r="A379" s="1" t="s">
        <v>911</v>
      </c>
      <c r="B379" s="3" t="s">
        <v>912</v>
      </c>
      <c r="C379" s="1" t="s">
        <v>16</v>
      </c>
      <c r="D379" s="1" t="s">
        <v>330</v>
      </c>
      <c r="E379" s="1" t="s">
        <v>604</v>
      </c>
      <c r="F379" s="1" t="str">
        <f>IFERROR(__xludf.DUMMYFUNCTION("SPLIT(E379,""&gt;"")"),"Japanese Rarepepe")</f>
        <v>Japanese Rarepepe</v>
      </c>
      <c r="G379" s="1" t="str">
        <f>IFERROR(__xludf.DUMMYFUNCTION("""COMPUTED_VALUE"""),"Series 29")</f>
        <v>Series 29</v>
      </c>
      <c r="H379" s="1" t="s">
        <v>330</v>
      </c>
      <c r="I379" s="1" t="s">
        <v>545</v>
      </c>
      <c r="J379" s="4">
        <v>42979.0</v>
      </c>
      <c r="K379" s="1">
        <v>198.0</v>
      </c>
      <c r="L379" s="1">
        <v>198.0</v>
      </c>
      <c r="M379" s="1">
        <v>1426.0</v>
      </c>
      <c r="N379" s="6" t="str">
        <f t="shared" si="4"/>
        <v>Japanese Rarepepe🐸</v>
      </c>
      <c r="P379" s="6" t="str">
        <f>VLOOKUP(D379,'シート2'!A:B, 2, 0)</f>
        <v>ウーピン</v>
      </c>
    </row>
    <row r="380">
      <c r="A380" s="1" t="s">
        <v>913</v>
      </c>
      <c r="B380" s="3" t="s">
        <v>914</v>
      </c>
      <c r="C380" s="1" t="s">
        <v>16</v>
      </c>
      <c r="D380" s="1" t="s">
        <v>330</v>
      </c>
      <c r="E380" s="1" t="s">
        <v>797</v>
      </c>
      <c r="F380" s="1" t="str">
        <f>IFERROR(__xludf.DUMMYFUNCTION("SPLIT(E380,""&gt;"")"),"Japanese Rarepepe")</f>
        <v>Japanese Rarepepe</v>
      </c>
      <c r="G380" s="1" t="str">
        <f>IFERROR(__xludf.DUMMYFUNCTION("""COMPUTED_VALUE"""),"Series 30")</f>
        <v>Series 30</v>
      </c>
      <c r="H380" s="1" t="s">
        <v>330</v>
      </c>
      <c r="I380" s="1" t="s">
        <v>545</v>
      </c>
      <c r="J380" s="4">
        <v>42979.0</v>
      </c>
      <c r="K380" s="1">
        <v>195.0</v>
      </c>
      <c r="L380" s="1">
        <v>195.0</v>
      </c>
      <c r="M380" s="1">
        <v>1461.0</v>
      </c>
      <c r="N380" s="6" t="str">
        <f t="shared" si="4"/>
        <v>Japanese Rarepepe🐸</v>
      </c>
      <c r="P380" s="6" t="str">
        <f>VLOOKUP(D380,'シート2'!A:B, 2, 0)</f>
        <v>ウーピン</v>
      </c>
    </row>
    <row r="381">
      <c r="A381" s="1" t="s">
        <v>915</v>
      </c>
      <c r="B381" s="3" t="s">
        <v>916</v>
      </c>
      <c r="C381" s="1" t="s">
        <v>16</v>
      </c>
      <c r="D381" s="1" t="s">
        <v>330</v>
      </c>
      <c r="E381" s="1" t="s">
        <v>797</v>
      </c>
      <c r="F381" s="1" t="str">
        <f>IFERROR(__xludf.DUMMYFUNCTION("SPLIT(E381,""&gt;"")"),"Japanese Rarepepe")</f>
        <v>Japanese Rarepepe</v>
      </c>
      <c r="G381" s="1" t="str">
        <f>IFERROR(__xludf.DUMMYFUNCTION("""COMPUTED_VALUE"""),"Series 30")</f>
        <v>Series 30</v>
      </c>
      <c r="H381" s="1" t="s">
        <v>330</v>
      </c>
      <c r="I381" s="1" t="s">
        <v>853</v>
      </c>
      <c r="J381" s="4">
        <v>43009.0</v>
      </c>
      <c r="K381" s="1">
        <v>195.0</v>
      </c>
      <c r="L381" s="1">
        <v>195.0</v>
      </c>
      <c r="M381" s="1">
        <v>1483.0</v>
      </c>
      <c r="N381" s="6" t="str">
        <f t="shared" si="4"/>
        <v>Japanese Rarepepe🐸</v>
      </c>
      <c r="P381" s="6" t="str">
        <f>VLOOKUP(D381,'シート2'!A:B, 2, 0)</f>
        <v>ウーピン</v>
      </c>
    </row>
    <row r="382">
      <c r="A382" s="1" t="s">
        <v>917</v>
      </c>
      <c r="B382" s="3" t="s">
        <v>918</v>
      </c>
      <c r="C382" s="1" t="s">
        <v>16</v>
      </c>
      <c r="D382" s="1" t="s">
        <v>330</v>
      </c>
      <c r="E382" s="1" t="s">
        <v>781</v>
      </c>
      <c r="F382" s="1" t="str">
        <f>IFERROR(__xludf.DUMMYFUNCTION("SPLIT(E382,""&gt;"")"),"Japanese Rarepepe")</f>
        <v>Japanese Rarepepe</v>
      </c>
      <c r="G382" s="1" t="str">
        <f>IFERROR(__xludf.DUMMYFUNCTION("""COMPUTED_VALUE"""),"Series 32")</f>
        <v>Series 32</v>
      </c>
      <c r="H382" s="1" t="s">
        <v>330</v>
      </c>
      <c r="I382" s="1" t="s">
        <v>782</v>
      </c>
      <c r="J382" s="4">
        <v>43101.0</v>
      </c>
      <c r="K382" s="1">
        <v>100.0</v>
      </c>
      <c r="L382" s="1">
        <v>100.0</v>
      </c>
      <c r="M382" s="1">
        <v>1573.0</v>
      </c>
      <c r="N382" s="6" t="str">
        <f t="shared" si="4"/>
        <v>Japanese Rarepepe🐸</v>
      </c>
      <c r="P382" s="6" t="str">
        <f>VLOOKUP(D382,'シート2'!A:B, 2, 0)</f>
        <v>ウーピン</v>
      </c>
    </row>
    <row r="383">
      <c r="A383" s="1" t="s">
        <v>919</v>
      </c>
      <c r="B383" s="3" t="s">
        <v>920</v>
      </c>
      <c r="C383" s="1" t="s">
        <v>16</v>
      </c>
      <c r="D383" s="1" t="s">
        <v>330</v>
      </c>
      <c r="E383" s="1" t="s">
        <v>921</v>
      </c>
      <c r="F383" s="1" t="str">
        <f>IFERROR(__xludf.DUMMYFUNCTION("SPLIT(E383,""&gt;"")"),"Japanese Rarepepe")</f>
        <v>Japanese Rarepepe</v>
      </c>
      <c r="G383" s="1" t="str">
        <f>IFERROR(__xludf.DUMMYFUNCTION("""COMPUTED_VALUE"""),"Series 34")</f>
        <v>Series 34</v>
      </c>
      <c r="H383" s="1" t="s">
        <v>330</v>
      </c>
      <c r="I383" s="1" t="s">
        <v>823</v>
      </c>
      <c r="J383" s="4">
        <v>43160.0</v>
      </c>
      <c r="K383" s="1">
        <v>100.0</v>
      </c>
      <c r="L383" s="1">
        <v>100.0</v>
      </c>
      <c r="M383" s="1">
        <v>1677.0</v>
      </c>
      <c r="N383" s="6" t="str">
        <f t="shared" si="4"/>
        <v>Japanese Rarepepe🐸</v>
      </c>
      <c r="P383" s="6" t="str">
        <f>VLOOKUP(D383,'シート2'!A:B, 2, 0)</f>
        <v>ウーピン</v>
      </c>
    </row>
    <row r="384">
      <c r="A384" s="1" t="s">
        <v>922</v>
      </c>
      <c r="B384" s="3" t="s">
        <v>923</v>
      </c>
      <c r="C384" s="1" t="s">
        <v>16</v>
      </c>
      <c r="D384" s="1" t="s">
        <v>330</v>
      </c>
      <c r="E384" s="1" t="s">
        <v>921</v>
      </c>
      <c r="F384" s="1" t="str">
        <f>IFERROR(__xludf.DUMMYFUNCTION("SPLIT(E384,""&gt;"")"),"Japanese Rarepepe")</f>
        <v>Japanese Rarepepe</v>
      </c>
      <c r="G384" s="1" t="str">
        <f>IFERROR(__xludf.DUMMYFUNCTION("""COMPUTED_VALUE"""),"Series 34")</f>
        <v>Series 34</v>
      </c>
      <c r="H384" s="1" t="s">
        <v>330</v>
      </c>
      <c r="I384" s="1" t="s">
        <v>823</v>
      </c>
      <c r="J384" s="4">
        <v>43160.0</v>
      </c>
      <c r="K384" s="1">
        <v>300.0</v>
      </c>
      <c r="L384" s="1">
        <v>300.0</v>
      </c>
      <c r="M384" s="1">
        <v>1679.0</v>
      </c>
      <c r="N384" s="6" t="str">
        <f t="shared" si="4"/>
        <v>Japanese Rarepepe🐸</v>
      </c>
      <c r="P384" s="6" t="str">
        <f>VLOOKUP(D384,'シート2'!A:B, 2, 0)</f>
        <v>ウーピン</v>
      </c>
    </row>
    <row r="385">
      <c r="A385" s="1" t="s">
        <v>924</v>
      </c>
      <c r="B385" s="3" t="s">
        <v>925</v>
      </c>
      <c r="C385" s="1" t="s">
        <v>16</v>
      </c>
      <c r="D385" s="1" t="s">
        <v>330</v>
      </c>
      <c r="E385" s="1" t="s">
        <v>822</v>
      </c>
      <c r="F385" s="1" t="str">
        <f>IFERROR(__xludf.DUMMYFUNCTION("SPLIT(E385,""&gt;"")"),"Japanese Rarepepe")</f>
        <v>Japanese Rarepepe</v>
      </c>
      <c r="G385" s="1" t="str">
        <f>IFERROR(__xludf.DUMMYFUNCTION("""COMPUTED_VALUE"""),"Series 35")</f>
        <v>Series 35</v>
      </c>
      <c r="H385" s="1" t="s">
        <v>330</v>
      </c>
      <c r="I385" s="1" t="s">
        <v>823</v>
      </c>
      <c r="J385" s="4">
        <v>43160.0</v>
      </c>
      <c r="K385" s="1">
        <v>150.0</v>
      </c>
      <c r="L385" s="1">
        <v>150.0</v>
      </c>
      <c r="M385" s="1">
        <v>1722.0</v>
      </c>
      <c r="N385" s="6" t="str">
        <f t="shared" si="4"/>
        <v>Japanese Rarepepe🐸</v>
      </c>
      <c r="P385" s="6" t="str">
        <f>VLOOKUP(D385,'シート2'!A:B, 2, 0)</f>
        <v>ウーピン</v>
      </c>
    </row>
    <row r="386">
      <c r="A386" s="1" t="s">
        <v>926</v>
      </c>
      <c r="B386" s="3" t="s">
        <v>927</v>
      </c>
      <c r="C386" s="1" t="s">
        <v>16</v>
      </c>
      <c r="D386" s="1" t="s">
        <v>330</v>
      </c>
      <c r="E386" s="1" t="s">
        <v>822</v>
      </c>
      <c r="F386" s="1" t="str">
        <f>IFERROR(__xludf.DUMMYFUNCTION("SPLIT(E386,""&gt;"")"),"Japanese Rarepepe")</f>
        <v>Japanese Rarepepe</v>
      </c>
      <c r="G386" s="1" t="str">
        <f>IFERROR(__xludf.DUMMYFUNCTION("""COMPUTED_VALUE"""),"Series 35")</f>
        <v>Series 35</v>
      </c>
      <c r="H386" s="1" t="s">
        <v>330</v>
      </c>
      <c r="I386" s="1" t="s">
        <v>823</v>
      </c>
      <c r="J386" s="4">
        <v>43160.0</v>
      </c>
      <c r="K386" s="1">
        <v>100.0</v>
      </c>
      <c r="L386" s="1">
        <v>100.0</v>
      </c>
      <c r="M386" s="1">
        <v>1737.0</v>
      </c>
      <c r="N386" s="6" t="str">
        <f t="shared" si="4"/>
        <v>Japanese Rarepepe🐸</v>
      </c>
      <c r="P386" s="6" t="str">
        <f>VLOOKUP(D386,'シート2'!A:B, 2, 0)</f>
        <v>ウーピン</v>
      </c>
    </row>
    <row r="387">
      <c r="A387" s="1" t="s">
        <v>928</v>
      </c>
      <c r="B387" s="3" t="s">
        <v>929</v>
      </c>
      <c r="C387" s="1" t="s">
        <v>16</v>
      </c>
      <c r="D387" s="1" t="s">
        <v>376</v>
      </c>
      <c r="E387" s="1" t="s">
        <v>792</v>
      </c>
      <c r="F387" s="1" t="str">
        <f>IFERROR(__xludf.DUMMYFUNCTION("SPLIT(E387,""&gt;"")"),"Japanese Rarepepe")</f>
        <v>Japanese Rarepepe</v>
      </c>
      <c r="G387" s="1" t="str">
        <f>IFERROR(__xludf.DUMMYFUNCTION("""COMPUTED_VALUE"""),"Series 25")</f>
        <v>Series 25</v>
      </c>
      <c r="H387" s="1" t="s">
        <v>376</v>
      </c>
      <c r="I387" s="1" t="s">
        <v>395</v>
      </c>
      <c r="J387" s="4">
        <v>42948.0</v>
      </c>
      <c r="K387" s="1">
        <v>100.0</v>
      </c>
      <c r="L387" s="1">
        <v>100.0</v>
      </c>
      <c r="M387" s="1">
        <v>1240.0</v>
      </c>
      <c r="N387" s="6" t="str">
        <f t="shared" si="4"/>
        <v>Japanese Rarepepe🐸</v>
      </c>
      <c r="P387" s="6" t="str">
        <f>VLOOKUP(D387,'シート2'!A:B, 2, 0)</f>
        <v>@CryptoKaiketsuZ</v>
      </c>
    </row>
    <row r="388">
      <c r="A388" s="1" t="s">
        <v>930</v>
      </c>
      <c r="B388" s="3" t="s">
        <v>931</v>
      </c>
      <c r="C388" s="1" t="s">
        <v>16</v>
      </c>
      <c r="D388" s="1" t="s">
        <v>234</v>
      </c>
      <c r="E388" s="1" t="s">
        <v>876</v>
      </c>
      <c r="F388" s="1" t="str">
        <f>IFERROR(__xludf.DUMMYFUNCTION("SPLIT(E388,""&gt;"")"),"Japanese Rarepepe")</f>
        <v>Japanese Rarepepe</v>
      </c>
      <c r="G388" s="1" t="str">
        <f>IFERROR(__xludf.DUMMYFUNCTION("""COMPUTED_VALUE"""),"Series 28")</f>
        <v>Series 28</v>
      </c>
      <c r="H388" s="1" t="s">
        <v>234</v>
      </c>
      <c r="I388" s="1" t="s">
        <v>545</v>
      </c>
      <c r="J388" s="4">
        <v>42979.0</v>
      </c>
      <c r="K388" s="1">
        <v>500.0</v>
      </c>
      <c r="L388" s="1">
        <v>500.0</v>
      </c>
      <c r="M388" s="1">
        <v>1370.0</v>
      </c>
      <c r="N388" s="6" t="str">
        <f t="shared" si="4"/>
        <v>Japanese Rarepepe🐸</v>
      </c>
      <c r="P388" s="6" t="str">
        <f>VLOOKUP(D388,'シート2'!A:B, 2, 0)</f>
        <v>栗饅頭</v>
      </c>
    </row>
    <row r="389">
      <c r="A389" s="1" t="s">
        <v>932</v>
      </c>
      <c r="B389" s="3" t="s">
        <v>933</v>
      </c>
      <c r="C389" s="1" t="s">
        <v>16</v>
      </c>
      <c r="D389" s="1" t="s">
        <v>234</v>
      </c>
      <c r="E389" s="1" t="s">
        <v>876</v>
      </c>
      <c r="F389" s="1" t="str">
        <f>IFERROR(__xludf.DUMMYFUNCTION("SPLIT(E389,""&gt;"")"),"Japanese Rarepepe")</f>
        <v>Japanese Rarepepe</v>
      </c>
      <c r="G389" s="1" t="str">
        <f>IFERROR(__xludf.DUMMYFUNCTION("""COMPUTED_VALUE"""),"Series 28")</f>
        <v>Series 28</v>
      </c>
      <c r="H389" s="1" t="s">
        <v>234</v>
      </c>
      <c r="I389" s="1" t="s">
        <v>545</v>
      </c>
      <c r="J389" s="4">
        <v>42979.0</v>
      </c>
      <c r="K389" s="1">
        <v>100.0</v>
      </c>
      <c r="L389" s="1">
        <v>100.0</v>
      </c>
      <c r="M389" s="1">
        <v>1380.0</v>
      </c>
      <c r="N389" s="6" t="str">
        <f t="shared" si="4"/>
        <v>Japanese Rarepepe🐸</v>
      </c>
      <c r="P389" s="6" t="str">
        <f>VLOOKUP(D389,'シート2'!A:B, 2, 0)</f>
        <v>栗饅頭</v>
      </c>
    </row>
    <row r="390">
      <c r="A390" s="1" t="s">
        <v>934</v>
      </c>
      <c r="B390" s="3" t="s">
        <v>935</v>
      </c>
      <c r="C390" s="1" t="s">
        <v>16</v>
      </c>
      <c r="D390" s="1" t="s">
        <v>44</v>
      </c>
      <c r="E390" s="1" t="s">
        <v>604</v>
      </c>
      <c r="F390" s="1" t="str">
        <f>IFERROR(__xludf.DUMMYFUNCTION("SPLIT(E390,""&gt;"")"),"Japanese Rarepepe")</f>
        <v>Japanese Rarepepe</v>
      </c>
      <c r="G390" s="1" t="str">
        <f>IFERROR(__xludf.DUMMYFUNCTION("""COMPUTED_VALUE"""),"Series 29")</f>
        <v>Series 29</v>
      </c>
      <c r="H390" s="1" t="s">
        <v>44</v>
      </c>
      <c r="I390" s="1" t="s">
        <v>545</v>
      </c>
      <c r="J390" s="4">
        <v>42979.0</v>
      </c>
      <c r="K390" s="1">
        <v>150.0</v>
      </c>
      <c r="L390" s="1">
        <v>150.0</v>
      </c>
      <c r="M390" s="1">
        <v>1424.0</v>
      </c>
      <c r="N390" s="6" t="str">
        <f t="shared" si="4"/>
        <v>Japanese Rarepepe🐸</v>
      </c>
      <c r="P390" s="6" t="str">
        <f>VLOOKUP(D390,'シート2'!A:B, 2, 0)</f>
        <v>Anonymous</v>
      </c>
    </row>
    <row r="391">
      <c r="A391" s="1" t="s">
        <v>936</v>
      </c>
      <c r="B391" s="3" t="s">
        <v>937</v>
      </c>
      <c r="C391" s="1" t="s">
        <v>16</v>
      </c>
      <c r="D391" s="1" t="s">
        <v>44</v>
      </c>
      <c r="E391" s="1" t="s">
        <v>797</v>
      </c>
      <c r="F391" s="1" t="str">
        <f>IFERROR(__xludf.DUMMYFUNCTION("SPLIT(E391,""&gt;"")"),"Japanese Rarepepe")</f>
        <v>Japanese Rarepepe</v>
      </c>
      <c r="G391" s="1" t="str">
        <f>IFERROR(__xludf.DUMMYFUNCTION("""COMPUTED_VALUE"""),"Series 30")</f>
        <v>Series 30</v>
      </c>
      <c r="H391" s="1" t="s">
        <v>44</v>
      </c>
      <c r="I391" s="1" t="s">
        <v>853</v>
      </c>
      <c r="J391" s="4">
        <v>43009.0</v>
      </c>
      <c r="K391" s="1">
        <v>100.0</v>
      </c>
      <c r="L391" s="1">
        <v>100.0</v>
      </c>
      <c r="M391" s="1">
        <v>1484.0</v>
      </c>
      <c r="N391" s="6" t="str">
        <f t="shared" si="4"/>
        <v>Japanese Rarepepe🐸</v>
      </c>
      <c r="P391" s="6" t="str">
        <f>VLOOKUP(D391,'シート2'!A:B, 2, 0)</f>
        <v>Anonymous</v>
      </c>
    </row>
    <row r="392">
      <c r="A392" s="1" t="s">
        <v>938</v>
      </c>
      <c r="B392" s="3" t="s">
        <v>939</v>
      </c>
      <c r="C392" s="1" t="s">
        <v>16</v>
      </c>
      <c r="D392" s="1" t="s">
        <v>422</v>
      </c>
      <c r="E392" s="1" t="s">
        <v>792</v>
      </c>
      <c r="F392" s="1" t="str">
        <f>IFERROR(__xludf.DUMMYFUNCTION("SPLIT(E392,""&gt;"")"),"Japanese Rarepepe")</f>
        <v>Japanese Rarepepe</v>
      </c>
      <c r="G392" s="1" t="str">
        <f>IFERROR(__xludf.DUMMYFUNCTION("""COMPUTED_VALUE"""),"Series 25")</f>
        <v>Series 25</v>
      </c>
      <c r="H392" s="1" t="s">
        <v>423</v>
      </c>
      <c r="I392" s="1" t="s">
        <v>395</v>
      </c>
      <c r="J392" s="4">
        <v>42948.0</v>
      </c>
      <c r="K392" s="1">
        <v>100.0</v>
      </c>
      <c r="L392" s="1">
        <v>100.0</v>
      </c>
      <c r="M392" s="1">
        <v>1239.0</v>
      </c>
      <c r="N392" s="6" t="str">
        <f t="shared" si="4"/>
        <v>Japanese Rarepepe🐸</v>
      </c>
      <c r="P392" s="6" t="str">
        <f>VLOOKUP(D392,'シート2'!A:B, 2, 0)</f>
        <v>@kouteipenpen_f</v>
      </c>
    </row>
    <row r="393">
      <c r="A393" s="1" t="s">
        <v>940</v>
      </c>
      <c r="B393" s="3" t="s">
        <v>941</v>
      </c>
      <c r="C393" s="1" t="s">
        <v>16</v>
      </c>
      <c r="D393" s="1" t="s">
        <v>422</v>
      </c>
      <c r="E393" s="1" t="s">
        <v>584</v>
      </c>
      <c r="F393" s="1" t="str">
        <f>IFERROR(__xludf.DUMMYFUNCTION("SPLIT(E393,""&gt;"")"),"Japanese Rarepepe")</f>
        <v>Japanese Rarepepe</v>
      </c>
      <c r="G393" s="1" t="str">
        <f>IFERROR(__xludf.DUMMYFUNCTION("""COMPUTED_VALUE"""),"Series 27")</f>
        <v>Series 27</v>
      </c>
      <c r="H393" s="1" t="s">
        <v>423</v>
      </c>
      <c r="I393" s="1" t="s">
        <v>395</v>
      </c>
      <c r="J393" s="4">
        <v>42948.0</v>
      </c>
      <c r="K393" s="1">
        <v>100.0</v>
      </c>
      <c r="L393" s="1">
        <v>100.0</v>
      </c>
      <c r="M393" s="1">
        <v>1313.0</v>
      </c>
      <c r="N393" s="6" t="str">
        <f t="shared" si="4"/>
        <v>Japanese Rarepepe🐸</v>
      </c>
      <c r="P393" s="6" t="str">
        <f>VLOOKUP(D393,'シート2'!A:B, 2, 0)</f>
        <v>@kouteipenpen_f</v>
      </c>
    </row>
    <row r="394">
      <c r="A394" s="1" t="s">
        <v>942</v>
      </c>
      <c r="B394" s="3" t="s">
        <v>943</v>
      </c>
      <c r="C394" s="1" t="s">
        <v>16</v>
      </c>
      <c r="D394" s="1" t="s">
        <v>422</v>
      </c>
      <c r="E394" s="1" t="s">
        <v>584</v>
      </c>
      <c r="F394" s="1" t="str">
        <f>IFERROR(__xludf.DUMMYFUNCTION("SPLIT(E394,""&gt;"")"),"Japanese Rarepepe")</f>
        <v>Japanese Rarepepe</v>
      </c>
      <c r="G394" s="1" t="str">
        <f>IFERROR(__xludf.DUMMYFUNCTION("""COMPUTED_VALUE"""),"Series 27")</f>
        <v>Series 27</v>
      </c>
      <c r="H394" s="1" t="s">
        <v>423</v>
      </c>
      <c r="I394" s="1" t="s">
        <v>395</v>
      </c>
      <c r="J394" s="4">
        <v>42948.0</v>
      </c>
      <c r="K394" s="1">
        <v>100.0</v>
      </c>
      <c r="L394" s="1">
        <v>100.0</v>
      </c>
      <c r="M394" s="1">
        <v>1331.0</v>
      </c>
      <c r="N394" s="6" t="str">
        <f t="shared" si="4"/>
        <v>Japanese Rarepepe🐸</v>
      </c>
      <c r="P394" s="6" t="str">
        <f>VLOOKUP(D394,'シート2'!A:B, 2, 0)</f>
        <v>@kouteipenpen_f</v>
      </c>
    </row>
    <row r="395">
      <c r="A395" s="1" t="s">
        <v>944</v>
      </c>
      <c r="B395" s="3" t="s">
        <v>945</v>
      </c>
      <c r="C395" s="1" t="s">
        <v>16</v>
      </c>
      <c r="D395" s="1" t="s">
        <v>422</v>
      </c>
      <c r="E395" s="1" t="s">
        <v>876</v>
      </c>
      <c r="F395" s="1" t="str">
        <f>IFERROR(__xludf.DUMMYFUNCTION("SPLIT(E395,""&gt;"")"),"Japanese Rarepepe")</f>
        <v>Japanese Rarepepe</v>
      </c>
      <c r="G395" s="1" t="str">
        <f>IFERROR(__xludf.DUMMYFUNCTION("""COMPUTED_VALUE"""),"Series 28")</f>
        <v>Series 28</v>
      </c>
      <c r="H395" s="1" t="s">
        <v>423</v>
      </c>
      <c r="I395" s="1" t="s">
        <v>545</v>
      </c>
      <c r="J395" s="4">
        <v>42979.0</v>
      </c>
      <c r="K395" s="1">
        <v>100.0</v>
      </c>
      <c r="L395" s="1">
        <v>100.0</v>
      </c>
      <c r="M395" s="1">
        <v>1350.0</v>
      </c>
      <c r="N395" s="6" t="str">
        <f t="shared" si="4"/>
        <v>Japanese Rarepepe🐸</v>
      </c>
      <c r="P395" s="6" t="str">
        <f>VLOOKUP(D395,'シート2'!A:B, 2, 0)</f>
        <v>@kouteipenpen_f</v>
      </c>
    </row>
    <row r="396">
      <c r="A396" s="1" t="s">
        <v>946</v>
      </c>
      <c r="B396" s="3" t="s">
        <v>947</v>
      </c>
      <c r="C396" s="1" t="s">
        <v>16</v>
      </c>
      <c r="D396" s="1" t="s">
        <v>422</v>
      </c>
      <c r="E396" s="1" t="s">
        <v>876</v>
      </c>
      <c r="F396" s="1" t="str">
        <f>IFERROR(__xludf.DUMMYFUNCTION("SPLIT(E396,""&gt;"")"),"Japanese Rarepepe")</f>
        <v>Japanese Rarepepe</v>
      </c>
      <c r="G396" s="1" t="str">
        <f>IFERROR(__xludf.DUMMYFUNCTION("""COMPUTED_VALUE"""),"Series 28")</f>
        <v>Series 28</v>
      </c>
      <c r="H396" s="1" t="s">
        <v>423</v>
      </c>
      <c r="I396" s="1" t="s">
        <v>545</v>
      </c>
      <c r="J396" s="4">
        <v>42979.0</v>
      </c>
      <c r="K396" s="1">
        <v>100.0</v>
      </c>
      <c r="L396" s="1">
        <v>100.0</v>
      </c>
      <c r="M396" s="1">
        <v>1394.0</v>
      </c>
      <c r="N396" s="6" t="str">
        <f t="shared" si="4"/>
        <v>Japanese Rarepepe🐸</v>
      </c>
      <c r="P396" s="6" t="str">
        <f>VLOOKUP(D396,'シート2'!A:B, 2, 0)</f>
        <v>@kouteipenpen_f</v>
      </c>
    </row>
    <row r="397">
      <c r="A397" s="1" t="s">
        <v>948</v>
      </c>
      <c r="B397" s="3" t="s">
        <v>949</v>
      </c>
      <c r="C397" s="1" t="s">
        <v>16</v>
      </c>
      <c r="D397" s="1" t="s">
        <v>422</v>
      </c>
      <c r="E397" s="1" t="s">
        <v>604</v>
      </c>
      <c r="F397" s="1" t="str">
        <f>IFERROR(__xludf.DUMMYFUNCTION("SPLIT(E397,""&gt;"")"),"Japanese Rarepepe")</f>
        <v>Japanese Rarepepe</v>
      </c>
      <c r="G397" s="1" t="str">
        <f>IFERROR(__xludf.DUMMYFUNCTION("""COMPUTED_VALUE"""),"Series 29")</f>
        <v>Series 29</v>
      </c>
      <c r="H397" s="1" t="s">
        <v>423</v>
      </c>
      <c r="I397" s="1" t="s">
        <v>545</v>
      </c>
      <c r="J397" s="4">
        <v>42979.0</v>
      </c>
      <c r="K397" s="1">
        <v>100.0</v>
      </c>
      <c r="L397" s="1">
        <v>100.0</v>
      </c>
      <c r="M397" s="1">
        <v>1408.0</v>
      </c>
      <c r="N397" s="6" t="str">
        <f t="shared" si="4"/>
        <v>Japanese Rarepepe🐸</v>
      </c>
      <c r="P397" s="6" t="str">
        <f>VLOOKUP(D397,'シート2'!A:B, 2, 0)</f>
        <v>@kouteipenpen_f</v>
      </c>
    </row>
    <row r="398">
      <c r="A398" s="1" t="s">
        <v>950</v>
      </c>
      <c r="B398" s="3" t="s">
        <v>951</v>
      </c>
      <c r="C398" s="1" t="s">
        <v>16</v>
      </c>
      <c r="D398" s="1" t="s">
        <v>422</v>
      </c>
      <c r="E398" s="1" t="s">
        <v>604</v>
      </c>
      <c r="F398" s="1" t="str">
        <f>IFERROR(__xludf.DUMMYFUNCTION("SPLIT(E398,""&gt;"")"),"Japanese Rarepepe")</f>
        <v>Japanese Rarepepe</v>
      </c>
      <c r="G398" s="1" t="str">
        <f>IFERROR(__xludf.DUMMYFUNCTION("""COMPUTED_VALUE"""),"Series 29")</f>
        <v>Series 29</v>
      </c>
      <c r="H398" s="1" t="s">
        <v>423</v>
      </c>
      <c r="I398" s="1" t="s">
        <v>545</v>
      </c>
      <c r="J398" s="4">
        <v>42979.0</v>
      </c>
      <c r="K398" s="1">
        <v>100.0</v>
      </c>
      <c r="L398" s="1">
        <v>100.0</v>
      </c>
      <c r="M398" s="1">
        <v>1425.0</v>
      </c>
      <c r="N398" s="6" t="str">
        <f t="shared" si="4"/>
        <v>Japanese Rarepepe🐸</v>
      </c>
      <c r="P398" s="6" t="str">
        <f>VLOOKUP(D398,'シート2'!A:B, 2, 0)</f>
        <v>@kouteipenpen_f</v>
      </c>
    </row>
    <row r="399">
      <c r="A399" s="1" t="s">
        <v>952</v>
      </c>
      <c r="B399" s="3" t="s">
        <v>953</v>
      </c>
      <c r="C399" s="1" t="s">
        <v>16</v>
      </c>
      <c r="D399" s="1" t="s">
        <v>422</v>
      </c>
      <c r="E399" s="1" t="s">
        <v>797</v>
      </c>
      <c r="F399" s="1" t="str">
        <f>IFERROR(__xludf.DUMMYFUNCTION("SPLIT(E399,""&gt;"")"),"Japanese Rarepepe")</f>
        <v>Japanese Rarepepe</v>
      </c>
      <c r="G399" s="1" t="str">
        <f>IFERROR(__xludf.DUMMYFUNCTION("""COMPUTED_VALUE"""),"Series 30")</f>
        <v>Series 30</v>
      </c>
      <c r="H399" s="1" t="s">
        <v>423</v>
      </c>
      <c r="I399" s="1" t="s">
        <v>853</v>
      </c>
      <c r="J399" s="4">
        <v>43009.0</v>
      </c>
      <c r="K399" s="1">
        <v>100.0</v>
      </c>
      <c r="L399" s="1">
        <v>100.0</v>
      </c>
      <c r="M399" s="1">
        <v>1466.0</v>
      </c>
      <c r="N399" s="6" t="str">
        <f t="shared" si="4"/>
        <v>Japanese Rarepepe🐸</v>
      </c>
      <c r="P399" s="6" t="str">
        <f>VLOOKUP(D399,'シート2'!A:B, 2, 0)</f>
        <v>@kouteipenpen_f</v>
      </c>
    </row>
    <row r="400">
      <c r="A400" s="1" t="s">
        <v>954</v>
      </c>
      <c r="B400" s="3" t="s">
        <v>955</v>
      </c>
      <c r="C400" s="1" t="s">
        <v>16</v>
      </c>
      <c r="D400" s="1" t="s">
        <v>422</v>
      </c>
      <c r="E400" s="1" t="s">
        <v>813</v>
      </c>
      <c r="F400" s="1" t="str">
        <f>IFERROR(__xludf.DUMMYFUNCTION("SPLIT(E400,""&gt;"")"),"Japanese Rarepepe")</f>
        <v>Japanese Rarepepe</v>
      </c>
      <c r="G400" s="1" t="str">
        <f>IFERROR(__xludf.DUMMYFUNCTION("""COMPUTED_VALUE"""),"Series 31")</f>
        <v>Series 31</v>
      </c>
      <c r="H400" s="1" t="s">
        <v>423</v>
      </c>
      <c r="I400" s="1" t="s">
        <v>782</v>
      </c>
      <c r="J400" s="4">
        <v>43101.0</v>
      </c>
      <c r="K400" s="1">
        <v>100.0</v>
      </c>
      <c r="L400" s="1">
        <v>99.0</v>
      </c>
      <c r="M400" s="1">
        <v>1507.0</v>
      </c>
      <c r="N400" s="6" t="str">
        <f t="shared" si="4"/>
        <v>Japanese Rarepepe🐸</v>
      </c>
      <c r="P400" s="6" t="str">
        <f>VLOOKUP(D400,'シート2'!A:B, 2, 0)</f>
        <v>@kouteipenpen_f</v>
      </c>
    </row>
    <row r="401">
      <c r="A401" s="1" t="s">
        <v>956</v>
      </c>
      <c r="B401" s="3" t="s">
        <v>957</v>
      </c>
      <c r="C401" s="1" t="s">
        <v>16</v>
      </c>
      <c r="D401" s="1" t="s">
        <v>422</v>
      </c>
      <c r="E401" s="1" t="s">
        <v>921</v>
      </c>
      <c r="F401" s="1" t="str">
        <f>IFERROR(__xludf.DUMMYFUNCTION("SPLIT(E401,""&gt;"")"),"Japanese Rarepepe")</f>
        <v>Japanese Rarepepe</v>
      </c>
      <c r="G401" s="1" t="str">
        <f>IFERROR(__xludf.DUMMYFUNCTION("""COMPUTED_VALUE"""),"Series 34")</f>
        <v>Series 34</v>
      </c>
      <c r="H401" s="1" t="s">
        <v>423</v>
      </c>
      <c r="I401" s="1" t="s">
        <v>823</v>
      </c>
      <c r="J401" s="4">
        <v>43160.0</v>
      </c>
      <c r="K401" s="1">
        <v>100.0</v>
      </c>
      <c r="L401" s="1">
        <v>12.0</v>
      </c>
      <c r="M401" s="1">
        <v>1669.0</v>
      </c>
      <c r="N401" s="6" t="str">
        <f t="shared" si="4"/>
        <v>Japanese Rarepepe🐸</v>
      </c>
      <c r="P401" s="6" t="str">
        <f>VLOOKUP(D401,'シート2'!A:B, 2, 0)</f>
        <v>@kouteipenpen_f</v>
      </c>
    </row>
    <row r="402">
      <c r="A402" s="1" t="s">
        <v>958</v>
      </c>
      <c r="B402" s="3" t="s">
        <v>959</v>
      </c>
      <c r="C402" s="1" t="s">
        <v>16</v>
      </c>
      <c r="D402" s="1" t="s">
        <v>422</v>
      </c>
      <c r="E402" s="1" t="s">
        <v>826</v>
      </c>
      <c r="F402" s="1" t="str">
        <f>IFERROR(__xludf.DUMMYFUNCTION("SPLIT(E402,""&gt;"")"),"Japanese Rarepepe")</f>
        <v>Japanese Rarepepe</v>
      </c>
      <c r="G402" s="1" t="str">
        <f>IFERROR(__xludf.DUMMYFUNCTION("""COMPUTED_VALUE"""),"Series 36")</f>
        <v>Series 36</v>
      </c>
      <c r="H402" s="1" t="s">
        <v>423</v>
      </c>
      <c r="I402" s="1" t="s">
        <v>823</v>
      </c>
      <c r="J402" s="4">
        <v>43160.0</v>
      </c>
      <c r="K402" s="1">
        <v>100.0</v>
      </c>
      <c r="L402" s="1">
        <v>100.0</v>
      </c>
      <c r="M402" s="1">
        <v>1771.0</v>
      </c>
      <c r="N402" s="6" t="str">
        <f t="shared" si="4"/>
        <v>Japanese Rarepepe🐸</v>
      </c>
      <c r="P402" s="6" t="str">
        <f>VLOOKUP(D402,'シート2'!A:B, 2, 0)</f>
        <v>@kouteipenpen_f</v>
      </c>
    </row>
    <row r="403">
      <c r="A403" s="1" t="s">
        <v>960</v>
      </c>
      <c r="B403" s="3" t="s">
        <v>961</v>
      </c>
      <c r="C403" s="1" t="s">
        <v>16</v>
      </c>
      <c r="D403" s="1" t="s">
        <v>713</v>
      </c>
      <c r="E403" s="1" t="s">
        <v>744</v>
      </c>
      <c r="F403" s="1" t="str">
        <f>IFERROR(__xludf.DUMMYFUNCTION("SPLIT(E403,""&gt;"")"),"BitGirls")</f>
        <v>BitGirls</v>
      </c>
      <c r="G403" s="1" t="str">
        <f>IFERROR(__xludf.DUMMYFUNCTION("""COMPUTED_VALUE"""),"Christmas")</f>
        <v>Christmas</v>
      </c>
      <c r="H403" s="1" t="s">
        <v>713</v>
      </c>
      <c r="I403" s="1" t="s">
        <v>636</v>
      </c>
      <c r="J403" s="4">
        <v>42705.0</v>
      </c>
      <c r="K403" s="1">
        <v>1000.0</v>
      </c>
      <c r="L403" s="1">
        <v>1000.0</v>
      </c>
      <c r="M403" s="1">
        <v>19.0</v>
      </c>
      <c r="N403" s="5" t="s">
        <v>713</v>
      </c>
      <c r="P403" s="6" t="str">
        <f>VLOOKUP(D403,'シート2'!A:B, 2, 0)</f>
        <v>@zaifdotjp</v>
      </c>
    </row>
    <row r="404">
      <c r="A404" s="1" t="s">
        <v>962</v>
      </c>
      <c r="B404" s="3" t="s">
        <v>963</v>
      </c>
      <c r="C404" s="1" t="s">
        <v>16</v>
      </c>
      <c r="D404" s="1" t="s">
        <v>713</v>
      </c>
      <c r="E404" s="1" t="s">
        <v>964</v>
      </c>
      <c r="F404" s="1" t="str">
        <f>IFERROR(__xludf.DUMMYFUNCTION("SPLIT(E404,""&gt;"")"),"BitGirls")</f>
        <v>BitGirls</v>
      </c>
      <c r="G404" s="1" t="str">
        <f>IFERROR(__xludf.DUMMYFUNCTION("""COMPUTED_VALUE"""),"Special")</f>
        <v>Special</v>
      </c>
      <c r="H404" s="1" t="s">
        <v>713</v>
      </c>
      <c r="I404" s="1" t="s">
        <v>636</v>
      </c>
      <c r="J404" s="4">
        <v>42705.0</v>
      </c>
      <c r="K404" s="1">
        <v>500.0</v>
      </c>
      <c r="L404" s="1">
        <v>500.0</v>
      </c>
      <c r="M404" s="1">
        <v>20.0</v>
      </c>
      <c r="N404" s="5" t="s">
        <v>713</v>
      </c>
      <c r="P404" s="6" t="str">
        <f>VLOOKUP(D404,'シート2'!A:B, 2, 0)</f>
        <v>@zaifdotjp</v>
      </c>
    </row>
    <row r="405">
      <c r="A405" s="1" t="s">
        <v>965</v>
      </c>
      <c r="B405" s="3" t="s">
        <v>966</v>
      </c>
      <c r="C405" s="1" t="s">
        <v>16</v>
      </c>
      <c r="D405" s="1" t="s">
        <v>713</v>
      </c>
      <c r="E405" s="1" t="s">
        <v>964</v>
      </c>
      <c r="F405" s="1" t="str">
        <f>IFERROR(__xludf.DUMMYFUNCTION("SPLIT(E405,""&gt;"")"),"BitGirls")</f>
        <v>BitGirls</v>
      </c>
      <c r="G405" s="1" t="str">
        <f>IFERROR(__xludf.DUMMYFUNCTION("""COMPUTED_VALUE"""),"Special")</f>
        <v>Special</v>
      </c>
      <c r="H405" s="1" t="s">
        <v>713</v>
      </c>
      <c r="I405" s="1" t="s">
        <v>636</v>
      </c>
      <c r="J405" s="4">
        <v>42705.0</v>
      </c>
      <c r="K405" s="1">
        <v>500.0</v>
      </c>
      <c r="L405" s="1">
        <v>500.0</v>
      </c>
      <c r="M405" s="1">
        <v>21.0</v>
      </c>
      <c r="N405" s="5" t="s">
        <v>713</v>
      </c>
      <c r="P405" s="6" t="str">
        <f>VLOOKUP(D405,'シート2'!A:B, 2, 0)</f>
        <v>@zaifdotjp</v>
      </c>
    </row>
    <row r="406">
      <c r="A406" s="1" t="s">
        <v>967</v>
      </c>
      <c r="B406" s="3" t="s">
        <v>968</v>
      </c>
      <c r="C406" s="1" t="s">
        <v>16</v>
      </c>
      <c r="D406" s="1" t="s">
        <v>713</v>
      </c>
      <c r="E406" s="1" t="s">
        <v>714</v>
      </c>
      <c r="F406" s="1" t="str">
        <f>IFERROR(__xludf.DUMMYFUNCTION("SPLIT(E406,""&gt;"")"),"BitGirls")</f>
        <v>BitGirls</v>
      </c>
      <c r="G406" s="1" t="str">
        <f>IFERROR(__xludf.DUMMYFUNCTION("""COMPUTED_VALUE"""),"Block3")</f>
        <v>Block3</v>
      </c>
      <c r="H406" s="1" t="s">
        <v>713</v>
      </c>
      <c r="I406" s="1" t="s">
        <v>715</v>
      </c>
      <c r="J406" s="4">
        <v>42736.0</v>
      </c>
      <c r="K406" s="1">
        <v>500.0</v>
      </c>
      <c r="L406" s="1">
        <v>500.0</v>
      </c>
      <c r="M406" s="1">
        <v>22.0</v>
      </c>
      <c r="N406" s="5" t="s">
        <v>713</v>
      </c>
      <c r="P406" s="6" t="str">
        <f>VLOOKUP(D406,'シート2'!A:B, 2, 0)</f>
        <v>@zaifdotjp</v>
      </c>
    </row>
    <row r="407">
      <c r="A407" s="1" t="s">
        <v>969</v>
      </c>
      <c r="B407" s="3" t="s">
        <v>970</v>
      </c>
      <c r="C407" s="1" t="s">
        <v>16</v>
      </c>
      <c r="D407" s="1" t="s">
        <v>713</v>
      </c>
      <c r="E407" s="1" t="s">
        <v>714</v>
      </c>
      <c r="F407" s="1" t="str">
        <f>IFERROR(__xludf.DUMMYFUNCTION("SPLIT(E407,""&gt;"")"),"BitGirls")</f>
        <v>BitGirls</v>
      </c>
      <c r="G407" s="1" t="str">
        <f>IFERROR(__xludf.DUMMYFUNCTION("""COMPUTED_VALUE"""),"Block3")</f>
        <v>Block3</v>
      </c>
      <c r="H407" s="1" t="s">
        <v>713</v>
      </c>
      <c r="I407" s="1" t="s">
        <v>715</v>
      </c>
      <c r="J407" s="4">
        <v>42736.0</v>
      </c>
      <c r="K407" s="1">
        <v>500.0</v>
      </c>
      <c r="L407" s="1">
        <v>500.0</v>
      </c>
      <c r="M407" s="1">
        <v>24.0</v>
      </c>
      <c r="N407" s="5" t="s">
        <v>713</v>
      </c>
      <c r="P407" s="6" t="str">
        <f>VLOOKUP(D407,'シート2'!A:B, 2, 0)</f>
        <v>@zaifdotjp</v>
      </c>
    </row>
    <row r="408">
      <c r="A408" s="1" t="s">
        <v>971</v>
      </c>
      <c r="B408" s="3" t="s">
        <v>972</v>
      </c>
      <c r="C408" s="1" t="s">
        <v>16</v>
      </c>
      <c r="D408" s="1" t="s">
        <v>713</v>
      </c>
      <c r="E408" s="1" t="s">
        <v>714</v>
      </c>
      <c r="F408" s="1" t="str">
        <f>IFERROR(__xludf.DUMMYFUNCTION("SPLIT(E408,""&gt;"")"),"BitGirls")</f>
        <v>BitGirls</v>
      </c>
      <c r="G408" s="1" t="str">
        <f>IFERROR(__xludf.DUMMYFUNCTION("""COMPUTED_VALUE"""),"Block3")</f>
        <v>Block3</v>
      </c>
      <c r="H408" s="1" t="s">
        <v>713</v>
      </c>
      <c r="I408" s="1" t="s">
        <v>715</v>
      </c>
      <c r="J408" s="4">
        <v>42736.0</v>
      </c>
      <c r="K408" s="1">
        <v>500.0</v>
      </c>
      <c r="L408" s="1">
        <v>500.0</v>
      </c>
      <c r="M408" s="1">
        <v>25.0</v>
      </c>
      <c r="N408" s="5" t="s">
        <v>713</v>
      </c>
      <c r="P408" s="6" t="str">
        <f>VLOOKUP(D408,'シート2'!A:B, 2, 0)</f>
        <v>@zaifdotjp</v>
      </c>
    </row>
    <row r="409">
      <c r="A409" s="1" t="s">
        <v>973</v>
      </c>
      <c r="B409" s="3" t="s">
        <v>974</v>
      </c>
      <c r="C409" s="1" t="s">
        <v>16</v>
      </c>
      <c r="D409" s="1" t="s">
        <v>713</v>
      </c>
      <c r="E409" s="1" t="s">
        <v>714</v>
      </c>
      <c r="F409" s="1" t="str">
        <f>IFERROR(__xludf.DUMMYFUNCTION("SPLIT(E409,""&gt;"")"),"BitGirls")</f>
        <v>BitGirls</v>
      </c>
      <c r="G409" s="1" t="str">
        <f>IFERROR(__xludf.DUMMYFUNCTION("""COMPUTED_VALUE"""),"Block3")</f>
        <v>Block3</v>
      </c>
      <c r="H409" s="1" t="s">
        <v>713</v>
      </c>
      <c r="I409" s="1" t="s">
        <v>715</v>
      </c>
      <c r="J409" s="4">
        <v>42736.0</v>
      </c>
      <c r="K409" s="1">
        <v>500.0</v>
      </c>
      <c r="L409" s="1">
        <v>500.0</v>
      </c>
      <c r="M409" s="1">
        <v>26.0</v>
      </c>
      <c r="N409" s="5" t="s">
        <v>713</v>
      </c>
      <c r="P409" s="6" t="str">
        <f>VLOOKUP(D409,'シート2'!A:B, 2, 0)</f>
        <v>@zaifdotjp</v>
      </c>
    </row>
    <row r="410">
      <c r="A410" s="1" t="s">
        <v>975</v>
      </c>
      <c r="B410" s="3" t="s">
        <v>976</v>
      </c>
      <c r="C410" s="1" t="s">
        <v>16</v>
      </c>
      <c r="D410" s="1" t="s">
        <v>713</v>
      </c>
      <c r="E410" s="1" t="s">
        <v>714</v>
      </c>
      <c r="F410" s="1" t="str">
        <f>IFERROR(__xludf.DUMMYFUNCTION("SPLIT(E410,""&gt;"")"),"BitGirls")</f>
        <v>BitGirls</v>
      </c>
      <c r="G410" s="1" t="str">
        <f>IFERROR(__xludf.DUMMYFUNCTION("""COMPUTED_VALUE"""),"Block3")</f>
        <v>Block3</v>
      </c>
      <c r="H410" s="1" t="s">
        <v>713</v>
      </c>
      <c r="I410" s="1" t="s">
        <v>715</v>
      </c>
      <c r="J410" s="4">
        <v>42736.0</v>
      </c>
      <c r="K410" s="1">
        <v>500.0</v>
      </c>
      <c r="L410" s="1">
        <v>500.0</v>
      </c>
      <c r="M410" s="1">
        <v>27.0</v>
      </c>
      <c r="N410" s="5" t="s">
        <v>713</v>
      </c>
      <c r="P410" s="6" t="str">
        <f>VLOOKUP(D410,'シート2'!A:B, 2, 0)</f>
        <v>@zaifdotjp</v>
      </c>
    </row>
    <row r="411">
      <c r="A411" s="1" t="s">
        <v>977</v>
      </c>
      <c r="B411" s="3" t="s">
        <v>978</v>
      </c>
      <c r="C411" s="1" t="s">
        <v>16</v>
      </c>
      <c r="D411" s="1" t="s">
        <v>979</v>
      </c>
      <c r="E411" s="1" t="s">
        <v>979</v>
      </c>
      <c r="F411" s="1" t="str">
        <f>IFERROR(__xludf.DUMMYFUNCTION("SPLIT(E411,""&gt;"")"),"Force of Will")</f>
        <v>Force of Will</v>
      </c>
      <c r="G411" s="1"/>
      <c r="H411" s="1" t="s">
        <v>979</v>
      </c>
      <c r="I411" s="1" t="s">
        <v>622</v>
      </c>
      <c r="J411" s="4">
        <v>42675.0</v>
      </c>
      <c r="K411" s="1">
        <v>1000.0</v>
      </c>
      <c r="L411" s="1">
        <v>500.0</v>
      </c>
      <c r="M411" s="1">
        <v>1.0</v>
      </c>
      <c r="N411" s="5" t="s">
        <v>979</v>
      </c>
      <c r="P411" s="6" t="str">
        <f>VLOOKUP(D411,'シート2'!A:B, 2, 0)</f>
        <v>Force of Will</v>
      </c>
    </row>
    <row r="412">
      <c r="A412" s="1" t="s">
        <v>980</v>
      </c>
      <c r="B412" s="3" t="s">
        <v>981</v>
      </c>
      <c r="C412" s="1" t="s">
        <v>16</v>
      </c>
      <c r="D412" s="1" t="s">
        <v>979</v>
      </c>
      <c r="E412" s="1" t="s">
        <v>979</v>
      </c>
      <c r="F412" s="1" t="str">
        <f>IFERROR(__xludf.DUMMYFUNCTION("SPLIT(E412,""&gt;"")"),"Force of Will")</f>
        <v>Force of Will</v>
      </c>
      <c r="G412" s="1"/>
      <c r="H412" s="1" t="s">
        <v>979</v>
      </c>
      <c r="I412" s="1" t="s">
        <v>622</v>
      </c>
      <c r="J412" s="4">
        <v>42675.0</v>
      </c>
      <c r="K412" s="1">
        <v>1000.0</v>
      </c>
      <c r="L412" s="1">
        <v>500.0</v>
      </c>
      <c r="M412" s="1">
        <v>2.0</v>
      </c>
      <c r="N412" s="5" t="s">
        <v>979</v>
      </c>
      <c r="P412" s="6" t="str">
        <f>VLOOKUP(D412,'シート2'!A:B, 2, 0)</f>
        <v>Force of Will</v>
      </c>
    </row>
    <row r="413">
      <c r="A413" s="1" t="s">
        <v>982</v>
      </c>
      <c r="B413" s="3" t="s">
        <v>983</v>
      </c>
      <c r="C413" s="1" t="s">
        <v>16</v>
      </c>
      <c r="D413" s="1" t="s">
        <v>979</v>
      </c>
      <c r="E413" s="1" t="s">
        <v>979</v>
      </c>
      <c r="F413" s="1" t="str">
        <f>IFERROR(__xludf.DUMMYFUNCTION("SPLIT(E413,""&gt;"")"),"Force of Will")</f>
        <v>Force of Will</v>
      </c>
      <c r="G413" s="1"/>
      <c r="H413" s="1" t="s">
        <v>979</v>
      </c>
      <c r="I413" s="1" t="s">
        <v>622</v>
      </c>
      <c r="J413" s="4">
        <v>42675.0</v>
      </c>
      <c r="K413" s="1">
        <v>1000.0</v>
      </c>
      <c r="L413" s="1">
        <v>500.0</v>
      </c>
      <c r="M413" s="1">
        <v>3.0</v>
      </c>
      <c r="N413" s="5" t="s">
        <v>979</v>
      </c>
      <c r="P413" s="6" t="str">
        <f>VLOOKUP(D413,'シート2'!A:B, 2, 0)</f>
        <v>Force of Will</v>
      </c>
    </row>
    <row r="414">
      <c r="A414" s="1" t="s">
        <v>984</v>
      </c>
      <c r="B414" s="3" t="s">
        <v>985</v>
      </c>
      <c r="C414" s="1" t="s">
        <v>16</v>
      </c>
      <c r="D414" s="1" t="s">
        <v>979</v>
      </c>
      <c r="E414" s="1" t="s">
        <v>979</v>
      </c>
      <c r="F414" s="1" t="str">
        <f>IFERROR(__xludf.DUMMYFUNCTION("SPLIT(E414,""&gt;"")"),"Force of Will")</f>
        <v>Force of Will</v>
      </c>
      <c r="G414" s="1"/>
      <c r="H414" s="1" t="s">
        <v>979</v>
      </c>
      <c r="I414" s="1" t="s">
        <v>622</v>
      </c>
      <c r="J414" s="4">
        <v>42675.0</v>
      </c>
      <c r="K414" s="1">
        <v>1000.0</v>
      </c>
      <c r="L414" s="1">
        <v>500.0</v>
      </c>
      <c r="M414" s="1">
        <v>4.0</v>
      </c>
      <c r="N414" s="5" t="s">
        <v>979</v>
      </c>
      <c r="P414" s="6" t="str">
        <f>VLOOKUP(D414,'シート2'!A:B, 2, 0)</f>
        <v>Force of Will</v>
      </c>
    </row>
    <row r="415">
      <c r="A415" s="1" t="s">
        <v>986</v>
      </c>
      <c r="B415" s="3" t="s">
        <v>987</v>
      </c>
      <c r="C415" s="1" t="s">
        <v>16</v>
      </c>
      <c r="D415" s="1" t="s">
        <v>979</v>
      </c>
      <c r="E415" s="1" t="s">
        <v>979</v>
      </c>
      <c r="F415" s="1" t="str">
        <f>IFERROR(__xludf.DUMMYFUNCTION("SPLIT(E415,""&gt;"")"),"Force of Will")</f>
        <v>Force of Will</v>
      </c>
      <c r="G415" s="1"/>
      <c r="H415" s="1" t="s">
        <v>979</v>
      </c>
      <c r="I415" s="1" t="s">
        <v>622</v>
      </c>
      <c r="J415" s="4">
        <v>42675.0</v>
      </c>
      <c r="K415" s="1">
        <v>1000.0</v>
      </c>
      <c r="L415" s="1">
        <v>500.0</v>
      </c>
      <c r="M415" s="1">
        <v>5.0</v>
      </c>
      <c r="N415" s="5" t="s">
        <v>979</v>
      </c>
      <c r="P415" s="6" t="str">
        <f>VLOOKUP(D415,'シート2'!A:B, 2, 0)</f>
        <v>Force of Will</v>
      </c>
    </row>
    <row r="416">
      <c r="A416" s="1" t="s">
        <v>988</v>
      </c>
      <c r="B416" s="3" t="s">
        <v>989</v>
      </c>
      <c r="C416" s="1" t="s">
        <v>16</v>
      </c>
      <c r="D416" s="1" t="s">
        <v>979</v>
      </c>
      <c r="E416" s="1" t="s">
        <v>979</v>
      </c>
      <c r="F416" s="1" t="str">
        <f>IFERROR(__xludf.DUMMYFUNCTION("SPLIT(E416,""&gt;"")"),"Force of Will")</f>
        <v>Force of Will</v>
      </c>
      <c r="G416" s="1"/>
      <c r="H416" s="1" t="s">
        <v>979</v>
      </c>
      <c r="I416" s="1" t="s">
        <v>622</v>
      </c>
      <c r="J416" s="4">
        <v>42675.0</v>
      </c>
      <c r="K416" s="1">
        <v>1000.0</v>
      </c>
      <c r="L416" s="1">
        <v>500.0</v>
      </c>
      <c r="M416" s="1">
        <v>6.0</v>
      </c>
      <c r="N416" s="5" t="s">
        <v>979</v>
      </c>
      <c r="P416" s="6" t="str">
        <f>VLOOKUP(D416,'シート2'!A:B, 2, 0)</f>
        <v>Force of Will</v>
      </c>
    </row>
    <row r="417">
      <c r="A417" s="1" t="s">
        <v>990</v>
      </c>
      <c r="B417" s="3" t="s">
        <v>991</v>
      </c>
      <c r="C417" s="1" t="s">
        <v>16</v>
      </c>
      <c r="D417" s="1" t="s">
        <v>979</v>
      </c>
      <c r="E417" s="1" t="s">
        <v>979</v>
      </c>
      <c r="F417" s="1" t="str">
        <f>IFERROR(__xludf.DUMMYFUNCTION("SPLIT(E417,""&gt;"")"),"Force of Will")</f>
        <v>Force of Will</v>
      </c>
      <c r="G417" s="1"/>
      <c r="H417" s="1" t="s">
        <v>979</v>
      </c>
      <c r="I417" s="1" t="s">
        <v>622</v>
      </c>
      <c r="J417" s="4">
        <v>42675.0</v>
      </c>
      <c r="K417" s="1">
        <v>1000.0</v>
      </c>
      <c r="L417" s="1">
        <v>500.0</v>
      </c>
      <c r="M417" s="1">
        <v>7.0</v>
      </c>
      <c r="N417" s="5" t="s">
        <v>979</v>
      </c>
      <c r="P417" s="6" t="str">
        <f>VLOOKUP(D417,'シート2'!A:B, 2, 0)</f>
        <v>Force of Will</v>
      </c>
    </row>
    <row r="418">
      <c r="A418" s="1" t="s">
        <v>992</v>
      </c>
      <c r="B418" s="3" t="s">
        <v>993</v>
      </c>
      <c r="C418" s="1" t="s">
        <v>16</v>
      </c>
      <c r="D418" s="1" t="s">
        <v>979</v>
      </c>
      <c r="E418" s="1" t="s">
        <v>979</v>
      </c>
      <c r="F418" s="1" t="str">
        <f>IFERROR(__xludf.DUMMYFUNCTION("SPLIT(E418,""&gt;"")"),"Force of Will")</f>
        <v>Force of Will</v>
      </c>
      <c r="G418" s="1"/>
      <c r="H418" s="1" t="s">
        <v>979</v>
      </c>
      <c r="I418" s="1" t="s">
        <v>622</v>
      </c>
      <c r="J418" s="4">
        <v>42675.0</v>
      </c>
      <c r="K418" s="1">
        <v>1000.0</v>
      </c>
      <c r="L418" s="1">
        <v>500.0</v>
      </c>
      <c r="M418" s="1">
        <v>8.0</v>
      </c>
      <c r="N418" s="5" t="s">
        <v>979</v>
      </c>
      <c r="P418" s="6" t="str">
        <f>VLOOKUP(D418,'シート2'!A:B, 2, 0)</f>
        <v>Force of Will</v>
      </c>
    </row>
    <row r="419">
      <c r="A419" s="1" t="s">
        <v>994</v>
      </c>
      <c r="B419" s="3" t="s">
        <v>995</v>
      </c>
      <c r="C419" s="1" t="s">
        <v>16</v>
      </c>
      <c r="D419" s="1" t="s">
        <v>979</v>
      </c>
      <c r="E419" s="1" t="s">
        <v>979</v>
      </c>
      <c r="F419" s="1" t="str">
        <f>IFERROR(__xludf.DUMMYFUNCTION("SPLIT(E419,""&gt;"")"),"Force of Will")</f>
        <v>Force of Will</v>
      </c>
      <c r="G419" s="1"/>
      <c r="H419" s="1" t="s">
        <v>979</v>
      </c>
      <c r="I419" s="1" t="s">
        <v>622</v>
      </c>
      <c r="J419" s="4">
        <v>42675.0</v>
      </c>
      <c r="K419" s="1">
        <v>1000.0</v>
      </c>
      <c r="L419" s="1">
        <v>500.0</v>
      </c>
      <c r="M419" s="1">
        <v>9.0</v>
      </c>
      <c r="N419" s="5" t="s">
        <v>979</v>
      </c>
      <c r="P419" s="6" t="str">
        <f>VLOOKUP(D419,'シート2'!A:B, 2, 0)</f>
        <v>Force of Will</v>
      </c>
    </row>
    <row r="420">
      <c r="A420" s="1" t="s">
        <v>996</v>
      </c>
      <c r="B420" s="3" t="s">
        <v>997</v>
      </c>
      <c r="C420" s="1" t="s">
        <v>16</v>
      </c>
      <c r="D420" s="1" t="s">
        <v>979</v>
      </c>
      <c r="E420" s="1" t="s">
        <v>979</v>
      </c>
      <c r="F420" s="1" t="str">
        <f>IFERROR(__xludf.DUMMYFUNCTION("SPLIT(E420,""&gt;"")"),"Force of Will")</f>
        <v>Force of Will</v>
      </c>
      <c r="G420" s="1"/>
      <c r="H420" s="1" t="s">
        <v>979</v>
      </c>
      <c r="I420" s="1" t="s">
        <v>622</v>
      </c>
      <c r="J420" s="4">
        <v>42675.0</v>
      </c>
      <c r="K420" s="1">
        <v>1000.0</v>
      </c>
      <c r="L420" s="1">
        <v>500.0</v>
      </c>
      <c r="M420" s="1">
        <v>10.0</v>
      </c>
      <c r="N420" s="5" t="s">
        <v>979</v>
      </c>
      <c r="P420" s="6" t="str">
        <f>VLOOKUP(D420,'シート2'!A:B, 2, 0)</f>
        <v>Force of Will</v>
      </c>
    </row>
    <row r="421">
      <c r="A421" s="1" t="s">
        <v>998</v>
      </c>
      <c r="B421" s="3" t="s">
        <v>999</v>
      </c>
      <c r="C421" s="1" t="s">
        <v>16</v>
      </c>
      <c r="D421" s="1" t="s">
        <v>979</v>
      </c>
      <c r="E421" s="1" t="s">
        <v>979</v>
      </c>
      <c r="F421" s="1" t="str">
        <f>IFERROR(__xludf.DUMMYFUNCTION("SPLIT(E421,""&gt;"")"),"Force of Will")</f>
        <v>Force of Will</v>
      </c>
      <c r="G421" s="1"/>
      <c r="H421" s="1" t="s">
        <v>979</v>
      </c>
      <c r="I421" s="1" t="s">
        <v>622</v>
      </c>
      <c r="J421" s="4">
        <v>42675.0</v>
      </c>
      <c r="K421" s="1">
        <v>1000.0</v>
      </c>
      <c r="L421" s="1">
        <v>500.0</v>
      </c>
      <c r="M421" s="1">
        <v>11.0</v>
      </c>
      <c r="N421" s="5" t="s">
        <v>979</v>
      </c>
      <c r="P421" s="6" t="str">
        <f>VLOOKUP(D421,'シート2'!A:B, 2, 0)</f>
        <v>Force of Will</v>
      </c>
    </row>
    <row r="422">
      <c r="A422" s="1" t="s">
        <v>1000</v>
      </c>
      <c r="B422" s="3" t="s">
        <v>1001</v>
      </c>
      <c r="C422" s="1" t="s">
        <v>16</v>
      </c>
      <c r="D422" s="1" t="s">
        <v>979</v>
      </c>
      <c r="E422" s="1" t="s">
        <v>979</v>
      </c>
      <c r="F422" s="1" t="str">
        <f>IFERROR(__xludf.DUMMYFUNCTION("SPLIT(E422,""&gt;"")"),"Force of Will")</f>
        <v>Force of Will</v>
      </c>
      <c r="G422" s="1"/>
      <c r="H422" s="1" t="s">
        <v>979</v>
      </c>
      <c r="I422" s="1" t="s">
        <v>622</v>
      </c>
      <c r="J422" s="4">
        <v>42675.0</v>
      </c>
      <c r="K422" s="1">
        <v>1000.0</v>
      </c>
      <c r="L422" s="1">
        <v>500.0</v>
      </c>
      <c r="M422" s="1">
        <v>12.0</v>
      </c>
      <c r="N422" s="5" t="s">
        <v>979</v>
      </c>
      <c r="P422" s="6" t="str">
        <f>VLOOKUP(D422,'シート2'!A:B, 2, 0)</f>
        <v>Force of Will</v>
      </c>
    </row>
    <row r="423">
      <c r="A423" s="1" t="s">
        <v>1002</v>
      </c>
      <c r="B423" s="3" t="s">
        <v>1003</v>
      </c>
      <c r="C423" s="1" t="s">
        <v>16</v>
      </c>
      <c r="D423" s="1" t="s">
        <v>979</v>
      </c>
      <c r="E423" s="1" t="s">
        <v>979</v>
      </c>
      <c r="F423" s="1" t="str">
        <f>IFERROR(__xludf.DUMMYFUNCTION("SPLIT(E423,""&gt;"")"),"Force of Will")</f>
        <v>Force of Will</v>
      </c>
      <c r="G423" s="1"/>
      <c r="H423" s="1" t="s">
        <v>979</v>
      </c>
      <c r="I423" s="1" t="s">
        <v>622</v>
      </c>
      <c r="J423" s="4">
        <v>42675.0</v>
      </c>
      <c r="K423" s="1">
        <v>1000.0</v>
      </c>
      <c r="L423" s="1">
        <v>500.0</v>
      </c>
      <c r="M423" s="1">
        <v>13.0</v>
      </c>
      <c r="N423" s="5" t="s">
        <v>979</v>
      </c>
      <c r="P423" s="6" t="str">
        <f>VLOOKUP(D423,'シート2'!A:B, 2, 0)</f>
        <v>Force of Will</v>
      </c>
    </row>
    <row r="424">
      <c r="A424" s="1" t="s">
        <v>1004</v>
      </c>
      <c r="B424" s="3" t="s">
        <v>1005</v>
      </c>
      <c r="C424" s="1" t="s">
        <v>16</v>
      </c>
      <c r="D424" s="1" t="s">
        <v>979</v>
      </c>
      <c r="E424" s="1" t="s">
        <v>979</v>
      </c>
      <c r="F424" s="1" t="str">
        <f>IFERROR(__xludf.DUMMYFUNCTION("SPLIT(E424,""&gt;"")"),"Force of Will")</f>
        <v>Force of Will</v>
      </c>
      <c r="G424" s="1"/>
      <c r="H424" s="1" t="s">
        <v>979</v>
      </c>
      <c r="I424" s="1" t="s">
        <v>622</v>
      </c>
      <c r="J424" s="4">
        <v>42675.0</v>
      </c>
      <c r="K424" s="1">
        <v>1000.0</v>
      </c>
      <c r="L424" s="1">
        <v>500.0</v>
      </c>
      <c r="M424" s="1">
        <v>14.0</v>
      </c>
      <c r="N424" s="5" t="s">
        <v>979</v>
      </c>
      <c r="P424" s="6" t="str">
        <f>VLOOKUP(D424,'シート2'!A:B, 2, 0)</f>
        <v>Force of Will</v>
      </c>
    </row>
    <row r="425">
      <c r="A425" s="1" t="s">
        <v>1006</v>
      </c>
      <c r="B425" s="3" t="s">
        <v>1007</v>
      </c>
      <c r="C425" s="1" t="s">
        <v>16</v>
      </c>
      <c r="D425" s="1" t="s">
        <v>979</v>
      </c>
      <c r="E425" s="1" t="s">
        <v>979</v>
      </c>
      <c r="F425" s="1" t="str">
        <f>IFERROR(__xludf.DUMMYFUNCTION("SPLIT(E425,""&gt;"")"),"Force of Will")</f>
        <v>Force of Will</v>
      </c>
      <c r="G425" s="1"/>
      <c r="H425" s="1" t="s">
        <v>979</v>
      </c>
      <c r="I425" s="1" t="s">
        <v>622</v>
      </c>
      <c r="J425" s="4">
        <v>42675.0</v>
      </c>
      <c r="K425" s="1">
        <v>1000.0</v>
      </c>
      <c r="L425" s="1">
        <v>500.0</v>
      </c>
      <c r="M425" s="1">
        <v>15.0</v>
      </c>
      <c r="N425" s="5" t="s">
        <v>979</v>
      </c>
      <c r="P425" s="6" t="str">
        <f>VLOOKUP(D425,'シート2'!A:B, 2, 0)</f>
        <v>Force of Will</v>
      </c>
    </row>
    <row r="426">
      <c r="A426" s="1" t="s">
        <v>1008</v>
      </c>
      <c r="B426" s="3" t="s">
        <v>1009</v>
      </c>
      <c r="C426" s="1" t="s">
        <v>16</v>
      </c>
      <c r="D426" s="1" t="s">
        <v>979</v>
      </c>
      <c r="E426" s="1" t="s">
        <v>979</v>
      </c>
      <c r="F426" s="1" t="str">
        <f>IFERROR(__xludf.DUMMYFUNCTION("SPLIT(E426,""&gt;"")"),"Force of Will")</f>
        <v>Force of Will</v>
      </c>
      <c r="G426" s="1"/>
      <c r="H426" s="1" t="s">
        <v>979</v>
      </c>
      <c r="I426" s="1" t="s">
        <v>622</v>
      </c>
      <c r="J426" s="4">
        <v>42675.0</v>
      </c>
      <c r="K426" s="1">
        <v>1000.0</v>
      </c>
      <c r="L426" s="1">
        <v>500.0</v>
      </c>
      <c r="M426" s="1">
        <v>16.0</v>
      </c>
      <c r="N426" s="5" t="s">
        <v>979</v>
      </c>
      <c r="P426" s="6" t="str">
        <f>VLOOKUP(D426,'シート2'!A:B, 2, 0)</f>
        <v>Force of Will</v>
      </c>
    </row>
    <row r="427">
      <c r="A427" s="1" t="s">
        <v>1010</v>
      </c>
      <c r="B427" s="3" t="s">
        <v>1011</v>
      </c>
      <c r="C427" s="1" t="s">
        <v>16</v>
      </c>
      <c r="D427" s="1" t="s">
        <v>979</v>
      </c>
      <c r="E427" s="1" t="s">
        <v>979</v>
      </c>
      <c r="F427" s="1" t="str">
        <f>IFERROR(__xludf.DUMMYFUNCTION("SPLIT(E427,""&gt;"")"),"Force of Will")</f>
        <v>Force of Will</v>
      </c>
      <c r="G427" s="1"/>
      <c r="H427" s="1" t="s">
        <v>979</v>
      </c>
      <c r="I427" s="1" t="s">
        <v>622</v>
      </c>
      <c r="J427" s="4">
        <v>42675.0</v>
      </c>
      <c r="K427" s="1">
        <v>1000.0</v>
      </c>
      <c r="L427" s="1">
        <v>500.0</v>
      </c>
      <c r="M427" s="1">
        <v>17.0</v>
      </c>
      <c r="N427" s="5" t="s">
        <v>979</v>
      </c>
      <c r="P427" s="6" t="str">
        <f>VLOOKUP(D427,'シート2'!A:B, 2, 0)</f>
        <v>Force of Will</v>
      </c>
    </row>
    <row r="428">
      <c r="A428" s="1" t="s">
        <v>1012</v>
      </c>
      <c r="B428" s="3" t="s">
        <v>1013</v>
      </c>
      <c r="C428" s="1" t="s">
        <v>16</v>
      </c>
      <c r="D428" s="1" t="s">
        <v>979</v>
      </c>
      <c r="E428" s="1" t="s">
        <v>979</v>
      </c>
      <c r="F428" s="1" t="str">
        <f>IFERROR(__xludf.DUMMYFUNCTION("SPLIT(E428,""&gt;"")"),"Force of Will")</f>
        <v>Force of Will</v>
      </c>
      <c r="G428" s="1"/>
      <c r="H428" s="1" t="s">
        <v>979</v>
      </c>
      <c r="I428" s="1" t="s">
        <v>622</v>
      </c>
      <c r="J428" s="4">
        <v>42675.0</v>
      </c>
      <c r="K428" s="1">
        <v>1000.0</v>
      </c>
      <c r="L428" s="1">
        <v>500.0</v>
      </c>
      <c r="M428" s="1">
        <v>18.0</v>
      </c>
      <c r="N428" s="5" t="s">
        <v>979</v>
      </c>
      <c r="P428" s="6" t="str">
        <f>VLOOKUP(D428,'シート2'!A:B, 2, 0)</f>
        <v>Force of Will</v>
      </c>
    </row>
    <row r="429">
      <c r="A429" s="1" t="s">
        <v>1014</v>
      </c>
      <c r="B429" s="3" t="s">
        <v>1015</v>
      </c>
      <c r="C429" s="1" t="s">
        <v>16</v>
      </c>
      <c r="D429" s="1" t="s">
        <v>979</v>
      </c>
      <c r="E429" s="1" t="s">
        <v>979</v>
      </c>
      <c r="F429" s="1" t="str">
        <f>IFERROR(__xludf.DUMMYFUNCTION("SPLIT(E429,""&gt;"")"),"Force of Will")</f>
        <v>Force of Will</v>
      </c>
      <c r="G429" s="1"/>
      <c r="H429" s="1" t="s">
        <v>979</v>
      </c>
      <c r="I429" s="1" t="s">
        <v>622</v>
      </c>
      <c r="J429" s="4">
        <v>42675.0</v>
      </c>
      <c r="K429" s="1">
        <v>1000.0</v>
      </c>
      <c r="L429" s="1">
        <v>500.0</v>
      </c>
      <c r="M429" s="1">
        <v>19.0</v>
      </c>
      <c r="N429" s="5" t="s">
        <v>979</v>
      </c>
      <c r="P429" s="6" t="str">
        <f>VLOOKUP(D429,'シート2'!A:B, 2, 0)</f>
        <v>Force of Will</v>
      </c>
    </row>
    <row r="430">
      <c r="A430" s="1" t="s">
        <v>1016</v>
      </c>
      <c r="B430" s="3" t="s">
        <v>1017</v>
      </c>
      <c r="C430" s="1" t="s">
        <v>16</v>
      </c>
      <c r="D430" s="1" t="s">
        <v>979</v>
      </c>
      <c r="E430" s="1" t="s">
        <v>979</v>
      </c>
      <c r="F430" s="1" t="str">
        <f>IFERROR(__xludf.DUMMYFUNCTION("SPLIT(E430,""&gt;"")"),"Force of Will")</f>
        <v>Force of Will</v>
      </c>
      <c r="G430" s="1"/>
      <c r="H430" s="1" t="s">
        <v>979</v>
      </c>
      <c r="I430" s="1" t="s">
        <v>622</v>
      </c>
      <c r="J430" s="4">
        <v>42675.0</v>
      </c>
      <c r="K430" s="1">
        <v>1000.0</v>
      </c>
      <c r="L430" s="1">
        <v>500.0</v>
      </c>
      <c r="M430" s="1">
        <v>20.0</v>
      </c>
      <c r="N430" s="5" t="s">
        <v>979</v>
      </c>
      <c r="P430" s="6" t="str">
        <f>VLOOKUP(D430,'シート2'!A:B, 2, 0)</f>
        <v>Force of Will</v>
      </c>
    </row>
    <row r="431">
      <c r="A431" s="1" t="s">
        <v>1018</v>
      </c>
      <c r="B431" s="3" t="s">
        <v>1019</v>
      </c>
      <c r="C431" s="1" t="s">
        <v>16</v>
      </c>
      <c r="D431" s="1" t="s">
        <v>979</v>
      </c>
      <c r="E431" s="1" t="s">
        <v>979</v>
      </c>
      <c r="F431" s="1" t="str">
        <f>IFERROR(__xludf.DUMMYFUNCTION("SPLIT(E431,""&gt;"")"),"Force of Will")</f>
        <v>Force of Will</v>
      </c>
      <c r="G431" s="1"/>
      <c r="H431" s="1" t="s">
        <v>979</v>
      </c>
      <c r="I431" s="1" t="s">
        <v>622</v>
      </c>
      <c r="J431" s="4">
        <v>42675.0</v>
      </c>
      <c r="K431" s="1">
        <v>1000.0</v>
      </c>
      <c r="L431" s="1">
        <v>500.0</v>
      </c>
      <c r="M431" s="1">
        <v>21.0</v>
      </c>
      <c r="N431" s="5" t="s">
        <v>979</v>
      </c>
      <c r="P431" s="6" t="str">
        <f>VLOOKUP(D431,'シート2'!A:B, 2, 0)</f>
        <v>Force of Will</v>
      </c>
    </row>
    <row r="432">
      <c r="A432" s="1" t="s">
        <v>1020</v>
      </c>
      <c r="B432" s="3" t="s">
        <v>1021</v>
      </c>
      <c r="C432" s="1" t="s">
        <v>16</v>
      </c>
      <c r="D432" s="1" t="s">
        <v>979</v>
      </c>
      <c r="E432" s="1" t="s">
        <v>979</v>
      </c>
      <c r="F432" s="1" t="str">
        <f>IFERROR(__xludf.DUMMYFUNCTION("SPLIT(E432,""&gt;"")"),"Force of Will")</f>
        <v>Force of Will</v>
      </c>
      <c r="G432" s="1"/>
      <c r="H432" s="1" t="s">
        <v>979</v>
      </c>
      <c r="I432" s="1" t="s">
        <v>622</v>
      </c>
      <c r="J432" s="4">
        <v>42675.0</v>
      </c>
      <c r="K432" s="1">
        <v>1000.0</v>
      </c>
      <c r="L432" s="1">
        <v>500.0</v>
      </c>
      <c r="M432" s="1">
        <v>22.0</v>
      </c>
      <c r="N432" s="5" t="s">
        <v>979</v>
      </c>
      <c r="P432" s="6" t="str">
        <f>VLOOKUP(D432,'シート2'!A:B, 2, 0)</f>
        <v>Force of Will</v>
      </c>
    </row>
    <row r="433">
      <c r="A433" s="1" t="s">
        <v>1022</v>
      </c>
      <c r="B433" s="3" t="s">
        <v>1023</v>
      </c>
      <c r="C433" s="1" t="s">
        <v>16</v>
      </c>
      <c r="D433" s="1" t="s">
        <v>979</v>
      </c>
      <c r="E433" s="1" t="s">
        <v>979</v>
      </c>
      <c r="F433" s="1" t="str">
        <f>IFERROR(__xludf.DUMMYFUNCTION("SPLIT(E433,""&gt;"")"),"Force of Will")</f>
        <v>Force of Will</v>
      </c>
      <c r="G433" s="1"/>
      <c r="H433" s="1" t="s">
        <v>979</v>
      </c>
      <c r="I433" s="1" t="s">
        <v>622</v>
      </c>
      <c r="J433" s="4">
        <v>42675.0</v>
      </c>
      <c r="K433" s="1">
        <v>1000.0</v>
      </c>
      <c r="L433" s="1">
        <v>500.0</v>
      </c>
      <c r="M433" s="1">
        <v>23.0</v>
      </c>
      <c r="N433" s="5" t="s">
        <v>979</v>
      </c>
      <c r="P433" s="6" t="str">
        <f>VLOOKUP(D433,'シート2'!A:B, 2, 0)</f>
        <v>Force of Will</v>
      </c>
    </row>
    <row r="434">
      <c r="A434" s="1" t="s">
        <v>1024</v>
      </c>
      <c r="B434" s="3" t="s">
        <v>1025</v>
      </c>
      <c r="C434" s="1" t="s">
        <v>16</v>
      </c>
      <c r="D434" s="1" t="s">
        <v>979</v>
      </c>
      <c r="E434" s="1" t="s">
        <v>979</v>
      </c>
      <c r="F434" s="1" t="str">
        <f>IFERROR(__xludf.DUMMYFUNCTION("SPLIT(E434,""&gt;"")"),"Force of Will")</f>
        <v>Force of Will</v>
      </c>
      <c r="G434" s="1"/>
      <c r="H434" s="1" t="s">
        <v>979</v>
      </c>
      <c r="I434" s="1" t="s">
        <v>622</v>
      </c>
      <c r="J434" s="4">
        <v>42675.0</v>
      </c>
      <c r="K434" s="1">
        <v>1000.0</v>
      </c>
      <c r="L434" s="1">
        <v>500.0</v>
      </c>
      <c r="M434" s="1">
        <v>24.0</v>
      </c>
      <c r="N434" s="5" t="s">
        <v>979</v>
      </c>
      <c r="P434" s="6" t="str">
        <f>VLOOKUP(D434,'シート2'!A:B, 2, 0)</f>
        <v>Force of Will</v>
      </c>
    </row>
    <row r="435">
      <c r="A435" s="1" t="s">
        <v>1026</v>
      </c>
      <c r="B435" s="3" t="s">
        <v>1027</v>
      </c>
      <c r="C435" s="1" t="s">
        <v>16</v>
      </c>
      <c r="D435" s="1" t="s">
        <v>979</v>
      </c>
      <c r="E435" s="1" t="s">
        <v>979</v>
      </c>
      <c r="F435" s="1" t="str">
        <f>IFERROR(__xludf.DUMMYFUNCTION("SPLIT(E435,""&gt;"")"),"Force of Will")</f>
        <v>Force of Will</v>
      </c>
      <c r="G435" s="1"/>
      <c r="H435" s="1" t="s">
        <v>979</v>
      </c>
      <c r="I435" s="1" t="s">
        <v>622</v>
      </c>
      <c r="J435" s="4">
        <v>42675.0</v>
      </c>
      <c r="K435" s="1">
        <v>1000.0</v>
      </c>
      <c r="L435" s="1">
        <v>500.0</v>
      </c>
      <c r="M435" s="1">
        <v>25.0</v>
      </c>
      <c r="N435" s="5" t="s">
        <v>979</v>
      </c>
      <c r="P435" s="6" t="str">
        <f>VLOOKUP(D435,'シート2'!A:B, 2, 0)</f>
        <v>Force of Will</v>
      </c>
    </row>
    <row r="436">
      <c r="A436" s="1" t="s">
        <v>1028</v>
      </c>
      <c r="B436" s="3" t="s">
        <v>1029</v>
      </c>
      <c r="C436" s="1" t="s">
        <v>16</v>
      </c>
      <c r="D436" s="1" t="s">
        <v>979</v>
      </c>
      <c r="E436" s="1" t="s">
        <v>979</v>
      </c>
      <c r="F436" s="1" t="str">
        <f>IFERROR(__xludf.DUMMYFUNCTION("SPLIT(E436,""&gt;"")"),"Force of Will")</f>
        <v>Force of Will</v>
      </c>
      <c r="G436" s="1"/>
      <c r="H436" s="1" t="s">
        <v>979</v>
      </c>
      <c r="I436" s="1" t="s">
        <v>622</v>
      </c>
      <c r="J436" s="4">
        <v>42675.0</v>
      </c>
      <c r="K436" s="1">
        <v>1000.0</v>
      </c>
      <c r="L436" s="1">
        <v>500.0</v>
      </c>
      <c r="M436" s="1">
        <v>26.0</v>
      </c>
      <c r="N436" s="5" t="s">
        <v>979</v>
      </c>
      <c r="P436" s="6" t="str">
        <f>VLOOKUP(D436,'シート2'!A:B, 2, 0)</f>
        <v>Force of Will</v>
      </c>
    </row>
    <row r="437">
      <c r="A437" s="1" t="s">
        <v>1030</v>
      </c>
      <c r="B437" s="3" t="s">
        <v>1031</v>
      </c>
      <c r="C437" s="1" t="s">
        <v>16</v>
      </c>
      <c r="D437" s="1" t="s">
        <v>979</v>
      </c>
      <c r="E437" s="1" t="s">
        <v>979</v>
      </c>
      <c r="F437" s="1" t="str">
        <f>IFERROR(__xludf.DUMMYFUNCTION("SPLIT(E437,""&gt;"")"),"Force of Will")</f>
        <v>Force of Will</v>
      </c>
      <c r="G437" s="1"/>
      <c r="H437" s="1" t="s">
        <v>979</v>
      </c>
      <c r="I437" s="1" t="s">
        <v>622</v>
      </c>
      <c r="J437" s="4">
        <v>42675.0</v>
      </c>
      <c r="K437" s="1">
        <v>1000.0</v>
      </c>
      <c r="L437" s="1">
        <v>500.0</v>
      </c>
      <c r="M437" s="1">
        <v>27.0</v>
      </c>
      <c r="N437" s="5" t="s">
        <v>979</v>
      </c>
      <c r="P437" s="6" t="str">
        <f>VLOOKUP(D437,'シート2'!A:B, 2, 0)</f>
        <v>Force of Will</v>
      </c>
    </row>
    <row r="438">
      <c r="A438" s="1" t="s">
        <v>1032</v>
      </c>
      <c r="B438" s="3" t="s">
        <v>1033</v>
      </c>
      <c r="C438" s="1" t="s">
        <v>16</v>
      </c>
      <c r="D438" s="1" t="s">
        <v>979</v>
      </c>
      <c r="E438" s="1" t="s">
        <v>979</v>
      </c>
      <c r="F438" s="1" t="str">
        <f>IFERROR(__xludf.DUMMYFUNCTION("SPLIT(E438,""&gt;"")"),"Force of Will")</f>
        <v>Force of Will</v>
      </c>
      <c r="G438" s="1"/>
      <c r="H438" s="1" t="s">
        <v>979</v>
      </c>
      <c r="I438" s="1" t="s">
        <v>622</v>
      </c>
      <c r="J438" s="4">
        <v>42675.0</v>
      </c>
      <c r="K438" s="1">
        <v>1000.0</v>
      </c>
      <c r="L438" s="1">
        <v>500.0</v>
      </c>
      <c r="M438" s="1">
        <v>28.0</v>
      </c>
      <c r="N438" s="5" t="s">
        <v>979</v>
      </c>
      <c r="P438" s="6" t="str">
        <f>VLOOKUP(D438,'シート2'!A:B, 2, 0)</f>
        <v>Force of Will</v>
      </c>
    </row>
    <row r="439">
      <c r="A439" s="1" t="s">
        <v>1034</v>
      </c>
      <c r="B439" s="3" t="s">
        <v>1035</v>
      </c>
      <c r="C439" s="1" t="s">
        <v>16</v>
      </c>
      <c r="D439" s="1" t="s">
        <v>979</v>
      </c>
      <c r="E439" s="1" t="s">
        <v>979</v>
      </c>
      <c r="F439" s="1" t="str">
        <f>IFERROR(__xludf.DUMMYFUNCTION("SPLIT(E439,""&gt;"")"),"Force of Will")</f>
        <v>Force of Will</v>
      </c>
      <c r="G439" s="1"/>
      <c r="H439" s="1" t="s">
        <v>979</v>
      </c>
      <c r="I439" s="1" t="s">
        <v>622</v>
      </c>
      <c r="J439" s="4">
        <v>42675.0</v>
      </c>
      <c r="K439" s="1">
        <v>1000.0</v>
      </c>
      <c r="L439" s="1">
        <v>500.0</v>
      </c>
      <c r="M439" s="1">
        <v>29.0</v>
      </c>
      <c r="N439" s="5" t="s">
        <v>979</v>
      </c>
      <c r="P439" s="6" t="str">
        <f>VLOOKUP(D439,'シート2'!A:B, 2, 0)</f>
        <v>Force of Will</v>
      </c>
    </row>
    <row r="440">
      <c r="A440" s="1" t="s">
        <v>1036</v>
      </c>
      <c r="B440" s="3" t="s">
        <v>1037</v>
      </c>
      <c r="C440" s="1" t="s">
        <v>16</v>
      </c>
      <c r="D440" s="1" t="s">
        <v>979</v>
      </c>
      <c r="E440" s="1" t="s">
        <v>979</v>
      </c>
      <c r="F440" s="1" t="str">
        <f>IFERROR(__xludf.DUMMYFUNCTION("SPLIT(E440,""&gt;"")"),"Force of Will")</f>
        <v>Force of Will</v>
      </c>
      <c r="G440" s="1"/>
      <c r="H440" s="1" t="s">
        <v>979</v>
      </c>
      <c r="I440" s="1" t="s">
        <v>622</v>
      </c>
      <c r="J440" s="4">
        <v>42675.0</v>
      </c>
      <c r="K440" s="1">
        <v>1000.0</v>
      </c>
      <c r="L440" s="1">
        <v>500.0</v>
      </c>
      <c r="M440" s="1">
        <v>30.0</v>
      </c>
      <c r="N440" s="5" t="s">
        <v>979</v>
      </c>
      <c r="P440" s="6" t="str">
        <f>VLOOKUP(D440,'シート2'!A:B, 2, 0)</f>
        <v>Force of Will</v>
      </c>
    </row>
    <row r="441">
      <c r="A441" s="1" t="s">
        <v>1038</v>
      </c>
      <c r="B441" s="3" t="s">
        <v>1039</v>
      </c>
      <c r="C441" s="1" t="s">
        <v>16</v>
      </c>
      <c r="D441" s="1" t="s">
        <v>979</v>
      </c>
      <c r="E441" s="1" t="s">
        <v>979</v>
      </c>
      <c r="F441" s="1" t="str">
        <f>IFERROR(__xludf.DUMMYFUNCTION("SPLIT(E441,""&gt;"")"),"Force of Will")</f>
        <v>Force of Will</v>
      </c>
      <c r="G441" s="1"/>
      <c r="H441" s="1" t="s">
        <v>979</v>
      </c>
      <c r="I441" s="1" t="s">
        <v>622</v>
      </c>
      <c r="J441" s="4">
        <v>42675.0</v>
      </c>
      <c r="K441" s="1">
        <v>1000.0</v>
      </c>
      <c r="L441" s="1">
        <v>500.0</v>
      </c>
      <c r="M441" s="1">
        <v>31.0</v>
      </c>
      <c r="N441" s="5" t="s">
        <v>979</v>
      </c>
      <c r="P441" s="6" t="str">
        <f>VLOOKUP(D441,'シート2'!A:B, 2, 0)</f>
        <v>Force of Will</v>
      </c>
    </row>
    <row r="442">
      <c r="A442" s="1" t="s">
        <v>1040</v>
      </c>
      <c r="B442" s="3" t="s">
        <v>1041</v>
      </c>
      <c r="C442" s="1" t="s">
        <v>16</v>
      </c>
      <c r="D442" s="1" t="s">
        <v>979</v>
      </c>
      <c r="E442" s="1" t="s">
        <v>979</v>
      </c>
      <c r="F442" s="1" t="str">
        <f>IFERROR(__xludf.DUMMYFUNCTION("SPLIT(E442,""&gt;"")"),"Force of Will")</f>
        <v>Force of Will</v>
      </c>
      <c r="G442" s="1"/>
      <c r="H442" s="1" t="s">
        <v>979</v>
      </c>
      <c r="I442" s="1" t="s">
        <v>622</v>
      </c>
      <c r="J442" s="4">
        <v>42675.0</v>
      </c>
      <c r="K442" s="1">
        <v>1000.0</v>
      </c>
      <c r="L442" s="1">
        <v>500.0</v>
      </c>
      <c r="M442" s="1">
        <v>32.0</v>
      </c>
      <c r="N442" s="5" t="s">
        <v>979</v>
      </c>
      <c r="P442" s="6" t="str">
        <f>VLOOKUP(D442,'シート2'!A:B, 2, 0)</f>
        <v>Force of Will</v>
      </c>
    </row>
    <row r="443">
      <c r="A443" s="1" t="s">
        <v>1042</v>
      </c>
      <c r="B443" s="3" t="s">
        <v>1043</v>
      </c>
      <c r="C443" s="1" t="s">
        <v>16</v>
      </c>
      <c r="D443" s="1" t="s">
        <v>979</v>
      </c>
      <c r="E443" s="1" t="s">
        <v>979</v>
      </c>
      <c r="F443" s="1" t="str">
        <f>IFERROR(__xludf.DUMMYFUNCTION("SPLIT(E443,""&gt;"")"),"Force of Will")</f>
        <v>Force of Will</v>
      </c>
      <c r="G443" s="1"/>
      <c r="H443" s="1" t="s">
        <v>979</v>
      </c>
      <c r="I443" s="1" t="s">
        <v>622</v>
      </c>
      <c r="J443" s="4">
        <v>42675.0</v>
      </c>
      <c r="K443" s="1">
        <v>1000.0</v>
      </c>
      <c r="L443" s="1">
        <v>500.0</v>
      </c>
      <c r="M443" s="1">
        <v>33.0</v>
      </c>
      <c r="N443" s="5" t="s">
        <v>979</v>
      </c>
      <c r="P443" s="6" t="str">
        <f>VLOOKUP(D443,'シート2'!A:B, 2, 0)</f>
        <v>Force of Will</v>
      </c>
    </row>
    <row r="444">
      <c r="A444" s="1" t="s">
        <v>1044</v>
      </c>
      <c r="B444" s="3" t="s">
        <v>1045</v>
      </c>
      <c r="C444" s="1" t="s">
        <v>16</v>
      </c>
      <c r="D444" s="1" t="s">
        <v>979</v>
      </c>
      <c r="E444" s="1" t="s">
        <v>979</v>
      </c>
      <c r="F444" s="1" t="str">
        <f>IFERROR(__xludf.DUMMYFUNCTION("SPLIT(E444,""&gt;"")"),"Force of Will")</f>
        <v>Force of Will</v>
      </c>
      <c r="G444" s="1"/>
      <c r="H444" s="1" t="s">
        <v>979</v>
      </c>
      <c r="I444" s="1" t="s">
        <v>622</v>
      </c>
      <c r="J444" s="4">
        <v>42675.0</v>
      </c>
      <c r="K444" s="1">
        <v>1000.0</v>
      </c>
      <c r="L444" s="1">
        <v>500.0</v>
      </c>
      <c r="M444" s="1">
        <v>34.0</v>
      </c>
      <c r="N444" s="5" t="s">
        <v>979</v>
      </c>
      <c r="P444" s="6" t="str">
        <f>VLOOKUP(D444,'シート2'!A:B, 2, 0)</f>
        <v>Force of Will</v>
      </c>
    </row>
    <row r="445">
      <c r="A445" s="1" t="s">
        <v>1046</v>
      </c>
      <c r="B445" s="3" t="s">
        <v>1047</v>
      </c>
      <c r="C445" s="1" t="s">
        <v>16</v>
      </c>
      <c r="D445" s="1" t="s">
        <v>979</v>
      </c>
      <c r="E445" s="1" t="s">
        <v>979</v>
      </c>
      <c r="F445" s="1" t="str">
        <f>IFERROR(__xludf.DUMMYFUNCTION("SPLIT(E445,""&gt;"")"),"Force of Will")</f>
        <v>Force of Will</v>
      </c>
      <c r="G445" s="1"/>
      <c r="H445" s="1" t="s">
        <v>979</v>
      </c>
      <c r="I445" s="1" t="s">
        <v>622</v>
      </c>
      <c r="J445" s="4">
        <v>42675.0</v>
      </c>
      <c r="K445" s="1">
        <v>1000.0</v>
      </c>
      <c r="L445" s="1">
        <v>500.0</v>
      </c>
      <c r="M445" s="1">
        <v>35.0</v>
      </c>
      <c r="N445" s="5" t="s">
        <v>979</v>
      </c>
      <c r="P445" s="6" t="str">
        <f>VLOOKUP(D445,'シート2'!A:B, 2, 0)</f>
        <v>Force of Will</v>
      </c>
    </row>
    <row r="446">
      <c r="A446" s="1" t="s">
        <v>1048</v>
      </c>
      <c r="B446" s="3" t="s">
        <v>1049</v>
      </c>
      <c r="C446" s="1" t="s">
        <v>16</v>
      </c>
      <c r="D446" s="1" t="s">
        <v>979</v>
      </c>
      <c r="E446" s="1" t="s">
        <v>979</v>
      </c>
      <c r="F446" s="1" t="str">
        <f>IFERROR(__xludf.DUMMYFUNCTION("SPLIT(E446,""&gt;"")"),"Force of Will")</f>
        <v>Force of Will</v>
      </c>
      <c r="G446" s="1"/>
      <c r="H446" s="1" t="s">
        <v>979</v>
      </c>
      <c r="I446" s="1" t="s">
        <v>622</v>
      </c>
      <c r="J446" s="4">
        <v>42675.0</v>
      </c>
      <c r="K446" s="1">
        <v>1000.0</v>
      </c>
      <c r="L446" s="1">
        <v>500.0</v>
      </c>
      <c r="M446" s="1">
        <v>36.0</v>
      </c>
      <c r="N446" s="5" t="s">
        <v>979</v>
      </c>
      <c r="P446" s="6" t="str">
        <f>VLOOKUP(D446,'シート2'!A:B, 2, 0)</f>
        <v>Force of Will</v>
      </c>
    </row>
    <row r="447">
      <c r="A447" s="1" t="s">
        <v>1050</v>
      </c>
      <c r="B447" s="3" t="s">
        <v>1051</v>
      </c>
      <c r="C447" s="1" t="s">
        <v>16</v>
      </c>
      <c r="D447" s="1" t="s">
        <v>979</v>
      </c>
      <c r="E447" s="1" t="s">
        <v>979</v>
      </c>
      <c r="F447" s="1" t="str">
        <f>IFERROR(__xludf.DUMMYFUNCTION("SPLIT(E447,""&gt;"")"),"Force of Will")</f>
        <v>Force of Will</v>
      </c>
      <c r="G447" s="1"/>
      <c r="H447" s="1" t="s">
        <v>979</v>
      </c>
      <c r="I447" s="1" t="s">
        <v>622</v>
      </c>
      <c r="J447" s="4">
        <v>42675.0</v>
      </c>
      <c r="K447" s="1">
        <v>1000.0</v>
      </c>
      <c r="L447" s="1">
        <v>500.0</v>
      </c>
      <c r="M447" s="1">
        <v>37.0</v>
      </c>
      <c r="N447" s="5" t="s">
        <v>979</v>
      </c>
      <c r="P447" s="6" t="str">
        <f>VLOOKUP(D447,'シート2'!A:B, 2, 0)</f>
        <v>Force of Will</v>
      </c>
    </row>
    <row r="448">
      <c r="A448" s="1" t="s">
        <v>1052</v>
      </c>
      <c r="B448" s="3" t="s">
        <v>1053</v>
      </c>
      <c r="C448" s="1" t="s">
        <v>16</v>
      </c>
      <c r="D448" s="1" t="s">
        <v>979</v>
      </c>
      <c r="E448" s="1" t="s">
        <v>979</v>
      </c>
      <c r="F448" s="1" t="str">
        <f>IFERROR(__xludf.DUMMYFUNCTION("SPLIT(E448,""&gt;"")"),"Force of Will")</f>
        <v>Force of Will</v>
      </c>
      <c r="G448" s="1"/>
      <c r="H448" s="1" t="s">
        <v>979</v>
      </c>
      <c r="I448" s="1" t="s">
        <v>622</v>
      </c>
      <c r="J448" s="4">
        <v>42675.0</v>
      </c>
      <c r="K448" s="1">
        <v>1000.0</v>
      </c>
      <c r="L448" s="1">
        <v>500.0</v>
      </c>
      <c r="M448" s="1">
        <v>38.0</v>
      </c>
      <c r="N448" s="5" t="s">
        <v>979</v>
      </c>
      <c r="P448" s="6" t="str">
        <f>VLOOKUP(D448,'シート2'!A:B, 2, 0)</f>
        <v>Force of Will</v>
      </c>
    </row>
    <row r="449">
      <c r="A449" s="1" t="s">
        <v>1054</v>
      </c>
      <c r="B449" s="3" t="s">
        <v>1055</v>
      </c>
      <c r="C449" s="1" t="s">
        <v>16</v>
      </c>
      <c r="D449" s="1" t="s">
        <v>979</v>
      </c>
      <c r="E449" s="1" t="s">
        <v>979</v>
      </c>
      <c r="F449" s="1" t="str">
        <f>IFERROR(__xludf.DUMMYFUNCTION("SPLIT(E449,""&gt;"")"),"Force of Will")</f>
        <v>Force of Will</v>
      </c>
      <c r="G449" s="1"/>
      <c r="H449" s="1" t="s">
        <v>979</v>
      </c>
      <c r="I449" s="1" t="s">
        <v>622</v>
      </c>
      <c r="J449" s="4">
        <v>42675.0</v>
      </c>
      <c r="K449" s="1">
        <v>1000.0</v>
      </c>
      <c r="L449" s="1">
        <v>500.0</v>
      </c>
      <c r="M449" s="1">
        <v>39.0</v>
      </c>
      <c r="N449" s="5" t="s">
        <v>979</v>
      </c>
      <c r="P449" s="6" t="str">
        <f>VLOOKUP(D449,'シート2'!A:B, 2, 0)</f>
        <v>Force of Will</v>
      </c>
    </row>
    <row r="450">
      <c r="A450" s="1" t="s">
        <v>1056</v>
      </c>
      <c r="B450" s="3" t="s">
        <v>1057</v>
      </c>
      <c r="C450" s="1" t="s">
        <v>16</v>
      </c>
      <c r="D450" s="1" t="s">
        <v>979</v>
      </c>
      <c r="E450" s="1" t="s">
        <v>979</v>
      </c>
      <c r="F450" s="1" t="str">
        <f>IFERROR(__xludf.DUMMYFUNCTION("SPLIT(E450,""&gt;"")"),"Force of Will")</f>
        <v>Force of Will</v>
      </c>
      <c r="G450" s="1"/>
      <c r="H450" s="1" t="s">
        <v>979</v>
      </c>
      <c r="I450" s="1" t="s">
        <v>622</v>
      </c>
      <c r="J450" s="4">
        <v>42675.0</v>
      </c>
      <c r="K450" s="1">
        <v>1000.0</v>
      </c>
      <c r="L450" s="1">
        <v>500.0</v>
      </c>
      <c r="M450" s="1">
        <v>40.0</v>
      </c>
      <c r="N450" s="5" t="s">
        <v>979</v>
      </c>
      <c r="P450" s="6" t="str">
        <f>VLOOKUP(D450,'シート2'!A:B, 2, 0)</f>
        <v>Force of Will</v>
      </c>
    </row>
    <row r="451">
      <c r="A451" s="1" t="s">
        <v>1058</v>
      </c>
      <c r="B451" s="3" t="s">
        <v>1059</v>
      </c>
      <c r="C451" s="1" t="s">
        <v>16</v>
      </c>
      <c r="D451" s="1" t="s">
        <v>979</v>
      </c>
      <c r="E451" s="1" t="s">
        <v>979</v>
      </c>
      <c r="F451" s="1" t="str">
        <f>IFERROR(__xludf.DUMMYFUNCTION("SPLIT(E451,""&gt;"")"),"Force of Will")</f>
        <v>Force of Will</v>
      </c>
      <c r="G451" s="1"/>
      <c r="H451" s="1" t="s">
        <v>979</v>
      </c>
      <c r="I451" s="1" t="s">
        <v>622</v>
      </c>
      <c r="J451" s="4">
        <v>42675.0</v>
      </c>
      <c r="K451" s="1">
        <v>1000.0</v>
      </c>
      <c r="L451" s="1">
        <v>500.0</v>
      </c>
      <c r="M451" s="1">
        <v>41.0</v>
      </c>
      <c r="N451" s="5" t="s">
        <v>979</v>
      </c>
      <c r="P451" s="6" t="str">
        <f>VLOOKUP(D451,'シート2'!A:B, 2, 0)</f>
        <v>Force of Will</v>
      </c>
    </row>
    <row r="452">
      <c r="A452" s="1" t="s">
        <v>1060</v>
      </c>
      <c r="B452" s="3" t="s">
        <v>1061</v>
      </c>
      <c r="C452" s="1" t="s">
        <v>16</v>
      </c>
      <c r="D452" s="1" t="s">
        <v>979</v>
      </c>
      <c r="E452" s="1" t="s">
        <v>979</v>
      </c>
      <c r="F452" s="1" t="str">
        <f>IFERROR(__xludf.DUMMYFUNCTION("SPLIT(E452,""&gt;"")"),"Force of Will")</f>
        <v>Force of Will</v>
      </c>
      <c r="G452" s="1"/>
      <c r="H452" s="1" t="s">
        <v>979</v>
      </c>
      <c r="I452" s="1" t="s">
        <v>622</v>
      </c>
      <c r="J452" s="4">
        <v>42675.0</v>
      </c>
      <c r="K452" s="1">
        <v>1000.0</v>
      </c>
      <c r="L452" s="1">
        <v>500.0</v>
      </c>
      <c r="M452" s="1">
        <v>42.0</v>
      </c>
      <c r="N452" s="5" t="s">
        <v>979</v>
      </c>
      <c r="P452" s="6" t="str">
        <f>VLOOKUP(D452,'シート2'!A:B, 2, 0)</f>
        <v>Force of Will</v>
      </c>
    </row>
    <row r="453">
      <c r="A453" s="1" t="s">
        <v>1062</v>
      </c>
      <c r="B453" s="3" t="s">
        <v>1063</v>
      </c>
      <c r="C453" s="1" t="s">
        <v>16</v>
      </c>
      <c r="D453" s="1" t="s">
        <v>979</v>
      </c>
      <c r="E453" s="1" t="s">
        <v>979</v>
      </c>
      <c r="F453" s="1" t="str">
        <f>IFERROR(__xludf.DUMMYFUNCTION("SPLIT(E453,""&gt;"")"),"Force of Will")</f>
        <v>Force of Will</v>
      </c>
      <c r="G453" s="1"/>
      <c r="H453" s="1" t="s">
        <v>979</v>
      </c>
      <c r="I453" s="1" t="s">
        <v>622</v>
      </c>
      <c r="J453" s="4">
        <v>42675.0</v>
      </c>
      <c r="K453" s="1">
        <v>1000.0</v>
      </c>
      <c r="L453" s="1">
        <v>500.0</v>
      </c>
      <c r="M453" s="1">
        <v>43.0</v>
      </c>
      <c r="N453" s="5" t="s">
        <v>979</v>
      </c>
      <c r="P453" s="6" t="str">
        <f>VLOOKUP(D453,'シート2'!A:B, 2, 0)</f>
        <v>Force of Will</v>
      </c>
    </row>
    <row r="454">
      <c r="A454" s="1" t="s">
        <v>1064</v>
      </c>
      <c r="B454" s="3" t="s">
        <v>1065</v>
      </c>
      <c r="C454" s="1" t="s">
        <v>16</v>
      </c>
      <c r="D454" s="1" t="s">
        <v>979</v>
      </c>
      <c r="E454" s="1" t="s">
        <v>979</v>
      </c>
      <c r="F454" s="1" t="str">
        <f>IFERROR(__xludf.DUMMYFUNCTION("SPLIT(E454,""&gt;"")"),"Force of Will")</f>
        <v>Force of Will</v>
      </c>
      <c r="G454" s="1"/>
      <c r="H454" s="1" t="s">
        <v>979</v>
      </c>
      <c r="I454" s="1" t="s">
        <v>622</v>
      </c>
      <c r="J454" s="4">
        <v>42675.0</v>
      </c>
      <c r="K454" s="1">
        <v>1000.0</v>
      </c>
      <c r="L454" s="1">
        <v>500.0</v>
      </c>
      <c r="M454" s="1">
        <v>44.0</v>
      </c>
      <c r="N454" s="5" t="s">
        <v>979</v>
      </c>
      <c r="P454" s="6" t="str">
        <f>VLOOKUP(D454,'シート2'!A:B, 2, 0)</f>
        <v>Force of Will</v>
      </c>
    </row>
    <row r="455">
      <c r="A455" s="1" t="s">
        <v>1066</v>
      </c>
      <c r="B455" s="3" t="s">
        <v>1067</v>
      </c>
      <c r="C455" s="1" t="s">
        <v>16</v>
      </c>
      <c r="D455" s="1" t="s">
        <v>979</v>
      </c>
      <c r="E455" s="1" t="s">
        <v>979</v>
      </c>
      <c r="F455" s="1" t="str">
        <f>IFERROR(__xludf.DUMMYFUNCTION("SPLIT(E455,""&gt;"")"),"Force of Will")</f>
        <v>Force of Will</v>
      </c>
      <c r="G455" s="1"/>
      <c r="H455" s="1" t="s">
        <v>979</v>
      </c>
      <c r="I455" s="1" t="s">
        <v>622</v>
      </c>
      <c r="J455" s="4">
        <v>42675.0</v>
      </c>
      <c r="K455" s="1">
        <v>1000.0</v>
      </c>
      <c r="L455" s="1">
        <v>500.0</v>
      </c>
      <c r="M455" s="1">
        <v>45.0</v>
      </c>
      <c r="N455" s="5" t="s">
        <v>979</v>
      </c>
      <c r="P455" s="6" t="str">
        <f>VLOOKUP(D455,'シート2'!A:B, 2, 0)</f>
        <v>Force of Will</v>
      </c>
    </row>
    <row r="456">
      <c r="A456" s="1" t="s">
        <v>1068</v>
      </c>
      <c r="B456" s="3" t="s">
        <v>1069</v>
      </c>
      <c r="C456" s="1" t="s">
        <v>16</v>
      </c>
      <c r="D456" s="1" t="s">
        <v>979</v>
      </c>
      <c r="E456" s="1" t="s">
        <v>979</v>
      </c>
      <c r="F456" s="1" t="str">
        <f>IFERROR(__xludf.DUMMYFUNCTION("SPLIT(E456,""&gt;"")"),"Force of Will")</f>
        <v>Force of Will</v>
      </c>
      <c r="G456" s="1"/>
      <c r="H456" s="1" t="s">
        <v>979</v>
      </c>
      <c r="I456" s="1" t="s">
        <v>622</v>
      </c>
      <c r="J456" s="4">
        <v>42675.0</v>
      </c>
      <c r="K456" s="1">
        <v>1000.0</v>
      </c>
      <c r="L456" s="1">
        <v>500.0</v>
      </c>
      <c r="M456" s="1">
        <v>46.0</v>
      </c>
      <c r="N456" s="5" t="s">
        <v>979</v>
      </c>
      <c r="P456" s="6" t="str">
        <f>VLOOKUP(D456,'シート2'!A:B, 2, 0)</f>
        <v>Force of Will</v>
      </c>
    </row>
    <row r="457">
      <c r="A457" s="1" t="s">
        <v>1070</v>
      </c>
      <c r="B457" s="3" t="s">
        <v>1071</v>
      </c>
      <c r="C457" s="1" t="s">
        <v>16</v>
      </c>
      <c r="D457" s="1" t="s">
        <v>979</v>
      </c>
      <c r="E457" s="1" t="s">
        <v>979</v>
      </c>
      <c r="F457" s="1" t="str">
        <f>IFERROR(__xludf.DUMMYFUNCTION("SPLIT(E457,""&gt;"")"),"Force of Will")</f>
        <v>Force of Will</v>
      </c>
      <c r="G457" s="1"/>
      <c r="H457" s="1" t="s">
        <v>979</v>
      </c>
      <c r="I457" s="1" t="s">
        <v>622</v>
      </c>
      <c r="J457" s="4">
        <v>42675.0</v>
      </c>
      <c r="K457" s="1">
        <v>1000.0</v>
      </c>
      <c r="L457" s="1">
        <v>500.0</v>
      </c>
      <c r="M457" s="1">
        <v>47.0</v>
      </c>
      <c r="N457" s="5" t="s">
        <v>979</v>
      </c>
      <c r="P457" s="6" t="str">
        <f>VLOOKUP(D457,'シート2'!A:B, 2, 0)</f>
        <v>Force of Will</v>
      </c>
    </row>
    <row r="458">
      <c r="A458" s="1" t="s">
        <v>1072</v>
      </c>
      <c r="B458" s="3" t="s">
        <v>1073</v>
      </c>
      <c r="C458" s="1" t="s">
        <v>16</v>
      </c>
      <c r="D458" s="1" t="s">
        <v>979</v>
      </c>
      <c r="E458" s="1" t="s">
        <v>979</v>
      </c>
      <c r="F458" s="1" t="str">
        <f>IFERROR(__xludf.DUMMYFUNCTION("SPLIT(E458,""&gt;"")"),"Force of Will")</f>
        <v>Force of Will</v>
      </c>
      <c r="G458" s="1"/>
      <c r="H458" s="1" t="s">
        <v>979</v>
      </c>
      <c r="I458" s="1" t="s">
        <v>622</v>
      </c>
      <c r="J458" s="4">
        <v>42675.0</v>
      </c>
      <c r="K458" s="1">
        <v>1000.0</v>
      </c>
      <c r="L458" s="1">
        <v>500.0</v>
      </c>
      <c r="M458" s="1">
        <v>48.0</v>
      </c>
      <c r="N458" s="5" t="s">
        <v>979</v>
      </c>
      <c r="P458" s="6" t="str">
        <f>VLOOKUP(D458,'シート2'!A:B, 2, 0)</f>
        <v>Force of Will</v>
      </c>
    </row>
    <row r="459">
      <c r="A459" s="1" t="s">
        <v>1074</v>
      </c>
      <c r="B459" s="3" t="s">
        <v>1075</v>
      </c>
      <c r="C459" s="1" t="s">
        <v>16</v>
      </c>
      <c r="D459" s="1" t="s">
        <v>979</v>
      </c>
      <c r="E459" s="1" t="s">
        <v>979</v>
      </c>
      <c r="F459" s="1" t="str">
        <f>IFERROR(__xludf.DUMMYFUNCTION("SPLIT(E459,""&gt;"")"),"Force of Will")</f>
        <v>Force of Will</v>
      </c>
      <c r="G459" s="1"/>
      <c r="H459" s="1" t="s">
        <v>979</v>
      </c>
      <c r="I459" s="1" t="s">
        <v>622</v>
      </c>
      <c r="J459" s="4">
        <v>42675.0</v>
      </c>
      <c r="K459" s="1">
        <v>1000.0</v>
      </c>
      <c r="L459" s="1">
        <v>500.0</v>
      </c>
      <c r="M459" s="1">
        <v>49.0</v>
      </c>
      <c r="N459" s="5" t="s">
        <v>979</v>
      </c>
      <c r="P459" s="6" t="str">
        <f>VLOOKUP(D459,'シート2'!A:B, 2, 0)</f>
        <v>Force of Will</v>
      </c>
    </row>
    <row r="460">
      <c r="A460" s="1" t="s">
        <v>1076</v>
      </c>
      <c r="B460" s="3" t="s">
        <v>1077</v>
      </c>
      <c r="C460" s="1" t="s">
        <v>16</v>
      </c>
      <c r="D460" s="1" t="s">
        <v>979</v>
      </c>
      <c r="E460" s="1" t="s">
        <v>979</v>
      </c>
      <c r="F460" s="1" t="str">
        <f>IFERROR(__xludf.DUMMYFUNCTION("SPLIT(E460,""&gt;"")"),"Force of Will")</f>
        <v>Force of Will</v>
      </c>
      <c r="G460" s="1"/>
      <c r="H460" s="1" t="s">
        <v>979</v>
      </c>
      <c r="I460" s="1" t="s">
        <v>622</v>
      </c>
      <c r="J460" s="4">
        <v>42675.0</v>
      </c>
      <c r="K460" s="1">
        <v>1000.0</v>
      </c>
      <c r="L460" s="1">
        <v>500.0</v>
      </c>
      <c r="M460" s="1">
        <v>50.0</v>
      </c>
      <c r="N460" s="5" t="s">
        <v>979</v>
      </c>
      <c r="P460" s="6" t="str">
        <f>VLOOKUP(D460,'シート2'!A:B, 2, 0)</f>
        <v>Force of Will</v>
      </c>
    </row>
    <row r="461">
      <c r="A461" s="1" t="s">
        <v>1078</v>
      </c>
      <c r="B461" s="3" t="s">
        <v>1079</v>
      </c>
      <c r="C461" s="1" t="s">
        <v>16</v>
      </c>
      <c r="D461" s="1" t="s">
        <v>979</v>
      </c>
      <c r="E461" s="1" t="s">
        <v>979</v>
      </c>
      <c r="F461" s="1" t="str">
        <f>IFERROR(__xludf.DUMMYFUNCTION("SPLIT(E461,""&gt;"")"),"Force of Will")</f>
        <v>Force of Will</v>
      </c>
      <c r="G461" s="1"/>
      <c r="H461" s="1" t="s">
        <v>979</v>
      </c>
      <c r="I461" s="1" t="s">
        <v>622</v>
      </c>
      <c r="J461" s="4">
        <v>42675.0</v>
      </c>
      <c r="K461" s="1">
        <v>1000.0</v>
      </c>
      <c r="L461" s="1">
        <v>500.0</v>
      </c>
      <c r="M461" s="1">
        <v>51.0</v>
      </c>
      <c r="N461" s="5" t="s">
        <v>979</v>
      </c>
      <c r="P461" s="6" t="str">
        <f>VLOOKUP(D461,'シート2'!A:B, 2, 0)</f>
        <v>Force of Will</v>
      </c>
    </row>
    <row r="462">
      <c r="A462" s="1" t="s">
        <v>1080</v>
      </c>
      <c r="B462" s="3" t="s">
        <v>1081</v>
      </c>
      <c r="C462" s="1" t="s">
        <v>16</v>
      </c>
      <c r="D462" s="1" t="s">
        <v>979</v>
      </c>
      <c r="E462" s="1" t="s">
        <v>979</v>
      </c>
      <c r="F462" s="1" t="str">
        <f>IFERROR(__xludf.DUMMYFUNCTION("SPLIT(E462,""&gt;"")"),"Force of Will")</f>
        <v>Force of Will</v>
      </c>
      <c r="G462" s="1"/>
      <c r="H462" s="1" t="s">
        <v>979</v>
      </c>
      <c r="I462" s="1" t="s">
        <v>622</v>
      </c>
      <c r="J462" s="4">
        <v>42675.0</v>
      </c>
      <c r="K462" s="1">
        <v>1000.0</v>
      </c>
      <c r="L462" s="1">
        <v>500.0</v>
      </c>
      <c r="M462" s="1">
        <v>52.0</v>
      </c>
      <c r="N462" s="5" t="s">
        <v>979</v>
      </c>
      <c r="P462" s="6" t="str">
        <f>VLOOKUP(D462,'シート2'!A:B, 2, 0)</f>
        <v>Force of Will</v>
      </c>
    </row>
    <row r="463">
      <c r="A463" s="1" t="s">
        <v>1082</v>
      </c>
      <c r="B463" s="3" t="s">
        <v>1083</v>
      </c>
      <c r="C463" s="1" t="s">
        <v>16</v>
      </c>
      <c r="D463" s="1" t="s">
        <v>979</v>
      </c>
      <c r="E463" s="1" t="s">
        <v>979</v>
      </c>
      <c r="F463" s="1" t="str">
        <f>IFERROR(__xludf.DUMMYFUNCTION("SPLIT(E463,""&gt;"")"),"Force of Will")</f>
        <v>Force of Will</v>
      </c>
      <c r="G463" s="1"/>
      <c r="H463" s="1" t="s">
        <v>979</v>
      </c>
      <c r="I463" s="1" t="s">
        <v>622</v>
      </c>
      <c r="J463" s="4">
        <v>42675.0</v>
      </c>
      <c r="K463" s="1">
        <v>1000.0</v>
      </c>
      <c r="L463" s="1">
        <v>500.0</v>
      </c>
      <c r="M463" s="1">
        <v>53.0</v>
      </c>
      <c r="N463" s="5" t="s">
        <v>979</v>
      </c>
      <c r="P463" s="6" t="str">
        <f>VLOOKUP(D463,'シート2'!A:B, 2, 0)</f>
        <v>Force of Will</v>
      </c>
    </row>
    <row r="464">
      <c r="A464" s="1" t="s">
        <v>1084</v>
      </c>
      <c r="B464" s="3" t="s">
        <v>1085</v>
      </c>
      <c r="C464" s="1" t="s">
        <v>16</v>
      </c>
      <c r="D464" s="1" t="s">
        <v>979</v>
      </c>
      <c r="E464" s="1" t="s">
        <v>979</v>
      </c>
      <c r="F464" s="1" t="str">
        <f>IFERROR(__xludf.DUMMYFUNCTION("SPLIT(E464,""&gt;"")"),"Force of Will")</f>
        <v>Force of Will</v>
      </c>
      <c r="G464" s="1"/>
      <c r="H464" s="1" t="s">
        <v>979</v>
      </c>
      <c r="I464" s="1" t="s">
        <v>622</v>
      </c>
      <c r="J464" s="4">
        <v>42675.0</v>
      </c>
      <c r="K464" s="1">
        <v>1000.0</v>
      </c>
      <c r="L464" s="1">
        <v>500.0</v>
      </c>
      <c r="M464" s="1">
        <v>54.0</v>
      </c>
      <c r="N464" s="5" t="s">
        <v>979</v>
      </c>
      <c r="P464" s="6" t="str">
        <f>VLOOKUP(D464,'シート2'!A:B, 2, 0)</f>
        <v>Force of Will</v>
      </c>
    </row>
    <row r="465">
      <c r="A465" s="1" t="s">
        <v>1086</v>
      </c>
      <c r="B465" s="3" t="s">
        <v>1087</v>
      </c>
      <c r="C465" s="1" t="s">
        <v>16</v>
      </c>
      <c r="D465" s="1" t="s">
        <v>979</v>
      </c>
      <c r="E465" s="1" t="s">
        <v>979</v>
      </c>
      <c r="F465" s="1" t="str">
        <f>IFERROR(__xludf.DUMMYFUNCTION("SPLIT(E465,""&gt;"")"),"Force of Will")</f>
        <v>Force of Will</v>
      </c>
      <c r="G465" s="1"/>
      <c r="H465" s="1" t="s">
        <v>979</v>
      </c>
      <c r="I465" s="1" t="s">
        <v>622</v>
      </c>
      <c r="J465" s="4">
        <v>42675.0</v>
      </c>
      <c r="K465" s="1">
        <v>1000.0</v>
      </c>
      <c r="L465" s="1">
        <v>500.0</v>
      </c>
      <c r="M465" s="1">
        <v>55.0</v>
      </c>
      <c r="N465" s="5" t="s">
        <v>979</v>
      </c>
      <c r="P465" s="6" t="str">
        <f>VLOOKUP(D465,'シート2'!A:B, 2, 0)</f>
        <v>Force of Will</v>
      </c>
    </row>
    <row r="466">
      <c r="A466" s="1" t="s">
        <v>1088</v>
      </c>
      <c r="B466" s="3" t="s">
        <v>1089</v>
      </c>
      <c r="C466" s="1" t="s">
        <v>16</v>
      </c>
      <c r="D466" s="1" t="s">
        <v>979</v>
      </c>
      <c r="E466" s="1" t="s">
        <v>979</v>
      </c>
      <c r="F466" s="1" t="str">
        <f>IFERROR(__xludf.DUMMYFUNCTION("SPLIT(E466,""&gt;"")"),"Force of Will")</f>
        <v>Force of Will</v>
      </c>
      <c r="G466" s="1"/>
      <c r="H466" s="1" t="s">
        <v>979</v>
      </c>
      <c r="I466" s="1" t="s">
        <v>622</v>
      </c>
      <c r="J466" s="4">
        <v>42675.0</v>
      </c>
      <c r="K466" s="1">
        <v>1000.0</v>
      </c>
      <c r="L466" s="1">
        <v>500.0</v>
      </c>
      <c r="M466" s="1">
        <v>56.0</v>
      </c>
      <c r="N466" s="5" t="s">
        <v>979</v>
      </c>
      <c r="P466" s="6" t="str">
        <f>VLOOKUP(D466,'シート2'!A:B, 2, 0)</f>
        <v>Force of Will</v>
      </c>
    </row>
    <row r="467">
      <c r="A467" s="1" t="s">
        <v>1090</v>
      </c>
      <c r="B467" s="3" t="s">
        <v>1091</v>
      </c>
      <c r="C467" s="1" t="s">
        <v>16</v>
      </c>
      <c r="D467" s="1" t="s">
        <v>979</v>
      </c>
      <c r="E467" s="1" t="s">
        <v>979</v>
      </c>
      <c r="F467" s="1" t="str">
        <f>IFERROR(__xludf.DUMMYFUNCTION("SPLIT(E467,""&gt;"")"),"Force of Will")</f>
        <v>Force of Will</v>
      </c>
      <c r="G467" s="1"/>
      <c r="H467" s="1" t="s">
        <v>979</v>
      </c>
      <c r="I467" s="1" t="s">
        <v>622</v>
      </c>
      <c r="J467" s="4">
        <v>42675.0</v>
      </c>
      <c r="K467" s="1">
        <v>1000.0</v>
      </c>
      <c r="L467" s="1">
        <v>500.0</v>
      </c>
      <c r="M467" s="1">
        <v>57.0</v>
      </c>
      <c r="N467" s="5" t="s">
        <v>979</v>
      </c>
      <c r="P467" s="6" t="str">
        <f>VLOOKUP(D467,'シート2'!A:B, 2, 0)</f>
        <v>Force of Will</v>
      </c>
    </row>
    <row r="468">
      <c r="A468" s="1" t="s">
        <v>1092</v>
      </c>
      <c r="B468" s="3" t="s">
        <v>1093</v>
      </c>
      <c r="C468" s="1" t="s">
        <v>16</v>
      </c>
      <c r="D468" s="1" t="s">
        <v>979</v>
      </c>
      <c r="E468" s="1" t="s">
        <v>979</v>
      </c>
      <c r="F468" s="1" t="str">
        <f>IFERROR(__xludf.DUMMYFUNCTION("SPLIT(E468,""&gt;"")"),"Force of Will")</f>
        <v>Force of Will</v>
      </c>
      <c r="G468" s="1"/>
      <c r="H468" s="1" t="s">
        <v>979</v>
      </c>
      <c r="I468" s="1" t="s">
        <v>622</v>
      </c>
      <c r="J468" s="4">
        <v>42675.0</v>
      </c>
      <c r="K468" s="1">
        <v>1000.0</v>
      </c>
      <c r="L468" s="1">
        <v>500.0</v>
      </c>
      <c r="M468" s="1">
        <v>58.0</v>
      </c>
      <c r="N468" s="5" t="s">
        <v>979</v>
      </c>
      <c r="P468" s="6" t="str">
        <f>VLOOKUP(D468,'シート2'!A:B, 2, 0)</f>
        <v>Force of Will</v>
      </c>
    </row>
    <row r="469">
      <c r="A469" s="1" t="s">
        <v>1094</v>
      </c>
      <c r="B469" s="3" t="s">
        <v>1095</v>
      </c>
      <c r="C469" s="1" t="s">
        <v>16</v>
      </c>
      <c r="D469" s="1" t="s">
        <v>979</v>
      </c>
      <c r="E469" s="1" t="s">
        <v>979</v>
      </c>
      <c r="F469" s="1" t="str">
        <f>IFERROR(__xludf.DUMMYFUNCTION("SPLIT(E469,""&gt;"")"),"Force of Will")</f>
        <v>Force of Will</v>
      </c>
      <c r="G469" s="1"/>
      <c r="H469" s="1" t="s">
        <v>979</v>
      </c>
      <c r="I469" s="1" t="s">
        <v>622</v>
      </c>
      <c r="J469" s="4">
        <v>42675.0</v>
      </c>
      <c r="K469" s="1">
        <v>1000.0</v>
      </c>
      <c r="L469" s="1">
        <v>500.0</v>
      </c>
      <c r="M469" s="1">
        <v>59.0</v>
      </c>
      <c r="N469" s="5" t="s">
        <v>979</v>
      </c>
      <c r="P469" s="6" t="str">
        <f>VLOOKUP(D469,'シート2'!A:B, 2, 0)</f>
        <v>Force of Will</v>
      </c>
    </row>
    <row r="470">
      <c r="A470" s="1" t="s">
        <v>1096</v>
      </c>
      <c r="B470" s="3" t="s">
        <v>1097</v>
      </c>
      <c r="C470" s="1" t="s">
        <v>16</v>
      </c>
      <c r="D470" s="1" t="s">
        <v>979</v>
      </c>
      <c r="E470" s="1" t="s">
        <v>979</v>
      </c>
      <c r="F470" s="1" t="str">
        <f>IFERROR(__xludf.DUMMYFUNCTION("SPLIT(E470,""&gt;"")"),"Force of Will")</f>
        <v>Force of Will</v>
      </c>
      <c r="G470" s="1"/>
      <c r="H470" s="1" t="s">
        <v>979</v>
      </c>
      <c r="I470" s="1" t="s">
        <v>622</v>
      </c>
      <c r="J470" s="4">
        <v>42675.0</v>
      </c>
      <c r="K470" s="1">
        <v>1000.0</v>
      </c>
      <c r="L470" s="1">
        <v>500.0</v>
      </c>
      <c r="M470" s="1">
        <v>60.0</v>
      </c>
      <c r="N470" s="5" t="s">
        <v>979</v>
      </c>
      <c r="P470" s="6" t="str">
        <f>VLOOKUP(D470,'シート2'!A:B, 2, 0)</f>
        <v>Force of Will</v>
      </c>
    </row>
    <row r="471">
      <c r="A471" s="1" t="s">
        <v>1098</v>
      </c>
      <c r="B471" s="3" t="s">
        <v>1099</v>
      </c>
      <c r="C471" s="1" t="s">
        <v>16</v>
      </c>
      <c r="D471" s="1" t="s">
        <v>979</v>
      </c>
      <c r="E471" s="1" t="s">
        <v>979</v>
      </c>
      <c r="F471" s="1" t="str">
        <f>IFERROR(__xludf.DUMMYFUNCTION("SPLIT(E471,""&gt;"")"),"Force of Will")</f>
        <v>Force of Will</v>
      </c>
      <c r="G471" s="1"/>
      <c r="H471" s="1" t="s">
        <v>979</v>
      </c>
      <c r="I471" s="1" t="s">
        <v>622</v>
      </c>
      <c r="J471" s="4">
        <v>42675.0</v>
      </c>
      <c r="K471" s="1">
        <v>1000.0</v>
      </c>
      <c r="L471" s="1">
        <v>500.0</v>
      </c>
      <c r="M471" s="1">
        <v>61.0</v>
      </c>
      <c r="N471" s="5" t="s">
        <v>979</v>
      </c>
      <c r="P471" s="6" t="str">
        <f>VLOOKUP(D471,'シート2'!A:B, 2, 0)</f>
        <v>Force of Will</v>
      </c>
    </row>
    <row r="472">
      <c r="A472" s="1" t="s">
        <v>1100</v>
      </c>
      <c r="B472" s="3" t="s">
        <v>1101</v>
      </c>
      <c r="C472" s="1" t="s">
        <v>16</v>
      </c>
      <c r="D472" s="1" t="s">
        <v>979</v>
      </c>
      <c r="E472" s="1" t="s">
        <v>979</v>
      </c>
      <c r="F472" s="1" t="str">
        <f>IFERROR(__xludf.DUMMYFUNCTION("SPLIT(E472,""&gt;"")"),"Force of Will")</f>
        <v>Force of Will</v>
      </c>
      <c r="G472" s="1"/>
      <c r="H472" s="1" t="s">
        <v>979</v>
      </c>
      <c r="I472" s="1" t="s">
        <v>622</v>
      </c>
      <c r="J472" s="4">
        <v>42675.0</v>
      </c>
      <c r="K472" s="1">
        <v>1000.0</v>
      </c>
      <c r="L472" s="1">
        <v>500.0</v>
      </c>
      <c r="M472" s="1">
        <v>62.0</v>
      </c>
      <c r="N472" s="5" t="s">
        <v>979</v>
      </c>
      <c r="P472" s="6" t="str">
        <f>VLOOKUP(D472,'シート2'!A:B, 2, 0)</f>
        <v>Force of Will</v>
      </c>
    </row>
    <row r="473">
      <c r="A473" s="1" t="s">
        <v>1102</v>
      </c>
      <c r="B473" s="3" t="s">
        <v>1103</v>
      </c>
      <c r="C473" s="1" t="s">
        <v>16</v>
      </c>
      <c r="D473" s="1" t="s">
        <v>979</v>
      </c>
      <c r="E473" s="1" t="s">
        <v>979</v>
      </c>
      <c r="F473" s="1" t="str">
        <f>IFERROR(__xludf.DUMMYFUNCTION("SPLIT(E473,""&gt;"")"),"Force of Will")</f>
        <v>Force of Will</v>
      </c>
      <c r="G473" s="1"/>
      <c r="H473" s="1" t="s">
        <v>979</v>
      </c>
      <c r="I473" s="1" t="s">
        <v>622</v>
      </c>
      <c r="J473" s="4">
        <v>42675.0</v>
      </c>
      <c r="K473" s="1">
        <v>1000.0</v>
      </c>
      <c r="L473" s="1">
        <v>500.0</v>
      </c>
      <c r="M473" s="1">
        <v>63.0</v>
      </c>
      <c r="N473" s="5" t="s">
        <v>979</v>
      </c>
      <c r="P473" s="6" t="str">
        <f>VLOOKUP(D473,'シート2'!A:B, 2, 0)</f>
        <v>Force of Will</v>
      </c>
    </row>
    <row r="474">
      <c r="A474" s="1" t="s">
        <v>1104</v>
      </c>
      <c r="B474" s="3" t="s">
        <v>1105</v>
      </c>
      <c r="C474" s="1" t="s">
        <v>16</v>
      </c>
      <c r="D474" s="1" t="s">
        <v>979</v>
      </c>
      <c r="E474" s="1" t="s">
        <v>979</v>
      </c>
      <c r="F474" s="1" t="str">
        <f>IFERROR(__xludf.DUMMYFUNCTION("SPLIT(E474,""&gt;"")"),"Force of Will")</f>
        <v>Force of Will</v>
      </c>
      <c r="G474" s="1"/>
      <c r="H474" s="1" t="s">
        <v>979</v>
      </c>
      <c r="I474" s="1" t="s">
        <v>622</v>
      </c>
      <c r="J474" s="4">
        <v>42675.0</v>
      </c>
      <c r="K474" s="1">
        <v>1000.0</v>
      </c>
      <c r="L474" s="1">
        <v>500.0</v>
      </c>
      <c r="M474" s="1">
        <v>64.0</v>
      </c>
      <c r="N474" s="5" t="s">
        <v>979</v>
      </c>
      <c r="P474" s="6" t="str">
        <f>VLOOKUP(D474,'シート2'!A:B, 2, 0)</f>
        <v>Force of Will</v>
      </c>
    </row>
    <row r="475">
      <c r="A475" s="1" t="s">
        <v>1106</v>
      </c>
      <c r="B475" s="3" t="s">
        <v>1107</v>
      </c>
      <c r="C475" s="1" t="s">
        <v>16</v>
      </c>
      <c r="D475" s="1" t="s">
        <v>979</v>
      </c>
      <c r="E475" s="1" t="s">
        <v>979</v>
      </c>
      <c r="F475" s="1" t="str">
        <f>IFERROR(__xludf.DUMMYFUNCTION("SPLIT(E475,""&gt;"")"),"Force of Will")</f>
        <v>Force of Will</v>
      </c>
      <c r="G475" s="1"/>
      <c r="H475" s="1" t="s">
        <v>979</v>
      </c>
      <c r="I475" s="1" t="s">
        <v>622</v>
      </c>
      <c r="J475" s="4">
        <v>42675.0</v>
      </c>
      <c r="K475" s="1">
        <v>1000.0</v>
      </c>
      <c r="L475" s="1">
        <v>500.0</v>
      </c>
      <c r="M475" s="1">
        <v>65.0</v>
      </c>
      <c r="N475" s="5" t="s">
        <v>979</v>
      </c>
      <c r="P475" s="6" t="str">
        <f>VLOOKUP(D475,'シート2'!A:B, 2, 0)</f>
        <v>Force of Will</v>
      </c>
    </row>
    <row r="476">
      <c r="A476" s="1" t="s">
        <v>1108</v>
      </c>
      <c r="B476" s="3" t="s">
        <v>1109</v>
      </c>
      <c r="C476" s="1" t="s">
        <v>16</v>
      </c>
      <c r="D476" s="1" t="s">
        <v>979</v>
      </c>
      <c r="E476" s="1" t="s">
        <v>979</v>
      </c>
      <c r="F476" s="1" t="str">
        <f>IFERROR(__xludf.DUMMYFUNCTION("SPLIT(E476,""&gt;"")"),"Force of Will")</f>
        <v>Force of Will</v>
      </c>
      <c r="G476" s="1"/>
      <c r="H476" s="1" t="s">
        <v>979</v>
      </c>
      <c r="I476" s="1" t="s">
        <v>622</v>
      </c>
      <c r="J476" s="4">
        <v>42675.0</v>
      </c>
      <c r="K476" s="1">
        <v>1000.0</v>
      </c>
      <c r="L476" s="1">
        <v>500.0</v>
      </c>
      <c r="M476" s="1">
        <v>66.0</v>
      </c>
      <c r="N476" s="5" t="s">
        <v>979</v>
      </c>
      <c r="P476" s="6" t="str">
        <f>VLOOKUP(D476,'シート2'!A:B, 2, 0)</f>
        <v>Force of Will</v>
      </c>
    </row>
    <row r="477">
      <c r="A477" s="1" t="s">
        <v>1110</v>
      </c>
      <c r="B477" s="3" t="s">
        <v>1111</v>
      </c>
      <c r="C477" s="1" t="s">
        <v>16</v>
      </c>
      <c r="D477" s="1" t="s">
        <v>979</v>
      </c>
      <c r="E477" s="1" t="s">
        <v>979</v>
      </c>
      <c r="F477" s="1" t="str">
        <f>IFERROR(__xludf.DUMMYFUNCTION("SPLIT(E477,""&gt;"")"),"Force of Will")</f>
        <v>Force of Will</v>
      </c>
      <c r="G477" s="1"/>
      <c r="H477" s="1" t="s">
        <v>979</v>
      </c>
      <c r="I477" s="1" t="s">
        <v>622</v>
      </c>
      <c r="J477" s="4">
        <v>42675.0</v>
      </c>
      <c r="K477" s="1">
        <v>1000.0</v>
      </c>
      <c r="L477" s="1">
        <v>500.0</v>
      </c>
      <c r="M477" s="1">
        <v>67.0</v>
      </c>
      <c r="N477" s="5" t="s">
        <v>979</v>
      </c>
      <c r="P477" s="6" t="str">
        <f>VLOOKUP(D477,'シート2'!A:B, 2, 0)</f>
        <v>Force of Will</v>
      </c>
    </row>
    <row r="478">
      <c r="A478" s="1" t="s">
        <v>1112</v>
      </c>
      <c r="B478" s="3" t="s">
        <v>1113</v>
      </c>
      <c r="C478" s="1" t="s">
        <v>16</v>
      </c>
      <c r="D478" s="1" t="s">
        <v>979</v>
      </c>
      <c r="E478" s="1" t="s">
        <v>979</v>
      </c>
      <c r="F478" s="1" t="str">
        <f>IFERROR(__xludf.DUMMYFUNCTION("SPLIT(E478,""&gt;"")"),"Force of Will")</f>
        <v>Force of Will</v>
      </c>
      <c r="G478" s="1"/>
      <c r="H478" s="1" t="s">
        <v>979</v>
      </c>
      <c r="I478" s="1" t="s">
        <v>622</v>
      </c>
      <c r="J478" s="4">
        <v>42675.0</v>
      </c>
      <c r="K478" s="1">
        <v>1000.0</v>
      </c>
      <c r="L478" s="1">
        <v>995.0</v>
      </c>
      <c r="M478" s="1">
        <v>68.0</v>
      </c>
      <c r="N478" s="5" t="s">
        <v>979</v>
      </c>
      <c r="P478" s="6" t="str">
        <f>VLOOKUP(D478,'シート2'!A:B, 2, 0)</f>
        <v>Force of Will</v>
      </c>
    </row>
    <row r="479">
      <c r="A479" s="1" t="s">
        <v>1114</v>
      </c>
      <c r="B479" s="3" t="s">
        <v>1115</v>
      </c>
      <c r="C479" s="1" t="s">
        <v>16</v>
      </c>
      <c r="D479" s="1" t="s">
        <v>979</v>
      </c>
      <c r="E479" s="1" t="s">
        <v>979</v>
      </c>
      <c r="F479" s="1" t="str">
        <f>IFERROR(__xludf.DUMMYFUNCTION("SPLIT(E479,""&gt;"")"),"Force of Will")</f>
        <v>Force of Will</v>
      </c>
      <c r="G479" s="1"/>
      <c r="H479" s="1" t="s">
        <v>979</v>
      </c>
      <c r="I479" s="1" t="s">
        <v>622</v>
      </c>
      <c r="J479" s="4">
        <v>42675.0</v>
      </c>
      <c r="K479" s="1">
        <v>1000.0</v>
      </c>
      <c r="L479" s="1">
        <v>500.0</v>
      </c>
      <c r="M479" s="1">
        <v>69.0</v>
      </c>
      <c r="N479" s="5" t="s">
        <v>979</v>
      </c>
      <c r="P479" s="6" t="str">
        <f>VLOOKUP(D479,'シート2'!A:B, 2, 0)</f>
        <v>Force of Will</v>
      </c>
    </row>
    <row r="480">
      <c r="A480" s="1" t="s">
        <v>1116</v>
      </c>
      <c r="B480" s="3" t="s">
        <v>1117</v>
      </c>
      <c r="C480" s="1" t="s">
        <v>16</v>
      </c>
      <c r="D480" s="1" t="s">
        <v>979</v>
      </c>
      <c r="E480" s="1" t="s">
        <v>979</v>
      </c>
      <c r="F480" s="1" t="str">
        <f>IFERROR(__xludf.DUMMYFUNCTION("SPLIT(E480,""&gt;"")"),"Force of Will")</f>
        <v>Force of Will</v>
      </c>
      <c r="G480" s="1"/>
      <c r="H480" s="1" t="s">
        <v>979</v>
      </c>
      <c r="I480" s="1" t="s">
        <v>622</v>
      </c>
      <c r="J480" s="4">
        <v>42675.0</v>
      </c>
      <c r="K480" s="1">
        <v>1000.0</v>
      </c>
      <c r="L480" s="1">
        <v>500.0</v>
      </c>
      <c r="M480" s="1">
        <v>70.0</v>
      </c>
      <c r="N480" s="5" t="s">
        <v>979</v>
      </c>
      <c r="P480" s="6" t="str">
        <f>VLOOKUP(D480,'シート2'!A:B, 2, 0)</f>
        <v>Force of Will</v>
      </c>
    </row>
    <row r="481">
      <c r="A481" s="1" t="s">
        <v>1118</v>
      </c>
      <c r="B481" s="3" t="s">
        <v>1119</v>
      </c>
      <c r="C481" s="1" t="s">
        <v>16</v>
      </c>
      <c r="D481" s="1" t="s">
        <v>979</v>
      </c>
      <c r="E481" s="1" t="s">
        <v>979</v>
      </c>
      <c r="F481" s="1" t="str">
        <f>IFERROR(__xludf.DUMMYFUNCTION("SPLIT(E481,""&gt;"")"),"Force of Will")</f>
        <v>Force of Will</v>
      </c>
      <c r="G481" s="1"/>
      <c r="H481" s="1" t="s">
        <v>979</v>
      </c>
      <c r="I481" s="1" t="s">
        <v>622</v>
      </c>
      <c r="J481" s="4">
        <v>42675.0</v>
      </c>
      <c r="K481" s="1">
        <v>1000.0</v>
      </c>
      <c r="L481" s="1">
        <v>500.0</v>
      </c>
      <c r="M481" s="1">
        <v>71.0</v>
      </c>
      <c r="N481" s="5" t="s">
        <v>979</v>
      </c>
      <c r="P481" s="6" t="str">
        <f>VLOOKUP(D481,'シート2'!A:B, 2, 0)</f>
        <v>Force of Will</v>
      </c>
    </row>
    <row r="482">
      <c r="A482" s="1" t="s">
        <v>1120</v>
      </c>
      <c r="B482" s="3" t="s">
        <v>1121</v>
      </c>
      <c r="C482" s="1" t="s">
        <v>16</v>
      </c>
      <c r="D482" s="1" t="s">
        <v>979</v>
      </c>
      <c r="E482" s="1" t="s">
        <v>979</v>
      </c>
      <c r="F482" s="1" t="str">
        <f>IFERROR(__xludf.DUMMYFUNCTION("SPLIT(E482,""&gt;"")"),"Force of Will")</f>
        <v>Force of Will</v>
      </c>
      <c r="G482" s="1"/>
      <c r="H482" s="1" t="s">
        <v>979</v>
      </c>
      <c r="I482" s="1" t="s">
        <v>622</v>
      </c>
      <c r="J482" s="4">
        <v>42675.0</v>
      </c>
      <c r="K482" s="1">
        <v>1000.0</v>
      </c>
      <c r="L482" s="1">
        <v>500.0</v>
      </c>
      <c r="M482" s="1">
        <v>72.0</v>
      </c>
      <c r="N482" s="5" t="s">
        <v>979</v>
      </c>
      <c r="P482" s="6" t="str">
        <f>VLOOKUP(D482,'シート2'!A:B, 2, 0)</f>
        <v>Force of Will</v>
      </c>
    </row>
    <row r="483">
      <c r="A483" s="1" t="s">
        <v>1122</v>
      </c>
      <c r="B483" s="3" t="s">
        <v>1123</v>
      </c>
      <c r="C483" s="1" t="s">
        <v>16</v>
      </c>
      <c r="D483" s="1" t="s">
        <v>979</v>
      </c>
      <c r="E483" s="1" t="s">
        <v>979</v>
      </c>
      <c r="F483" s="1" t="str">
        <f>IFERROR(__xludf.DUMMYFUNCTION("SPLIT(E483,""&gt;"")"),"Force of Will")</f>
        <v>Force of Will</v>
      </c>
      <c r="G483" s="1"/>
      <c r="H483" s="1" t="s">
        <v>979</v>
      </c>
      <c r="I483" s="1" t="s">
        <v>622</v>
      </c>
      <c r="J483" s="4">
        <v>42675.0</v>
      </c>
      <c r="K483" s="1">
        <v>1000.0</v>
      </c>
      <c r="L483" s="1">
        <v>500.0</v>
      </c>
      <c r="M483" s="1">
        <v>73.0</v>
      </c>
      <c r="N483" s="5" t="s">
        <v>979</v>
      </c>
      <c r="P483" s="6" t="str">
        <f>VLOOKUP(D483,'シート2'!A:B, 2, 0)</f>
        <v>Force of Will</v>
      </c>
    </row>
    <row r="484">
      <c r="A484" s="1" t="s">
        <v>1124</v>
      </c>
      <c r="B484" s="3" t="s">
        <v>1125</v>
      </c>
      <c r="C484" s="1" t="s">
        <v>16</v>
      </c>
      <c r="D484" s="1" t="s">
        <v>979</v>
      </c>
      <c r="E484" s="1" t="s">
        <v>979</v>
      </c>
      <c r="F484" s="1" t="str">
        <f>IFERROR(__xludf.DUMMYFUNCTION("SPLIT(E484,""&gt;"")"),"Force of Will")</f>
        <v>Force of Will</v>
      </c>
      <c r="G484" s="1"/>
      <c r="H484" s="1" t="s">
        <v>979</v>
      </c>
      <c r="I484" s="1" t="s">
        <v>622</v>
      </c>
      <c r="J484" s="4">
        <v>42675.0</v>
      </c>
      <c r="K484" s="1">
        <v>1000.0</v>
      </c>
      <c r="L484" s="1">
        <v>500.0</v>
      </c>
      <c r="M484" s="1">
        <v>74.0</v>
      </c>
      <c r="N484" s="5" t="s">
        <v>979</v>
      </c>
      <c r="P484" s="6" t="str">
        <f>VLOOKUP(D484,'シート2'!A:B, 2, 0)</f>
        <v>Force of Will</v>
      </c>
    </row>
    <row r="485">
      <c r="A485" s="1" t="s">
        <v>1126</v>
      </c>
      <c r="B485" s="3" t="s">
        <v>1127</v>
      </c>
      <c r="C485" s="1" t="s">
        <v>16</v>
      </c>
      <c r="D485" s="1" t="s">
        <v>979</v>
      </c>
      <c r="E485" s="1" t="s">
        <v>979</v>
      </c>
      <c r="F485" s="1" t="str">
        <f>IFERROR(__xludf.DUMMYFUNCTION("SPLIT(E485,""&gt;"")"),"Force of Will")</f>
        <v>Force of Will</v>
      </c>
      <c r="G485" s="1"/>
      <c r="H485" s="1" t="s">
        <v>979</v>
      </c>
      <c r="I485" s="1" t="s">
        <v>622</v>
      </c>
      <c r="J485" s="4">
        <v>42675.0</v>
      </c>
      <c r="K485" s="1">
        <v>1000.0</v>
      </c>
      <c r="L485" s="1">
        <v>500.0</v>
      </c>
      <c r="M485" s="1">
        <v>75.0</v>
      </c>
      <c r="N485" s="5" t="s">
        <v>979</v>
      </c>
      <c r="P485" s="6" t="str">
        <f>VLOOKUP(D485,'シート2'!A:B, 2, 0)</f>
        <v>Force of Will</v>
      </c>
    </row>
    <row r="486">
      <c r="A486" s="1" t="s">
        <v>1128</v>
      </c>
      <c r="B486" s="3" t="s">
        <v>1129</v>
      </c>
      <c r="C486" s="1" t="s">
        <v>16</v>
      </c>
      <c r="D486" s="1" t="s">
        <v>979</v>
      </c>
      <c r="E486" s="1" t="s">
        <v>979</v>
      </c>
      <c r="F486" s="1" t="str">
        <f>IFERROR(__xludf.DUMMYFUNCTION("SPLIT(E486,""&gt;"")"),"Force of Will")</f>
        <v>Force of Will</v>
      </c>
      <c r="G486" s="1"/>
      <c r="H486" s="1" t="s">
        <v>979</v>
      </c>
      <c r="I486" s="1" t="s">
        <v>622</v>
      </c>
      <c r="J486" s="4">
        <v>42675.0</v>
      </c>
      <c r="K486" s="1">
        <v>1000.0</v>
      </c>
      <c r="L486" s="1">
        <v>500.0</v>
      </c>
      <c r="M486" s="1">
        <v>76.0</v>
      </c>
      <c r="N486" s="5" t="s">
        <v>979</v>
      </c>
      <c r="P486" s="6" t="str">
        <f>VLOOKUP(D486,'シート2'!A:B, 2, 0)</f>
        <v>Force of Will</v>
      </c>
    </row>
    <row r="487">
      <c r="A487" s="1" t="s">
        <v>1130</v>
      </c>
      <c r="B487" s="3" t="s">
        <v>1131</v>
      </c>
      <c r="C487" s="1" t="s">
        <v>16</v>
      </c>
      <c r="D487" s="1" t="s">
        <v>979</v>
      </c>
      <c r="E487" s="1" t="s">
        <v>979</v>
      </c>
      <c r="F487" s="1" t="str">
        <f>IFERROR(__xludf.DUMMYFUNCTION("SPLIT(E487,""&gt;"")"),"Force of Will")</f>
        <v>Force of Will</v>
      </c>
      <c r="G487" s="1"/>
      <c r="H487" s="1" t="s">
        <v>979</v>
      </c>
      <c r="I487" s="1" t="s">
        <v>622</v>
      </c>
      <c r="J487" s="4">
        <v>42675.0</v>
      </c>
      <c r="K487" s="1">
        <v>1000.0</v>
      </c>
      <c r="L487" s="1">
        <v>500.0</v>
      </c>
      <c r="M487" s="1">
        <v>77.0</v>
      </c>
      <c r="N487" s="5" t="s">
        <v>979</v>
      </c>
      <c r="P487" s="6" t="str">
        <f>VLOOKUP(D487,'シート2'!A:B, 2, 0)</f>
        <v>Force of Will</v>
      </c>
    </row>
    <row r="488">
      <c r="A488" s="1" t="s">
        <v>1132</v>
      </c>
      <c r="B488" s="3" t="s">
        <v>1133</v>
      </c>
      <c r="C488" s="1" t="s">
        <v>16</v>
      </c>
      <c r="D488" s="1" t="s">
        <v>979</v>
      </c>
      <c r="E488" s="1" t="s">
        <v>979</v>
      </c>
      <c r="F488" s="1" t="str">
        <f>IFERROR(__xludf.DUMMYFUNCTION("SPLIT(E488,""&gt;"")"),"Force of Will")</f>
        <v>Force of Will</v>
      </c>
      <c r="G488" s="1"/>
      <c r="H488" s="1" t="s">
        <v>979</v>
      </c>
      <c r="I488" s="1" t="s">
        <v>622</v>
      </c>
      <c r="J488" s="4">
        <v>42675.0</v>
      </c>
      <c r="K488" s="1">
        <v>1000.0</v>
      </c>
      <c r="L488" s="1">
        <v>500.0</v>
      </c>
      <c r="M488" s="1">
        <v>78.0</v>
      </c>
      <c r="N488" s="5" t="s">
        <v>979</v>
      </c>
      <c r="P488" s="6" t="str">
        <f>VLOOKUP(D488,'シート2'!A:B, 2, 0)</f>
        <v>Force of Will</v>
      </c>
    </row>
    <row r="489">
      <c r="A489" s="1" t="s">
        <v>1134</v>
      </c>
      <c r="B489" s="3" t="s">
        <v>1135</v>
      </c>
      <c r="C489" s="1" t="s">
        <v>16</v>
      </c>
      <c r="D489" s="1" t="s">
        <v>979</v>
      </c>
      <c r="E489" s="1" t="s">
        <v>979</v>
      </c>
      <c r="F489" s="1" t="str">
        <f>IFERROR(__xludf.DUMMYFUNCTION("SPLIT(E489,""&gt;"")"),"Force of Will")</f>
        <v>Force of Will</v>
      </c>
      <c r="G489" s="1"/>
      <c r="H489" s="1" t="s">
        <v>979</v>
      </c>
      <c r="I489" s="1" t="s">
        <v>622</v>
      </c>
      <c r="J489" s="4">
        <v>42675.0</v>
      </c>
      <c r="K489" s="1">
        <v>1000.0</v>
      </c>
      <c r="L489" s="1">
        <v>500.0</v>
      </c>
      <c r="M489" s="1">
        <v>79.0</v>
      </c>
      <c r="N489" s="5" t="s">
        <v>979</v>
      </c>
      <c r="P489" s="6" t="str">
        <f>VLOOKUP(D489,'シート2'!A:B, 2, 0)</f>
        <v>Force of Will</v>
      </c>
    </row>
    <row r="490">
      <c r="A490" s="1" t="s">
        <v>1136</v>
      </c>
      <c r="B490" s="3" t="s">
        <v>1137</v>
      </c>
      <c r="C490" s="1" t="s">
        <v>16</v>
      </c>
      <c r="D490" s="1" t="s">
        <v>979</v>
      </c>
      <c r="E490" s="1" t="s">
        <v>979</v>
      </c>
      <c r="F490" s="1" t="str">
        <f>IFERROR(__xludf.DUMMYFUNCTION("SPLIT(E490,""&gt;"")"),"Force of Will")</f>
        <v>Force of Will</v>
      </c>
      <c r="G490" s="1"/>
      <c r="H490" s="1" t="s">
        <v>979</v>
      </c>
      <c r="I490" s="1" t="s">
        <v>622</v>
      </c>
      <c r="J490" s="4">
        <v>42675.0</v>
      </c>
      <c r="K490" s="1">
        <v>1000.0</v>
      </c>
      <c r="L490" s="1">
        <v>500.0</v>
      </c>
      <c r="M490" s="1">
        <v>80.0</v>
      </c>
      <c r="N490" s="5" t="s">
        <v>979</v>
      </c>
      <c r="P490" s="6" t="str">
        <f>VLOOKUP(D490,'シート2'!A:B, 2, 0)</f>
        <v>Force of Will</v>
      </c>
    </row>
    <row r="491">
      <c r="A491" s="1" t="s">
        <v>1138</v>
      </c>
      <c r="B491" s="3" t="s">
        <v>1139</v>
      </c>
      <c r="C491" s="1" t="s">
        <v>16</v>
      </c>
      <c r="D491" s="1" t="s">
        <v>979</v>
      </c>
      <c r="E491" s="1" t="s">
        <v>979</v>
      </c>
      <c r="F491" s="1" t="str">
        <f>IFERROR(__xludf.DUMMYFUNCTION("SPLIT(E491,""&gt;"")"),"Force of Will")</f>
        <v>Force of Will</v>
      </c>
      <c r="G491" s="1"/>
      <c r="H491" s="1" t="s">
        <v>979</v>
      </c>
      <c r="I491" s="1" t="s">
        <v>622</v>
      </c>
      <c r="J491" s="4">
        <v>42675.0</v>
      </c>
      <c r="K491" s="1">
        <v>1000.0</v>
      </c>
      <c r="L491" s="1">
        <v>500.0</v>
      </c>
      <c r="M491" s="1">
        <v>81.0</v>
      </c>
      <c r="N491" s="5" t="s">
        <v>979</v>
      </c>
      <c r="P491" s="6" t="str">
        <f>VLOOKUP(D491,'シート2'!A:B, 2, 0)</f>
        <v>Force of Will</v>
      </c>
    </row>
    <row r="492">
      <c r="A492" s="1" t="s">
        <v>1140</v>
      </c>
      <c r="B492" s="3" t="s">
        <v>1141</v>
      </c>
      <c r="C492" s="1" t="s">
        <v>16</v>
      </c>
      <c r="D492" s="1" t="s">
        <v>979</v>
      </c>
      <c r="E492" s="1" t="s">
        <v>979</v>
      </c>
      <c r="F492" s="1" t="str">
        <f>IFERROR(__xludf.DUMMYFUNCTION("SPLIT(E492,""&gt;"")"),"Force of Will")</f>
        <v>Force of Will</v>
      </c>
      <c r="G492" s="1"/>
      <c r="H492" s="1" t="s">
        <v>979</v>
      </c>
      <c r="I492" s="1" t="s">
        <v>622</v>
      </c>
      <c r="J492" s="4">
        <v>42675.0</v>
      </c>
      <c r="K492" s="1">
        <v>1000.0</v>
      </c>
      <c r="L492" s="1">
        <v>500.0</v>
      </c>
      <c r="M492" s="1">
        <v>82.0</v>
      </c>
      <c r="N492" s="5" t="s">
        <v>979</v>
      </c>
      <c r="P492" s="6" t="str">
        <f>VLOOKUP(D492,'シート2'!A:B, 2, 0)</f>
        <v>Force of Will</v>
      </c>
    </row>
    <row r="493">
      <c r="A493" s="1" t="s">
        <v>1142</v>
      </c>
      <c r="B493" s="3" t="s">
        <v>1143</v>
      </c>
      <c r="C493" s="1" t="s">
        <v>16</v>
      </c>
      <c r="D493" s="1" t="s">
        <v>979</v>
      </c>
      <c r="E493" s="1" t="s">
        <v>979</v>
      </c>
      <c r="F493" s="1" t="str">
        <f>IFERROR(__xludf.DUMMYFUNCTION("SPLIT(E493,""&gt;"")"),"Force of Will")</f>
        <v>Force of Will</v>
      </c>
      <c r="G493" s="1"/>
      <c r="H493" s="1" t="s">
        <v>979</v>
      </c>
      <c r="I493" s="1" t="s">
        <v>622</v>
      </c>
      <c r="J493" s="4">
        <v>42675.0</v>
      </c>
      <c r="K493" s="1">
        <v>1000.0</v>
      </c>
      <c r="L493" s="1">
        <v>500.0</v>
      </c>
      <c r="M493" s="1">
        <v>83.0</v>
      </c>
      <c r="N493" s="5" t="s">
        <v>979</v>
      </c>
      <c r="P493" s="6" t="str">
        <f>VLOOKUP(D493,'シート2'!A:B, 2, 0)</f>
        <v>Force of Will</v>
      </c>
    </row>
    <row r="494">
      <c r="A494" s="1" t="s">
        <v>1144</v>
      </c>
      <c r="B494" s="3" t="s">
        <v>1145</v>
      </c>
      <c r="C494" s="1" t="s">
        <v>16</v>
      </c>
      <c r="D494" s="1" t="s">
        <v>979</v>
      </c>
      <c r="E494" s="1" t="s">
        <v>979</v>
      </c>
      <c r="F494" s="1" t="str">
        <f>IFERROR(__xludf.DUMMYFUNCTION("SPLIT(E494,""&gt;"")"),"Force of Will")</f>
        <v>Force of Will</v>
      </c>
      <c r="G494" s="1"/>
      <c r="H494" s="1" t="s">
        <v>979</v>
      </c>
      <c r="I494" s="1" t="s">
        <v>622</v>
      </c>
      <c r="J494" s="4">
        <v>42675.0</v>
      </c>
      <c r="K494" s="1">
        <v>1000.0</v>
      </c>
      <c r="L494" s="1">
        <v>500.0</v>
      </c>
      <c r="M494" s="1">
        <v>84.0</v>
      </c>
      <c r="N494" s="5" t="s">
        <v>979</v>
      </c>
      <c r="P494" s="6" t="str">
        <f>VLOOKUP(D494,'シート2'!A:B, 2, 0)</f>
        <v>Force of Will</v>
      </c>
    </row>
    <row r="495">
      <c r="A495" s="1" t="s">
        <v>1146</v>
      </c>
      <c r="B495" s="3" t="s">
        <v>1147</v>
      </c>
      <c r="C495" s="1" t="s">
        <v>16</v>
      </c>
      <c r="D495" s="1" t="s">
        <v>979</v>
      </c>
      <c r="E495" s="1" t="s">
        <v>979</v>
      </c>
      <c r="F495" s="1" t="str">
        <f>IFERROR(__xludf.DUMMYFUNCTION("SPLIT(E495,""&gt;"")"),"Force of Will")</f>
        <v>Force of Will</v>
      </c>
      <c r="G495" s="1"/>
      <c r="H495" s="1" t="s">
        <v>979</v>
      </c>
      <c r="I495" s="1" t="s">
        <v>622</v>
      </c>
      <c r="J495" s="4">
        <v>42675.0</v>
      </c>
      <c r="K495" s="1">
        <v>1000.0</v>
      </c>
      <c r="L495" s="1">
        <v>500.0</v>
      </c>
      <c r="M495" s="1">
        <v>85.0</v>
      </c>
      <c r="N495" s="5" t="s">
        <v>979</v>
      </c>
      <c r="P495" s="6" t="str">
        <f>VLOOKUP(D495,'シート2'!A:B, 2, 0)</f>
        <v>Force of Will</v>
      </c>
    </row>
    <row r="496">
      <c r="A496" s="1" t="s">
        <v>1148</v>
      </c>
      <c r="B496" s="3" t="s">
        <v>1149</v>
      </c>
      <c r="C496" s="1" t="s">
        <v>16</v>
      </c>
      <c r="D496" s="1" t="s">
        <v>979</v>
      </c>
      <c r="E496" s="1" t="s">
        <v>979</v>
      </c>
      <c r="F496" s="1" t="str">
        <f>IFERROR(__xludf.DUMMYFUNCTION("SPLIT(E496,""&gt;"")"),"Force of Will")</f>
        <v>Force of Will</v>
      </c>
      <c r="G496" s="1"/>
      <c r="H496" s="1" t="s">
        <v>979</v>
      </c>
      <c r="I496" s="1" t="s">
        <v>622</v>
      </c>
      <c r="J496" s="4">
        <v>42675.0</v>
      </c>
      <c r="K496" s="1">
        <v>1000.0</v>
      </c>
      <c r="L496" s="1">
        <v>500.0</v>
      </c>
      <c r="M496" s="1">
        <v>86.0</v>
      </c>
      <c r="N496" s="5" t="s">
        <v>979</v>
      </c>
      <c r="P496" s="6" t="str">
        <f>VLOOKUP(D496,'シート2'!A:B, 2, 0)</f>
        <v>Force of Will</v>
      </c>
    </row>
    <row r="497">
      <c r="A497" s="1" t="s">
        <v>1150</v>
      </c>
      <c r="B497" s="3" t="s">
        <v>1151</v>
      </c>
      <c r="C497" s="1" t="s">
        <v>16</v>
      </c>
      <c r="D497" s="1" t="s">
        <v>979</v>
      </c>
      <c r="E497" s="1" t="s">
        <v>979</v>
      </c>
      <c r="F497" s="1" t="str">
        <f>IFERROR(__xludf.DUMMYFUNCTION("SPLIT(E497,""&gt;"")"),"Force of Will")</f>
        <v>Force of Will</v>
      </c>
      <c r="G497" s="1"/>
      <c r="H497" s="1" t="s">
        <v>979</v>
      </c>
      <c r="I497" s="1" t="s">
        <v>622</v>
      </c>
      <c r="J497" s="4">
        <v>42675.0</v>
      </c>
      <c r="K497" s="1">
        <v>1000.0</v>
      </c>
      <c r="L497" s="1">
        <v>500.0</v>
      </c>
      <c r="M497" s="1">
        <v>87.0</v>
      </c>
      <c r="N497" s="5" t="s">
        <v>979</v>
      </c>
      <c r="P497" s="6" t="str">
        <f>VLOOKUP(D497,'シート2'!A:B, 2, 0)</f>
        <v>Force of Will</v>
      </c>
    </row>
    <row r="498">
      <c r="A498" s="1" t="s">
        <v>1152</v>
      </c>
      <c r="B498" s="3" t="s">
        <v>1153</v>
      </c>
      <c r="C498" s="1" t="s">
        <v>16</v>
      </c>
      <c r="D498" s="1" t="s">
        <v>979</v>
      </c>
      <c r="E498" s="1" t="s">
        <v>979</v>
      </c>
      <c r="F498" s="1" t="str">
        <f>IFERROR(__xludf.DUMMYFUNCTION("SPLIT(E498,""&gt;"")"),"Force of Will")</f>
        <v>Force of Will</v>
      </c>
      <c r="G498" s="1"/>
      <c r="H498" s="1" t="s">
        <v>979</v>
      </c>
      <c r="I498" s="1" t="s">
        <v>622</v>
      </c>
      <c r="J498" s="4">
        <v>42675.0</v>
      </c>
      <c r="K498" s="1">
        <v>1000.0</v>
      </c>
      <c r="L498" s="1">
        <v>500.0</v>
      </c>
      <c r="M498" s="1">
        <v>88.0</v>
      </c>
      <c r="N498" s="5" t="s">
        <v>979</v>
      </c>
      <c r="P498" s="6" t="str">
        <f>VLOOKUP(D498,'シート2'!A:B, 2, 0)</f>
        <v>Force of Will</v>
      </c>
    </row>
    <row r="499">
      <c r="A499" s="1" t="s">
        <v>1154</v>
      </c>
      <c r="B499" s="3" t="s">
        <v>1155</v>
      </c>
      <c r="C499" s="1" t="s">
        <v>16</v>
      </c>
      <c r="D499" s="1" t="s">
        <v>979</v>
      </c>
      <c r="E499" s="1" t="s">
        <v>979</v>
      </c>
      <c r="F499" s="1" t="str">
        <f>IFERROR(__xludf.DUMMYFUNCTION("SPLIT(E499,""&gt;"")"),"Force of Will")</f>
        <v>Force of Will</v>
      </c>
      <c r="G499" s="1"/>
      <c r="H499" s="1" t="s">
        <v>979</v>
      </c>
      <c r="I499" s="1" t="s">
        <v>622</v>
      </c>
      <c r="J499" s="4">
        <v>42675.0</v>
      </c>
      <c r="K499" s="1">
        <v>1000.0</v>
      </c>
      <c r="L499" s="1">
        <v>500.0</v>
      </c>
      <c r="M499" s="1">
        <v>89.0</v>
      </c>
      <c r="N499" s="5" t="s">
        <v>979</v>
      </c>
      <c r="P499" s="6" t="str">
        <f>VLOOKUP(D499,'シート2'!A:B, 2, 0)</f>
        <v>Force of Will</v>
      </c>
    </row>
    <row r="500">
      <c r="A500" s="1" t="s">
        <v>1156</v>
      </c>
      <c r="B500" s="3" t="s">
        <v>1157</v>
      </c>
      <c r="C500" s="1" t="s">
        <v>16</v>
      </c>
      <c r="D500" s="1" t="s">
        <v>979</v>
      </c>
      <c r="E500" s="1" t="s">
        <v>979</v>
      </c>
      <c r="F500" s="1" t="str">
        <f>IFERROR(__xludf.DUMMYFUNCTION("SPLIT(E500,""&gt;"")"),"Force of Will")</f>
        <v>Force of Will</v>
      </c>
      <c r="G500" s="1"/>
      <c r="H500" s="1" t="s">
        <v>979</v>
      </c>
      <c r="I500" s="1" t="s">
        <v>622</v>
      </c>
      <c r="J500" s="4">
        <v>42675.0</v>
      </c>
      <c r="K500" s="1">
        <v>1000.0</v>
      </c>
      <c r="L500" s="1">
        <v>500.0</v>
      </c>
      <c r="M500" s="1">
        <v>90.0</v>
      </c>
      <c r="N500" s="5" t="s">
        <v>979</v>
      </c>
      <c r="P500" s="6" t="str">
        <f>VLOOKUP(D500,'シート2'!A:B, 2, 0)</f>
        <v>Force of Will</v>
      </c>
    </row>
    <row r="501">
      <c r="A501" s="1" t="s">
        <v>1158</v>
      </c>
      <c r="B501" s="3" t="s">
        <v>1159</v>
      </c>
      <c r="C501" s="1" t="s">
        <v>16</v>
      </c>
      <c r="D501" s="1" t="s">
        <v>979</v>
      </c>
      <c r="E501" s="1" t="s">
        <v>979</v>
      </c>
      <c r="F501" s="1" t="str">
        <f>IFERROR(__xludf.DUMMYFUNCTION("SPLIT(E501,""&gt;"")"),"Force of Will")</f>
        <v>Force of Will</v>
      </c>
      <c r="G501" s="1"/>
      <c r="H501" s="1" t="s">
        <v>979</v>
      </c>
      <c r="I501" s="1" t="s">
        <v>622</v>
      </c>
      <c r="J501" s="4">
        <v>42675.0</v>
      </c>
      <c r="K501" s="1">
        <v>1000.0</v>
      </c>
      <c r="L501" s="1">
        <v>500.0</v>
      </c>
      <c r="M501" s="1">
        <v>91.0</v>
      </c>
      <c r="N501" s="5" t="s">
        <v>979</v>
      </c>
      <c r="P501" s="6" t="str">
        <f>VLOOKUP(D501,'シート2'!A:B, 2, 0)</f>
        <v>Force of Will</v>
      </c>
    </row>
    <row r="502">
      <c r="A502" s="1" t="s">
        <v>1160</v>
      </c>
      <c r="B502" s="3" t="s">
        <v>1161</v>
      </c>
      <c r="C502" s="1" t="s">
        <v>16</v>
      </c>
      <c r="D502" s="1" t="s">
        <v>979</v>
      </c>
      <c r="E502" s="1" t="s">
        <v>979</v>
      </c>
      <c r="F502" s="1" t="str">
        <f>IFERROR(__xludf.DUMMYFUNCTION("SPLIT(E502,""&gt;"")"),"Force of Will")</f>
        <v>Force of Will</v>
      </c>
      <c r="G502" s="1"/>
      <c r="H502" s="1" t="s">
        <v>979</v>
      </c>
      <c r="I502" s="1" t="s">
        <v>622</v>
      </c>
      <c r="J502" s="4">
        <v>42675.0</v>
      </c>
      <c r="K502" s="1">
        <v>1000.0</v>
      </c>
      <c r="L502" s="1">
        <v>500.0</v>
      </c>
      <c r="M502" s="1">
        <v>92.0</v>
      </c>
      <c r="N502" s="5" t="s">
        <v>979</v>
      </c>
      <c r="P502" s="6" t="str">
        <f>VLOOKUP(D502,'シート2'!A:B, 2, 0)</f>
        <v>Force of Will</v>
      </c>
    </row>
    <row r="503">
      <c r="A503" s="1" t="s">
        <v>1162</v>
      </c>
      <c r="B503" s="3" t="s">
        <v>1163</v>
      </c>
      <c r="C503" s="1" t="s">
        <v>16</v>
      </c>
      <c r="D503" s="1" t="s">
        <v>979</v>
      </c>
      <c r="E503" s="1" t="s">
        <v>979</v>
      </c>
      <c r="F503" s="1" t="str">
        <f>IFERROR(__xludf.DUMMYFUNCTION("SPLIT(E503,""&gt;"")"),"Force of Will")</f>
        <v>Force of Will</v>
      </c>
      <c r="G503" s="1"/>
      <c r="H503" s="1" t="s">
        <v>979</v>
      </c>
      <c r="I503" s="1" t="s">
        <v>622</v>
      </c>
      <c r="J503" s="4">
        <v>42675.0</v>
      </c>
      <c r="K503" s="1">
        <v>1000.0</v>
      </c>
      <c r="L503" s="1">
        <v>500.0</v>
      </c>
      <c r="M503" s="1">
        <v>93.0</v>
      </c>
      <c r="N503" s="5" t="s">
        <v>979</v>
      </c>
      <c r="P503" s="6" t="str">
        <f>VLOOKUP(D503,'シート2'!A:B, 2, 0)</f>
        <v>Force of Will</v>
      </c>
    </row>
    <row r="504">
      <c r="A504" s="1" t="s">
        <v>1164</v>
      </c>
      <c r="B504" s="3" t="s">
        <v>1165</v>
      </c>
      <c r="C504" s="1" t="s">
        <v>16</v>
      </c>
      <c r="D504" s="1" t="s">
        <v>979</v>
      </c>
      <c r="E504" s="1" t="s">
        <v>979</v>
      </c>
      <c r="F504" s="1" t="str">
        <f>IFERROR(__xludf.DUMMYFUNCTION("SPLIT(E504,""&gt;"")"),"Force of Will")</f>
        <v>Force of Will</v>
      </c>
      <c r="G504" s="1"/>
      <c r="H504" s="1" t="s">
        <v>979</v>
      </c>
      <c r="I504" s="1" t="s">
        <v>622</v>
      </c>
      <c r="J504" s="4">
        <v>42675.0</v>
      </c>
      <c r="K504" s="1">
        <v>1000.0</v>
      </c>
      <c r="L504" s="1">
        <v>500.0</v>
      </c>
      <c r="M504" s="1">
        <v>94.0</v>
      </c>
      <c r="N504" s="5" t="s">
        <v>979</v>
      </c>
      <c r="P504" s="6" t="str">
        <f>VLOOKUP(D504,'シート2'!A:B, 2, 0)</f>
        <v>Force of Will</v>
      </c>
    </row>
    <row r="505">
      <c r="A505" s="1" t="s">
        <v>1166</v>
      </c>
      <c r="B505" s="3" t="s">
        <v>1167</v>
      </c>
      <c r="C505" s="1" t="s">
        <v>16</v>
      </c>
      <c r="D505" s="1" t="s">
        <v>979</v>
      </c>
      <c r="E505" s="1" t="s">
        <v>979</v>
      </c>
      <c r="F505" s="1" t="str">
        <f>IFERROR(__xludf.DUMMYFUNCTION("SPLIT(E505,""&gt;"")"),"Force of Will")</f>
        <v>Force of Will</v>
      </c>
      <c r="G505" s="1"/>
      <c r="H505" s="1" t="s">
        <v>979</v>
      </c>
      <c r="I505" s="1" t="s">
        <v>622</v>
      </c>
      <c r="J505" s="4">
        <v>42675.0</v>
      </c>
      <c r="K505" s="1">
        <v>1000.0</v>
      </c>
      <c r="L505" s="1">
        <v>500.0</v>
      </c>
      <c r="M505" s="1">
        <v>95.0</v>
      </c>
      <c r="N505" s="5" t="s">
        <v>979</v>
      </c>
      <c r="P505" s="6" t="str">
        <f>VLOOKUP(D505,'シート2'!A:B, 2, 0)</f>
        <v>Force of Will</v>
      </c>
    </row>
    <row r="506">
      <c r="A506" s="1" t="s">
        <v>1168</v>
      </c>
      <c r="B506" s="3" t="s">
        <v>1169</v>
      </c>
      <c r="C506" s="1" t="s">
        <v>16</v>
      </c>
      <c r="D506" s="1" t="s">
        <v>979</v>
      </c>
      <c r="E506" s="1" t="s">
        <v>979</v>
      </c>
      <c r="F506" s="1" t="str">
        <f>IFERROR(__xludf.DUMMYFUNCTION("SPLIT(E506,""&gt;"")"),"Force of Will")</f>
        <v>Force of Will</v>
      </c>
      <c r="G506" s="1"/>
      <c r="H506" s="1" t="s">
        <v>979</v>
      </c>
      <c r="I506" s="1" t="s">
        <v>622</v>
      </c>
      <c r="J506" s="4">
        <v>42675.0</v>
      </c>
      <c r="K506" s="1">
        <v>1000.0</v>
      </c>
      <c r="L506" s="1">
        <v>500.0</v>
      </c>
      <c r="M506" s="1">
        <v>96.0</v>
      </c>
      <c r="N506" s="5" t="s">
        <v>979</v>
      </c>
      <c r="P506" s="6" t="str">
        <f>VLOOKUP(D506,'シート2'!A:B, 2, 0)</f>
        <v>Force of Will</v>
      </c>
    </row>
    <row r="507">
      <c r="A507" s="1" t="s">
        <v>1170</v>
      </c>
      <c r="B507" s="3" t="s">
        <v>1171</v>
      </c>
      <c r="C507" s="1" t="s">
        <v>16</v>
      </c>
      <c r="D507" s="1" t="s">
        <v>979</v>
      </c>
      <c r="E507" s="1" t="s">
        <v>979</v>
      </c>
      <c r="F507" s="1" t="str">
        <f>IFERROR(__xludf.DUMMYFUNCTION("SPLIT(E507,""&gt;"")"),"Force of Will")</f>
        <v>Force of Will</v>
      </c>
      <c r="G507" s="1"/>
      <c r="H507" s="1" t="s">
        <v>979</v>
      </c>
      <c r="I507" s="1" t="s">
        <v>622</v>
      </c>
      <c r="J507" s="4">
        <v>42675.0</v>
      </c>
      <c r="K507" s="1">
        <v>1000.0</v>
      </c>
      <c r="L507" s="1">
        <v>500.0</v>
      </c>
      <c r="M507" s="1">
        <v>97.0</v>
      </c>
      <c r="N507" s="5" t="s">
        <v>979</v>
      </c>
      <c r="P507" s="6" t="str">
        <f>VLOOKUP(D507,'シート2'!A:B, 2, 0)</f>
        <v>Force of Will</v>
      </c>
    </row>
    <row r="508">
      <c r="A508" s="1" t="s">
        <v>1172</v>
      </c>
      <c r="B508" s="3" t="s">
        <v>1173</v>
      </c>
      <c r="C508" s="1" t="s">
        <v>16</v>
      </c>
      <c r="D508" s="1" t="s">
        <v>979</v>
      </c>
      <c r="E508" s="1" t="s">
        <v>979</v>
      </c>
      <c r="F508" s="1" t="str">
        <f>IFERROR(__xludf.DUMMYFUNCTION("SPLIT(E508,""&gt;"")"),"Force of Will")</f>
        <v>Force of Will</v>
      </c>
      <c r="G508" s="1"/>
      <c r="H508" s="1" t="s">
        <v>979</v>
      </c>
      <c r="I508" s="1" t="s">
        <v>622</v>
      </c>
      <c r="J508" s="4">
        <v>42675.0</v>
      </c>
      <c r="K508" s="1">
        <v>1000.0</v>
      </c>
      <c r="L508" s="1">
        <v>500.0</v>
      </c>
      <c r="M508" s="1">
        <v>98.0</v>
      </c>
      <c r="N508" s="5" t="s">
        <v>979</v>
      </c>
      <c r="P508" s="6" t="str">
        <f>VLOOKUP(D508,'シート2'!A:B, 2, 0)</f>
        <v>Force of Will</v>
      </c>
    </row>
    <row r="509">
      <c r="A509" s="1" t="s">
        <v>1174</v>
      </c>
      <c r="B509" s="3" t="s">
        <v>1175</v>
      </c>
      <c r="C509" s="1" t="s">
        <v>16</v>
      </c>
      <c r="D509" s="1" t="s">
        <v>979</v>
      </c>
      <c r="E509" s="1" t="s">
        <v>979</v>
      </c>
      <c r="F509" s="1" t="str">
        <f>IFERROR(__xludf.DUMMYFUNCTION("SPLIT(E509,""&gt;"")"),"Force of Will")</f>
        <v>Force of Will</v>
      </c>
      <c r="G509" s="1"/>
      <c r="H509" s="1" t="s">
        <v>979</v>
      </c>
      <c r="I509" s="1" t="s">
        <v>622</v>
      </c>
      <c r="J509" s="4">
        <v>42675.0</v>
      </c>
      <c r="K509" s="1">
        <v>1000.0</v>
      </c>
      <c r="L509" s="1">
        <v>500.0</v>
      </c>
      <c r="M509" s="1">
        <v>99.0</v>
      </c>
      <c r="N509" s="5" t="s">
        <v>979</v>
      </c>
      <c r="P509" s="6" t="str">
        <f>VLOOKUP(D509,'シート2'!A:B, 2, 0)</f>
        <v>Force of Will</v>
      </c>
    </row>
    <row r="510">
      <c r="A510" s="1" t="s">
        <v>1176</v>
      </c>
      <c r="B510" s="3" t="s">
        <v>1177</v>
      </c>
      <c r="C510" s="1" t="s">
        <v>16</v>
      </c>
      <c r="D510" s="1" t="s">
        <v>979</v>
      </c>
      <c r="E510" s="1" t="s">
        <v>979</v>
      </c>
      <c r="F510" s="1" t="str">
        <f>IFERROR(__xludf.DUMMYFUNCTION("SPLIT(E510,""&gt;"")"),"Force of Will")</f>
        <v>Force of Will</v>
      </c>
      <c r="G510" s="1"/>
      <c r="H510" s="1" t="s">
        <v>979</v>
      </c>
      <c r="I510" s="1" t="s">
        <v>622</v>
      </c>
      <c r="J510" s="4">
        <v>42675.0</v>
      </c>
      <c r="K510" s="1">
        <v>1000.0</v>
      </c>
      <c r="L510" s="1">
        <v>500.0</v>
      </c>
      <c r="M510" s="1">
        <v>100.0</v>
      </c>
      <c r="N510" s="5" t="s">
        <v>979</v>
      </c>
      <c r="P510" s="6" t="str">
        <f>VLOOKUP(D510,'シート2'!A:B, 2, 0)</f>
        <v>Force of Will</v>
      </c>
    </row>
    <row r="511">
      <c r="A511" s="1" t="s">
        <v>1178</v>
      </c>
      <c r="B511" s="3" t="s">
        <v>1179</v>
      </c>
      <c r="C511" s="1" t="s">
        <v>16</v>
      </c>
      <c r="D511" s="1" t="s">
        <v>979</v>
      </c>
      <c r="E511" s="1" t="s">
        <v>979</v>
      </c>
      <c r="F511" s="1" t="str">
        <f>IFERROR(__xludf.DUMMYFUNCTION("SPLIT(E511,""&gt;"")"),"Force of Will")</f>
        <v>Force of Will</v>
      </c>
      <c r="G511" s="1"/>
      <c r="H511" s="1" t="s">
        <v>979</v>
      </c>
      <c r="I511" s="1" t="s">
        <v>622</v>
      </c>
      <c r="J511" s="4">
        <v>42675.0</v>
      </c>
      <c r="K511" s="1">
        <v>1000.0</v>
      </c>
      <c r="L511" s="1">
        <v>500.0</v>
      </c>
      <c r="M511" s="1">
        <v>101.0</v>
      </c>
      <c r="N511" s="5" t="s">
        <v>979</v>
      </c>
      <c r="P511" s="6" t="str">
        <f>VLOOKUP(D511,'シート2'!A:B, 2, 0)</f>
        <v>Force of Will</v>
      </c>
    </row>
    <row r="512">
      <c r="A512" s="1" t="s">
        <v>1180</v>
      </c>
      <c r="B512" s="3" t="s">
        <v>1181</v>
      </c>
      <c r="C512" s="1" t="s">
        <v>16</v>
      </c>
      <c r="D512" s="1" t="s">
        <v>979</v>
      </c>
      <c r="E512" s="1" t="s">
        <v>979</v>
      </c>
      <c r="F512" s="1" t="str">
        <f>IFERROR(__xludf.DUMMYFUNCTION("SPLIT(E512,""&gt;"")"),"Force of Will")</f>
        <v>Force of Will</v>
      </c>
      <c r="G512" s="1"/>
      <c r="H512" s="1" t="s">
        <v>979</v>
      </c>
      <c r="I512" s="1" t="s">
        <v>622</v>
      </c>
      <c r="J512" s="4">
        <v>42675.0</v>
      </c>
      <c r="K512" s="1">
        <v>1000.0</v>
      </c>
      <c r="L512" s="1">
        <v>500.0</v>
      </c>
      <c r="M512" s="1">
        <v>102.0</v>
      </c>
      <c r="N512" s="5" t="s">
        <v>979</v>
      </c>
      <c r="P512" s="6" t="str">
        <f>VLOOKUP(D512,'シート2'!A:B, 2, 0)</f>
        <v>Force of Will</v>
      </c>
    </row>
    <row r="513">
      <c r="A513" s="1" t="s">
        <v>1182</v>
      </c>
      <c r="B513" s="3" t="s">
        <v>1183</v>
      </c>
      <c r="C513" s="1" t="s">
        <v>16</v>
      </c>
      <c r="D513" s="1" t="s">
        <v>979</v>
      </c>
      <c r="E513" s="1" t="s">
        <v>979</v>
      </c>
      <c r="F513" s="1" t="str">
        <f>IFERROR(__xludf.DUMMYFUNCTION("SPLIT(E513,""&gt;"")"),"Force of Will")</f>
        <v>Force of Will</v>
      </c>
      <c r="G513" s="1"/>
      <c r="H513" s="1" t="s">
        <v>979</v>
      </c>
      <c r="I513" s="1" t="s">
        <v>622</v>
      </c>
      <c r="J513" s="4">
        <v>42675.0</v>
      </c>
      <c r="K513" s="1">
        <v>1000.0</v>
      </c>
      <c r="L513" s="1">
        <v>500.0</v>
      </c>
      <c r="M513" s="1">
        <v>103.0</v>
      </c>
      <c r="N513" s="5" t="s">
        <v>979</v>
      </c>
      <c r="P513" s="6" t="str">
        <f>VLOOKUP(D513,'シート2'!A:B, 2, 0)</f>
        <v>Force of Will</v>
      </c>
    </row>
    <row r="514">
      <c r="A514" s="1" t="s">
        <v>1184</v>
      </c>
      <c r="B514" s="3" t="s">
        <v>1185</v>
      </c>
      <c r="C514" s="1" t="s">
        <v>16</v>
      </c>
      <c r="D514" s="1" t="s">
        <v>979</v>
      </c>
      <c r="E514" s="1" t="s">
        <v>979</v>
      </c>
      <c r="F514" s="1" t="str">
        <f>IFERROR(__xludf.DUMMYFUNCTION("SPLIT(E514,""&gt;"")"),"Force of Will")</f>
        <v>Force of Will</v>
      </c>
      <c r="G514" s="1"/>
      <c r="H514" s="1" t="s">
        <v>979</v>
      </c>
      <c r="I514" s="1" t="s">
        <v>622</v>
      </c>
      <c r="J514" s="4">
        <v>42675.0</v>
      </c>
      <c r="K514" s="1">
        <v>1000.0</v>
      </c>
      <c r="L514" s="1">
        <v>500.0</v>
      </c>
      <c r="M514" s="1">
        <v>104.0</v>
      </c>
      <c r="N514" s="5" t="s">
        <v>979</v>
      </c>
      <c r="P514" s="6" t="str">
        <f>VLOOKUP(D514,'シート2'!A:B, 2, 0)</f>
        <v>Force of Will</v>
      </c>
    </row>
    <row r="515">
      <c r="A515" s="1" t="s">
        <v>1186</v>
      </c>
      <c r="B515" s="3" t="s">
        <v>1187</v>
      </c>
      <c r="C515" s="1" t="s">
        <v>16</v>
      </c>
      <c r="D515" s="1" t="s">
        <v>979</v>
      </c>
      <c r="E515" s="1" t="s">
        <v>979</v>
      </c>
      <c r="F515" s="1" t="str">
        <f>IFERROR(__xludf.DUMMYFUNCTION("SPLIT(E515,""&gt;"")"),"Force of Will")</f>
        <v>Force of Will</v>
      </c>
      <c r="G515" s="1"/>
      <c r="H515" s="1" t="s">
        <v>979</v>
      </c>
      <c r="I515" s="1" t="s">
        <v>622</v>
      </c>
      <c r="J515" s="4">
        <v>42675.0</v>
      </c>
      <c r="K515" s="1">
        <v>1000.0</v>
      </c>
      <c r="L515" s="1">
        <v>500.0</v>
      </c>
      <c r="M515" s="1">
        <v>105.0</v>
      </c>
      <c r="N515" s="5" t="s">
        <v>979</v>
      </c>
      <c r="P515" s="6" t="str">
        <f>VLOOKUP(D515,'シート2'!A:B, 2, 0)</f>
        <v>Force of Will</v>
      </c>
    </row>
    <row r="516">
      <c r="A516" s="1" t="s">
        <v>1188</v>
      </c>
      <c r="B516" s="3" t="s">
        <v>1189</v>
      </c>
      <c r="C516" s="1" t="s">
        <v>16</v>
      </c>
      <c r="D516" s="1" t="s">
        <v>979</v>
      </c>
      <c r="E516" s="1" t="s">
        <v>979</v>
      </c>
      <c r="F516" s="1" t="str">
        <f>IFERROR(__xludf.DUMMYFUNCTION("SPLIT(E516,""&gt;"")"),"Force of Will")</f>
        <v>Force of Will</v>
      </c>
      <c r="G516" s="1"/>
      <c r="H516" s="1" t="s">
        <v>979</v>
      </c>
      <c r="I516" s="1" t="s">
        <v>622</v>
      </c>
      <c r="J516" s="4">
        <v>42675.0</v>
      </c>
      <c r="K516" s="1">
        <v>1000.0</v>
      </c>
      <c r="L516" s="1">
        <v>500.0</v>
      </c>
      <c r="M516" s="1">
        <v>106.0</v>
      </c>
      <c r="N516" s="5" t="s">
        <v>979</v>
      </c>
      <c r="P516" s="6" t="str">
        <f>VLOOKUP(D516,'シート2'!A:B, 2, 0)</f>
        <v>Force of Will</v>
      </c>
    </row>
    <row r="517">
      <c r="A517" s="1" t="s">
        <v>1190</v>
      </c>
      <c r="B517" s="3" t="s">
        <v>1191</v>
      </c>
      <c r="C517" s="1" t="s">
        <v>16</v>
      </c>
      <c r="D517" s="1" t="s">
        <v>979</v>
      </c>
      <c r="E517" s="1" t="s">
        <v>979</v>
      </c>
      <c r="F517" s="1" t="str">
        <f>IFERROR(__xludf.DUMMYFUNCTION("SPLIT(E517,""&gt;"")"),"Force of Will")</f>
        <v>Force of Will</v>
      </c>
      <c r="G517" s="1"/>
      <c r="H517" s="1" t="s">
        <v>979</v>
      </c>
      <c r="I517" s="1" t="s">
        <v>622</v>
      </c>
      <c r="J517" s="4">
        <v>42675.0</v>
      </c>
      <c r="K517" s="1">
        <v>1000.0</v>
      </c>
      <c r="L517" s="1">
        <v>500.0</v>
      </c>
      <c r="M517" s="1">
        <v>107.0</v>
      </c>
      <c r="N517" s="5" t="s">
        <v>979</v>
      </c>
      <c r="P517" s="6" t="str">
        <f>VLOOKUP(D517,'シート2'!A:B, 2, 0)</f>
        <v>Force of Will</v>
      </c>
    </row>
    <row r="518">
      <c r="A518" s="1" t="s">
        <v>1192</v>
      </c>
      <c r="B518" s="3" t="s">
        <v>1193</v>
      </c>
      <c r="C518" s="1" t="s">
        <v>16</v>
      </c>
      <c r="D518" s="1" t="s">
        <v>979</v>
      </c>
      <c r="E518" s="1" t="s">
        <v>979</v>
      </c>
      <c r="F518" s="1" t="str">
        <f>IFERROR(__xludf.DUMMYFUNCTION("SPLIT(E518,""&gt;"")"),"Force of Will")</f>
        <v>Force of Will</v>
      </c>
      <c r="G518" s="1"/>
      <c r="H518" s="1" t="s">
        <v>979</v>
      </c>
      <c r="I518" s="1" t="s">
        <v>622</v>
      </c>
      <c r="J518" s="4">
        <v>42675.0</v>
      </c>
      <c r="K518" s="1">
        <v>1000.0</v>
      </c>
      <c r="L518" s="1">
        <v>500.0</v>
      </c>
      <c r="M518" s="1">
        <v>108.0</v>
      </c>
      <c r="N518" s="5" t="s">
        <v>979</v>
      </c>
      <c r="P518" s="6" t="str">
        <f>VLOOKUP(D518,'シート2'!A:B, 2, 0)</f>
        <v>Force of Will</v>
      </c>
    </row>
    <row r="519">
      <c r="A519" s="1" t="s">
        <v>1194</v>
      </c>
      <c r="B519" s="3" t="s">
        <v>1195</v>
      </c>
      <c r="C519" s="1" t="s">
        <v>16</v>
      </c>
      <c r="D519" s="1" t="s">
        <v>979</v>
      </c>
      <c r="E519" s="1" t="s">
        <v>979</v>
      </c>
      <c r="F519" s="1" t="str">
        <f>IFERROR(__xludf.DUMMYFUNCTION("SPLIT(E519,""&gt;"")"),"Force of Will")</f>
        <v>Force of Will</v>
      </c>
      <c r="G519" s="1"/>
      <c r="H519" s="1" t="s">
        <v>979</v>
      </c>
      <c r="I519" s="1" t="s">
        <v>622</v>
      </c>
      <c r="J519" s="4">
        <v>42675.0</v>
      </c>
      <c r="K519" s="1">
        <v>1000.0</v>
      </c>
      <c r="L519" s="1">
        <v>500.0</v>
      </c>
      <c r="M519" s="1">
        <v>109.0</v>
      </c>
      <c r="N519" s="5" t="s">
        <v>979</v>
      </c>
      <c r="P519" s="6" t="str">
        <f>VLOOKUP(D519,'シート2'!A:B, 2, 0)</f>
        <v>Force of Will</v>
      </c>
    </row>
    <row r="520">
      <c r="A520" s="1" t="s">
        <v>1196</v>
      </c>
      <c r="B520" s="3" t="s">
        <v>1197</v>
      </c>
      <c r="C520" s="1" t="s">
        <v>16</v>
      </c>
      <c r="D520" s="1" t="s">
        <v>979</v>
      </c>
      <c r="E520" s="1" t="s">
        <v>979</v>
      </c>
      <c r="F520" s="1" t="str">
        <f>IFERROR(__xludf.DUMMYFUNCTION("SPLIT(E520,""&gt;"")"),"Force of Will")</f>
        <v>Force of Will</v>
      </c>
      <c r="G520" s="1"/>
      <c r="H520" s="1" t="s">
        <v>979</v>
      </c>
      <c r="I520" s="1" t="s">
        <v>622</v>
      </c>
      <c r="J520" s="4">
        <v>42675.0</v>
      </c>
      <c r="K520" s="1">
        <v>1000.0</v>
      </c>
      <c r="L520" s="1">
        <v>500.0</v>
      </c>
      <c r="M520" s="1">
        <v>110.0</v>
      </c>
      <c r="N520" s="5" t="s">
        <v>979</v>
      </c>
      <c r="P520" s="6" t="str">
        <f>VLOOKUP(D520,'シート2'!A:B, 2, 0)</f>
        <v>Force of Will</v>
      </c>
    </row>
    <row r="521">
      <c r="A521" s="1" t="s">
        <v>1198</v>
      </c>
      <c r="B521" s="3" t="s">
        <v>1199</v>
      </c>
      <c r="C521" s="1" t="s">
        <v>16</v>
      </c>
      <c r="D521" s="1" t="s">
        <v>979</v>
      </c>
      <c r="E521" s="1" t="s">
        <v>979</v>
      </c>
      <c r="F521" s="1" t="str">
        <f>IFERROR(__xludf.DUMMYFUNCTION("SPLIT(E521,""&gt;"")"),"Force of Will")</f>
        <v>Force of Will</v>
      </c>
      <c r="G521" s="1"/>
      <c r="H521" s="1" t="s">
        <v>979</v>
      </c>
      <c r="I521" s="1" t="s">
        <v>622</v>
      </c>
      <c r="J521" s="4">
        <v>42675.0</v>
      </c>
      <c r="K521" s="1">
        <v>1000.0</v>
      </c>
      <c r="L521" s="1">
        <v>500.0</v>
      </c>
      <c r="M521" s="1">
        <v>111.0</v>
      </c>
      <c r="N521" s="5" t="s">
        <v>979</v>
      </c>
      <c r="P521" s="6" t="str">
        <f>VLOOKUP(D521,'シート2'!A:B, 2, 0)</f>
        <v>Force of Will</v>
      </c>
    </row>
    <row r="522">
      <c r="A522" s="1" t="s">
        <v>1200</v>
      </c>
      <c r="B522" s="3" t="s">
        <v>1201</v>
      </c>
      <c r="C522" s="1" t="s">
        <v>16</v>
      </c>
      <c r="D522" s="1" t="s">
        <v>979</v>
      </c>
      <c r="E522" s="1" t="s">
        <v>979</v>
      </c>
      <c r="F522" s="1" t="str">
        <f>IFERROR(__xludf.DUMMYFUNCTION("SPLIT(E522,""&gt;"")"),"Force of Will")</f>
        <v>Force of Will</v>
      </c>
      <c r="G522" s="1"/>
      <c r="H522" s="1" t="s">
        <v>979</v>
      </c>
      <c r="I522" s="1" t="s">
        <v>622</v>
      </c>
      <c r="J522" s="4">
        <v>42675.0</v>
      </c>
      <c r="K522" s="1">
        <v>1000.0</v>
      </c>
      <c r="L522" s="1">
        <v>500.0</v>
      </c>
      <c r="M522" s="1">
        <v>112.0</v>
      </c>
      <c r="N522" s="5" t="s">
        <v>979</v>
      </c>
      <c r="P522" s="6" t="str">
        <f>VLOOKUP(D522,'シート2'!A:B, 2, 0)</f>
        <v>Force of Will</v>
      </c>
    </row>
    <row r="523">
      <c r="A523" s="1" t="s">
        <v>1202</v>
      </c>
      <c r="B523" s="7" t="s">
        <v>1203</v>
      </c>
      <c r="C523" s="1" t="s">
        <v>16</v>
      </c>
      <c r="D523" s="1" t="s">
        <v>979</v>
      </c>
      <c r="E523" s="1" t="s">
        <v>979</v>
      </c>
      <c r="F523" s="1" t="str">
        <f>IFERROR(__xludf.DUMMYFUNCTION("SPLIT(E523,""&gt;"")"),"Force of Will")</f>
        <v>Force of Will</v>
      </c>
      <c r="G523" s="1"/>
      <c r="H523" s="1" t="s">
        <v>979</v>
      </c>
      <c r="I523" s="1" t="s">
        <v>622</v>
      </c>
      <c r="J523" s="4">
        <v>42675.0</v>
      </c>
      <c r="K523" s="1">
        <v>1000.0</v>
      </c>
      <c r="L523" s="1">
        <v>500.0</v>
      </c>
      <c r="M523" s="1">
        <v>113.0</v>
      </c>
      <c r="N523" s="5" t="s">
        <v>979</v>
      </c>
      <c r="P523" s="6" t="str">
        <f>VLOOKUP(D523,'シート2'!A:B, 2, 0)</f>
        <v>Force of Will</v>
      </c>
    </row>
    <row r="524">
      <c r="A524" s="1" t="s">
        <v>1204</v>
      </c>
      <c r="B524" s="7" t="s">
        <v>1205</v>
      </c>
      <c r="C524" s="1" t="s">
        <v>16</v>
      </c>
      <c r="D524" s="1" t="s">
        <v>979</v>
      </c>
      <c r="E524" s="1" t="s">
        <v>979</v>
      </c>
      <c r="F524" s="1" t="str">
        <f>IFERROR(__xludf.DUMMYFUNCTION("SPLIT(E524,""&gt;"")"),"Force of Will")</f>
        <v>Force of Will</v>
      </c>
      <c r="G524" s="1"/>
      <c r="H524" s="1" t="s">
        <v>979</v>
      </c>
      <c r="I524" s="1" t="s">
        <v>622</v>
      </c>
      <c r="J524" s="4">
        <v>42675.0</v>
      </c>
      <c r="K524" s="1">
        <v>1000.0</v>
      </c>
      <c r="L524" s="1">
        <v>500.0</v>
      </c>
      <c r="M524" s="1">
        <v>114.0</v>
      </c>
      <c r="N524" s="5" t="s">
        <v>979</v>
      </c>
      <c r="P524" s="6" t="str">
        <f>VLOOKUP(D524,'シート2'!A:B, 2, 0)</f>
        <v>Force of Will</v>
      </c>
    </row>
    <row r="525">
      <c r="A525" s="1" t="s">
        <v>1206</v>
      </c>
      <c r="B525" s="7" t="s">
        <v>1207</v>
      </c>
      <c r="C525" s="1" t="s">
        <v>16</v>
      </c>
      <c r="D525" s="1" t="s">
        <v>979</v>
      </c>
      <c r="E525" s="1" t="s">
        <v>979</v>
      </c>
      <c r="F525" s="1" t="str">
        <f>IFERROR(__xludf.DUMMYFUNCTION("SPLIT(E525,""&gt;"")"),"Force of Will")</f>
        <v>Force of Will</v>
      </c>
      <c r="G525" s="1"/>
      <c r="H525" s="1" t="s">
        <v>979</v>
      </c>
      <c r="I525" s="1" t="s">
        <v>622</v>
      </c>
      <c r="J525" s="4">
        <v>42675.0</v>
      </c>
      <c r="K525" s="1">
        <v>1000.0</v>
      </c>
      <c r="L525" s="1">
        <v>500.0</v>
      </c>
      <c r="M525" s="1">
        <v>115.0</v>
      </c>
      <c r="N525" s="5" t="s">
        <v>979</v>
      </c>
      <c r="P525" s="6" t="str">
        <f>VLOOKUP(D525,'シート2'!A:B, 2, 0)</f>
        <v>Force of Will</v>
      </c>
    </row>
    <row r="526">
      <c r="A526" s="1" t="s">
        <v>1208</v>
      </c>
      <c r="B526" s="7" t="s">
        <v>1209</v>
      </c>
      <c r="C526" s="1" t="s">
        <v>16</v>
      </c>
      <c r="D526" s="1" t="s">
        <v>979</v>
      </c>
      <c r="E526" s="1" t="s">
        <v>979</v>
      </c>
      <c r="F526" s="1" t="str">
        <f>IFERROR(__xludf.DUMMYFUNCTION("SPLIT(E526,""&gt;"")"),"Force of Will")</f>
        <v>Force of Will</v>
      </c>
      <c r="G526" s="1"/>
      <c r="H526" s="1" t="s">
        <v>979</v>
      </c>
      <c r="I526" s="1" t="s">
        <v>622</v>
      </c>
      <c r="J526" s="4">
        <v>42675.0</v>
      </c>
      <c r="K526" s="1">
        <v>1000.0</v>
      </c>
      <c r="L526" s="1">
        <v>500.0</v>
      </c>
      <c r="M526" s="1">
        <v>116.0</v>
      </c>
      <c r="N526" s="5" t="s">
        <v>979</v>
      </c>
      <c r="P526" s="6" t="str">
        <f>VLOOKUP(D526,'シート2'!A:B, 2, 0)</f>
        <v>Force of Will</v>
      </c>
    </row>
    <row r="527">
      <c r="A527" s="1" t="s">
        <v>1210</v>
      </c>
      <c r="B527" s="7" t="s">
        <v>1211</v>
      </c>
      <c r="C527" s="1" t="s">
        <v>16</v>
      </c>
      <c r="D527" s="1" t="s">
        <v>979</v>
      </c>
      <c r="E527" s="1" t="s">
        <v>979</v>
      </c>
      <c r="F527" s="1" t="str">
        <f>IFERROR(__xludf.DUMMYFUNCTION("SPLIT(E527,""&gt;"")"),"Force of Will")</f>
        <v>Force of Will</v>
      </c>
      <c r="G527" s="1"/>
      <c r="H527" s="1" t="s">
        <v>979</v>
      </c>
      <c r="I527" s="1" t="s">
        <v>622</v>
      </c>
      <c r="J527" s="4">
        <v>42675.0</v>
      </c>
      <c r="K527" s="1">
        <v>1000.0</v>
      </c>
      <c r="L527" s="1">
        <v>500.0</v>
      </c>
      <c r="M527" s="1">
        <v>117.0</v>
      </c>
      <c r="N527" s="5" t="s">
        <v>979</v>
      </c>
      <c r="P527" s="6" t="str">
        <f>VLOOKUP(D527,'シート2'!A:B, 2, 0)</f>
        <v>Force of Will</v>
      </c>
    </row>
    <row r="528">
      <c r="A528" s="1" t="s">
        <v>1212</v>
      </c>
      <c r="B528" s="7" t="s">
        <v>1213</v>
      </c>
      <c r="C528" s="1" t="s">
        <v>16</v>
      </c>
      <c r="D528" s="1" t="s">
        <v>979</v>
      </c>
      <c r="E528" s="1" t="s">
        <v>979</v>
      </c>
      <c r="F528" s="1" t="str">
        <f>IFERROR(__xludf.DUMMYFUNCTION("SPLIT(E528,""&gt;"")"),"Force of Will")</f>
        <v>Force of Will</v>
      </c>
      <c r="G528" s="1"/>
      <c r="H528" s="1" t="s">
        <v>979</v>
      </c>
      <c r="I528" s="1" t="s">
        <v>622</v>
      </c>
      <c r="J528" s="4">
        <v>42675.0</v>
      </c>
      <c r="K528" s="1">
        <v>1000.0</v>
      </c>
      <c r="L528" s="1">
        <v>500.0</v>
      </c>
      <c r="M528" s="1">
        <v>118.0</v>
      </c>
      <c r="N528" s="5" t="s">
        <v>979</v>
      </c>
      <c r="P528" s="6" t="str">
        <f>VLOOKUP(D528,'シート2'!A:B, 2, 0)</f>
        <v>Force of Will</v>
      </c>
    </row>
    <row r="529">
      <c r="A529" s="1" t="s">
        <v>1214</v>
      </c>
      <c r="B529" s="7" t="s">
        <v>1215</v>
      </c>
      <c r="C529" s="1" t="s">
        <v>16</v>
      </c>
      <c r="D529" s="1" t="s">
        <v>979</v>
      </c>
      <c r="E529" s="1" t="s">
        <v>979</v>
      </c>
      <c r="F529" s="1" t="str">
        <f>IFERROR(__xludf.DUMMYFUNCTION("SPLIT(E529,""&gt;"")"),"Force of Will")</f>
        <v>Force of Will</v>
      </c>
      <c r="G529" s="1"/>
      <c r="H529" s="1" t="s">
        <v>979</v>
      </c>
      <c r="I529" s="1" t="s">
        <v>622</v>
      </c>
      <c r="J529" s="4">
        <v>42675.0</v>
      </c>
      <c r="K529" s="1">
        <v>1000.0</v>
      </c>
      <c r="L529" s="1">
        <v>500.0</v>
      </c>
      <c r="M529" s="1">
        <v>119.0</v>
      </c>
      <c r="N529" s="5" t="s">
        <v>979</v>
      </c>
      <c r="P529" s="6" t="str">
        <f>VLOOKUP(D529,'シート2'!A:B, 2, 0)</f>
        <v>Force of Will</v>
      </c>
    </row>
    <row r="530">
      <c r="A530" s="1" t="s">
        <v>1216</v>
      </c>
      <c r="B530" s="7" t="s">
        <v>1217</v>
      </c>
      <c r="C530" s="1" t="s">
        <v>16</v>
      </c>
      <c r="D530" s="1" t="s">
        <v>979</v>
      </c>
      <c r="E530" s="1" t="s">
        <v>979</v>
      </c>
      <c r="F530" s="1" t="str">
        <f>IFERROR(__xludf.DUMMYFUNCTION("SPLIT(E530,""&gt;"")"),"Force of Will")</f>
        <v>Force of Will</v>
      </c>
      <c r="G530" s="1"/>
      <c r="H530" s="1" t="s">
        <v>979</v>
      </c>
      <c r="I530" s="1" t="s">
        <v>622</v>
      </c>
      <c r="J530" s="4">
        <v>42675.0</v>
      </c>
      <c r="K530" s="1">
        <v>1000.0</v>
      </c>
      <c r="L530" s="1">
        <v>500.0</v>
      </c>
      <c r="M530" s="1">
        <v>120.0</v>
      </c>
      <c r="N530" s="5" t="s">
        <v>979</v>
      </c>
      <c r="P530" s="6" t="str">
        <f>VLOOKUP(D530,'シート2'!A:B, 2, 0)</f>
        <v>Force of Will</v>
      </c>
    </row>
    <row r="531">
      <c r="A531" s="1" t="s">
        <v>1218</v>
      </c>
      <c r="B531" s="7" t="s">
        <v>1219</v>
      </c>
      <c r="C531" s="1" t="s">
        <v>16</v>
      </c>
      <c r="D531" s="1" t="s">
        <v>979</v>
      </c>
      <c r="E531" s="1" t="s">
        <v>979</v>
      </c>
      <c r="F531" s="1" t="str">
        <f>IFERROR(__xludf.DUMMYFUNCTION("SPLIT(E531,""&gt;"")"),"Force of Will")</f>
        <v>Force of Will</v>
      </c>
      <c r="G531" s="1"/>
      <c r="H531" s="1" t="s">
        <v>979</v>
      </c>
      <c r="I531" s="1" t="s">
        <v>622</v>
      </c>
      <c r="J531" s="4">
        <v>42675.0</v>
      </c>
      <c r="K531" s="1">
        <v>1000.0</v>
      </c>
      <c r="L531" s="1">
        <v>500.0</v>
      </c>
      <c r="M531" s="1">
        <v>121.0</v>
      </c>
      <c r="N531" s="5" t="s">
        <v>979</v>
      </c>
      <c r="P531" s="6" t="str">
        <f>VLOOKUP(D531,'シート2'!A:B, 2, 0)</f>
        <v>Force of Will</v>
      </c>
    </row>
    <row r="532">
      <c r="A532" s="1" t="s">
        <v>1220</v>
      </c>
      <c r="B532" s="7" t="s">
        <v>1221</v>
      </c>
      <c r="C532" s="1" t="s">
        <v>16</v>
      </c>
      <c r="D532" s="1" t="s">
        <v>979</v>
      </c>
      <c r="E532" s="1" t="s">
        <v>979</v>
      </c>
      <c r="F532" s="1" t="str">
        <f>IFERROR(__xludf.DUMMYFUNCTION("SPLIT(E532,""&gt;"")"),"Force of Will")</f>
        <v>Force of Will</v>
      </c>
      <c r="G532" s="1"/>
      <c r="H532" s="1" t="s">
        <v>979</v>
      </c>
      <c r="I532" s="1" t="s">
        <v>622</v>
      </c>
      <c r="J532" s="4">
        <v>42675.0</v>
      </c>
      <c r="K532" s="1">
        <v>1000.0</v>
      </c>
      <c r="L532" s="1">
        <v>500.0</v>
      </c>
      <c r="M532" s="1">
        <v>122.0</v>
      </c>
      <c r="N532" s="5" t="s">
        <v>979</v>
      </c>
      <c r="P532" s="6" t="str">
        <f>VLOOKUP(D532,'シート2'!A:B, 2, 0)</f>
        <v>Force of Will</v>
      </c>
    </row>
    <row r="533">
      <c r="A533" s="1" t="s">
        <v>1222</v>
      </c>
      <c r="B533" s="7" t="s">
        <v>1223</v>
      </c>
      <c r="C533" s="1" t="s">
        <v>16</v>
      </c>
      <c r="D533" s="1" t="s">
        <v>979</v>
      </c>
      <c r="E533" s="1" t="s">
        <v>979</v>
      </c>
      <c r="F533" s="1" t="str">
        <f>IFERROR(__xludf.DUMMYFUNCTION("SPLIT(E533,""&gt;"")"),"Force of Will")</f>
        <v>Force of Will</v>
      </c>
      <c r="G533" s="1"/>
      <c r="H533" s="1" t="s">
        <v>979</v>
      </c>
      <c r="I533" s="1" t="s">
        <v>622</v>
      </c>
      <c r="J533" s="4">
        <v>42675.0</v>
      </c>
      <c r="K533" s="1">
        <v>1000.0</v>
      </c>
      <c r="L533" s="1">
        <v>500.0</v>
      </c>
      <c r="M533" s="1">
        <v>123.0</v>
      </c>
      <c r="N533" s="5" t="s">
        <v>979</v>
      </c>
      <c r="P533" s="6" t="str">
        <f>VLOOKUP(D533,'シート2'!A:B, 2, 0)</f>
        <v>Force of Will</v>
      </c>
    </row>
    <row r="534">
      <c r="A534" s="1" t="s">
        <v>1224</v>
      </c>
      <c r="B534" s="7" t="s">
        <v>1225</v>
      </c>
      <c r="C534" s="1" t="s">
        <v>16</v>
      </c>
      <c r="D534" s="1" t="s">
        <v>979</v>
      </c>
      <c r="E534" s="1" t="s">
        <v>979</v>
      </c>
      <c r="F534" s="1" t="str">
        <f>IFERROR(__xludf.DUMMYFUNCTION("SPLIT(E534,""&gt;"")"),"Force of Will")</f>
        <v>Force of Will</v>
      </c>
      <c r="G534" s="1"/>
      <c r="H534" s="1" t="s">
        <v>979</v>
      </c>
      <c r="I534" s="1" t="s">
        <v>622</v>
      </c>
      <c r="J534" s="4">
        <v>42675.0</v>
      </c>
      <c r="K534" s="1">
        <v>1000.0</v>
      </c>
      <c r="L534" s="1">
        <v>500.0</v>
      </c>
      <c r="M534" s="1">
        <v>124.0</v>
      </c>
      <c r="N534" s="5" t="s">
        <v>979</v>
      </c>
      <c r="P534" s="6" t="str">
        <f>VLOOKUP(D534,'シート2'!A:B, 2, 0)</f>
        <v>Force of Will</v>
      </c>
    </row>
    <row r="535">
      <c r="A535" s="1" t="s">
        <v>1226</v>
      </c>
      <c r="B535" s="7" t="s">
        <v>1227</v>
      </c>
      <c r="C535" s="1" t="s">
        <v>16</v>
      </c>
      <c r="D535" s="1" t="s">
        <v>979</v>
      </c>
      <c r="E535" s="1" t="s">
        <v>979</v>
      </c>
      <c r="F535" s="1" t="str">
        <f>IFERROR(__xludf.DUMMYFUNCTION("SPLIT(E535,""&gt;"")"),"Force of Will")</f>
        <v>Force of Will</v>
      </c>
      <c r="G535" s="1"/>
      <c r="H535" s="1" t="s">
        <v>979</v>
      </c>
      <c r="I535" s="1" t="s">
        <v>622</v>
      </c>
      <c r="J535" s="4">
        <v>42675.0</v>
      </c>
      <c r="K535" s="1">
        <v>1000.0</v>
      </c>
      <c r="L535" s="1">
        <v>500.0</v>
      </c>
      <c r="M535" s="1">
        <v>125.0</v>
      </c>
      <c r="N535" s="5" t="s">
        <v>979</v>
      </c>
      <c r="P535" s="6" t="str">
        <f>VLOOKUP(D535,'シート2'!A:B, 2, 0)</f>
        <v>Force of Will</v>
      </c>
    </row>
    <row r="536">
      <c r="A536" s="1" t="s">
        <v>1228</v>
      </c>
      <c r="B536" s="3" t="s">
        <v>1229</v>
      </c>
      <c r="C536" s="1" t="s">
        <v>16</v>
      </c>
      <c r="D536" s="1" t="s">
        <v>979</v>
      </c>
      <c r="E536" s="1" t="s">
        <v>979</v>
      </c>
      <c r="F536" s="1" t="str">
        <f>IFERROR(__xludf.DUMMYFUNCTION("SPLIT(E536,""&gt;"")"),"Force of Will")</f>
        <v>Force of Will</v>
      </c>
      <c r="G536" s="1"/>
      <c r="H536" s="1" t="s">
        <v>979</v>
      </c>
      <c r="I536" s="1" t="s">
        <v>622</v>
      </c>
      <c r="J536" s="4">
        <v>42675.0</v>
      </c>
      <c r="K536" s="1">
        <v>1000.0</v>
      </c>
      <c r="L536" s="1">
        <v>500.0</v>
      </c>
      <c r="M536" s="1">
        <v>126.0</v>
      </c>
      <c r="N536" s="5" t="s">
        <v>979</v>
      </c>
      <c r="P536" s="6" t="str">
        <f>VLOOKUP(D536,'シート2'!A:B, 2, 0)</f>
        <v>Force of Will</v>
      </c>
    </row>
    <row r="537">
      <c r="A537" s="1" t="s">
        <v>1230</v>
      </c>
      <c r="B537" s="3" t="s">
        <v>1231</v>
      </c>
      <c r="C537" s="1" t="s">
        <v>16</v>
      </c>
      <c r="D537" s="1" t="s">
        <v>979</v>
      </c>
      <c r="E537" s="1" t="s">
        <v>979</v>
      </c>
      <c r="F537" s="1" t="str">
        <f>IFERROR(__xludf.DUMMYFUNCTION("SPLIT(E537,""&gt;"")"),"Force of Will")</f>
        <v>Force of Will</v>
      </c>
      <c r="G537" s="1"/>
      <c r="H537" s="1" t="s">
        <v>979</v>
      </c>
      <c r="I537" s="1" t="s">
        <v>622</v>
      </c>
      <c r="J537" s="4">
        <v>42675.0</v>
      </c>
      <c r="K537" s="1">
        <v>1000.0</v>
      </c>
      <c r="L537" s="1">
        <v>500.0</v>
      </c>
      <c r="M537" s="1">
        <v>127.0</v>
      </c>
      <c r="N537" s="5" t="s">
        <v>979</v>
      </c>
      <c r="P537" s="6" t="str">
        <f>VLOOKUP(D537,'シート2'!A:B, 2, 0)</f>
        <v>Force of Will</v>
      </c>
    </row>
    <row r="538">
      <c r="A538" s="1" t="s">
        <v>1232</v>
      </c>
      <c r="B538" s="3" t="s">
        <v>1233</v>
      </c>
      <c r="C538" s="1" t="s">
        <v>16</v>
      </c>
      <c r="D538" s="1" t="s">
        <v>979</v>
      </c>
      <c r="E538" s="1" t="s">
        <v>979</v>
      </c>
      <c r="F538" s="1" t="str">
        <f>IFERROR(__xludf.DUMMYFUNCTION("SPLIT(E538,""&gt;"")"),"Force of Will")</f>
        <v>Force of Will</v>
      </c>
      <c r="G538" s="1"/>
      <c r="H538" s="1" t="s">
        <v>979</v>
      </c>
      <c r="I538" s="1" t="s">
        <v>622</v>
      </c>
      <c r="J538" s="4">
        <v>42675.0</v>
      </c>
      <c r="K538" s="1">
        <v>1000.0</v>
      </c>
      <c r="L538" s="1">
        <v>500.0</v>
      </c>
      <c r="M538" s="1">
        <v>128.0</v>
      </c>
      <c r="N538" s="5" t="s">
        <v>979</v>
      </c>
      <c r="P538" s="6" t="str">
        <f>VLOOKUP(D538,'シート2'!A:B, 2, 0)</f>
        <v>Force of Will</v>
      </c>
    </row>
    <row r="539">
      <c r="A539" s="1" t="s">
        <v>1234</v>
      </c>
      <c r="B539" s="3" t="s">
        <v>1235</v>
      </c>
      <c r="C539" s="1" t="s">
        <v>16</v>
      </c>
      <c r="D539" s="1" t="s">
        <v>979</v>
      </c>
      <c r="E539" s="1" t="s">
        <v>979</v>
      </c>
      <c r="F539" s="1" t="str">
        <f>IFERROR(__xludf.DUMMYFUNCTION("SPLIT(E539,""&gt;"")"),"Force of Will")</f>
        <v>Force of Will</v>
      </c>
      <c r="G539" s="1"/>
      <c r="H539" s="1" t="s">
        <v>979</v>
      </c>
      <c r="I539" s="1" t="s">
        <v>622</v>
      </c>
      <c r="J539" s="4">
        <v>42675.0</v>
      </c>
      <c r="K539" s="1">
        <v>1000.0</v>
      </c>
      <c r="L539" s="1">
        <v>500.0</v>
      </c>
      <c r="M539" s="1">
        <v>129.0</v>
      </c>
      <c r="N539" s="5" t="s">
        <v>979</v>
      </c>
      <c r="P539" s="6" t="str">
        <f>VLOOKUP(D539,'シート2'!A:B, 2, 0)</f>
        <v>Force of Will</v>
      </c>
    </row>
    <row r="540">
      <c r="A540" s="1" t="s">
        <v>1236</v>
      </c>
      <c r="B540" s="3" t="s">
        <v>1237</v>
      </c>
      <c r="C540" s="1" t="s">
        <v>16</v>
      </c>
      <c r="D540" s="1" t="s">
        <v>979</v>
      </c>
      <c r="E540" s="1" t="s">
        <v>979</v>
      </c>
      <c r="F540" s="1" t="str">
        <f>IFERROR(__xludf.DUMMYFUNCTION("SPLIT(E540,""&gt;"")"),"Force of Will")</f>
        <v>Force of Will</v>
      </c>
      <c r="G540" s="1"/>
      <c r="H540" s="1" t="s">
        <v>979</v>
      </c>
      <c r="I540" s="1" t="s">
        <v>622</v>
      </c>
      <c r="J540" s="4">
        <v>42675.0</v>
      </c>
      <c r="K540" s="1">
        <v>1000.0</v>
      </c>
      <c r="L540" s="1">
        <v>500.0</v>
      </c>
      <c r="M540" s="1">
        <v>130.0</v>
      </c>
      <c r="N540" s="5" t="s">
        <v>979</v>
      </c>
      <c r="P540" s="6" t="str">
        <f>VLOOKUP(D540,'シート2'!A:B, 2, 0)</f>
        <v>Force of Will</v>
      </c>
    </row>
    <row r="541">
      <c r="A541" s="1" t="s">
        <v>1238</v>
      </c>
      <c r="B541" s="3" t="s">
        <v>1239</v>
      </c>
      <c r="C541" s="1" t="s">
        <v>16</v>
      </c>
      <c r="D541" s="1" t="s">
        <v>979</v>
      </c>
      <c r="E541" s="1" t="s">
        <v>979</v>
      </c>
      <c r="F541" s="1" t="str">
        <f>IFERROR(__xludf.DUMMYFUNCTION("SPLIT(E541,""&gt;"")"),"Force of Will")</f>
        <v>Force of Will</v>
      </c>
      <c r="G541" s="1"/>
      <c r="H541" s="1" t="s">
        <v>979</v>
      </c>
      <c r="I541" s="1" t="s">
        <v>622</v>
      </c>
      <c r="J541" s="4">
        <v>42675.0</v>
      </c>
      <c r="K541" s="1">
        <v>1000.0</v>
      </c>
      <c r="L541" s="1">
        <v>500.0</v>
      </c>
      <c r="M541" s="1">
        <v>131.0</v>
      </c>
      <c r="N541" s="5" t="s">
        <v>979</v>
      </c>
      <c r="P541" s="6" t="str">
        <f>VLOOKUP(D541,'シート2'!A:B, 2, 0)</f>
        <v>Force of Will</v>
      </c>
    </row>
    <row r="542">
      <c r="A542" s="1" t="s">
        <v>1240</v>
      </c>
      <c r="B542" s="3" t="s">
        <v>1241</v>
      </c>
      <c r="C542" s="1" t="s">
        <v>16</v>
      </c>
      <c r="D542" s="1" t="s">
        <v>979</v>
      </c>
      <c r="E542" s="1" t="s">
        <v>979</v>
      </c>
      <c r="F542" s="1" t="str">
        <f>IFERROR(__xludf.DUMMYFUNCTION("SPLIT(E542,""&gt;"")"),"Force of Will")</f>
        <v>Force of Will</v>
      </c>
      <c r="G542" s="1"/>
      <c r="H542" s="1" t="s">
        <v>979</v>
      </c>
      <c r="I542" s="1" t="s">
        <v>622</v>
      </c>
      <c r="J542" s="4">
        <v>42675.0</v>
      </c>
      <c r="K542" s="1">
        <v>1000.0</v>
      </c>
      <c r="L542" s="1">
        <v>500.0</v>
      </c>
      <c r="M542" s="1">
        <v>132.0</v>
      </c>
      <c r="N542" s="5" t="s">
        <v>979</v>
      </c>
      <c r="P542" s="6" t="str">
        <f>VLOOKUP(D542,'シート2'!A:B, 2, 0)</f>
        <v>Force of Will</v>
      </c>
    </row>
    <row r="543">
      <c r="A543" s="1" t="s">
        <v>1242</v>
      </c>
      <c r="B543" s="3" t="s">
        <v>1243</v>
      </c>
      <c r="C543" s="1" t="s">
        <v>16</v>
      </c>
      <c r="D543" s="1" t="s">
        <v>979</v>
      </c>
      <c r="E543" s="1" t="s">
        <v>979</v>
      </c>
      <c r="F543" s="1" t="str">
        <f>IFERROR(__xludf.DUMMYFUNCTION("SPLIT(E543,""&gt;"")"),"Force of Will")</f>
        <v>Force of Will</v>
      </c>
      <c r="G543" s="1"/>
      <c r="H543" s="1" t="s">
        <v>979</v>
      </c>
      <c r="I543" s="1" t="s">
        <v>622</v>
      </c>
      <c r="J543" s="4">
        <v>42675.0</v>
      </c>
      <c r="K543" s="1">
        <v>1000.0</v>
      </c>
      <c r="L543" s="1">
        <v>500.0</v>
      </c>
      <c r="M543" s="1">
        <v>133.0</v>
      </c>
      <c r="N543" s="5" t="s">
        <v>979</v>
      </c>
      <c r="P543" s="6" t="str">
        <f>VLOOKUP(D543,'シート2'!A:B, 2, 0)</f>
        <v>Force of Will</v>
      </c>
    </row>
    <row r="544">
      <c r="A544" s="1" t="s">
        <v>1244</v>
      </c>
      <c r="B544" s="3" t="s">
        <v>1245</v>
      </c>
      <c r="C544" s="1" t="s">
        <v>16</v>
      </c>
      <c r="D544" s="1" t="s">
        <v>979</v>
      </c>
      <c r="E544" s="1" t="s">
        <v>979</v>
      </c>
      <c r="F544" s="1" t="str">
        <f>IFERROR(__xludf.DUMMYFUNCTION("SPLIT(E544,""&gt;"")"),"Force of Will")</f>
        <v>Force of Will</v>
      </c>
      <c r="G544" s="1"/>
      <c r="H544" s="1" t="s">
        <v>979</v>
      </c>
      <c r="I544" s="1" t="s">
        <v>622</v>
      </c>
      <c r="J544" s="4">
        <v>42675.0</v>
      </c>
      <c r="K544" s="1">
        <v>1000.0</v>
      </c>
      <c r="L544" s="1">
        <v>500.0</v>
      </c>
      <c r="M544" s="1">
        <v>134.0</v>
      </c>
      <c r="N544" s="5" t="s">
        <v>979</v>
      </c>
      <c r="P544" s="6" t="str">
        <f>VLOOKUP(D544,'シート2'!A:B, 2, 0)</f>
        <v>Force of Will</v>
      </c>
    </row>
    <row r="545">
      <c r="A545" s="1" t="s">
        <v>1246</v>
      </c>
      <c r="B545" s="3" t="s">
        <v>1247</v>
      </c>
      <c r="C545" s="1" t="s">
        <v>16</v>
      </c>
      <c r="D545" s="1" t="s">
        <v>979</v>
      </c>
      <c r="E545" s="1" t="s">
        <v>979</v>
      </c>
      <c r="F545" s="1" t="str">
        <f>IFERROR(__xludf.DUMMYFUNCTION("SPLIT(E545,""&gt;"")"),"Force of Will")</f>
        <v>Force of Will</v>
      </c>
      <c r="G545" s="1"/>
      <c r="H545" s="1" t="s">
        <v>979</v>
      </c>
      <c r="I545" s="1" t="s">
        <v>622</v>
      </c>
      <c r="J545" s="4">
        <v>42675.0</v>
      </c>
      <c r="K545" s="1">
        <v>1000.0</v>
      </c>
      <c r="L545" s="1">
        <v>500.0</v>
      </c>
      <c r="M545" s="1">
        <v>135.0</v>
      </c>
      <c r="N545" s="5" t="s">
        <v>979</v>
      </c>
      <c r="P545" s="6" t="str">
        <f>VLOOKUP(D545,'シート2'!A:B, 2, 0)</f>
        <v>Force of Will</v>
      </c>
    </row>
    <row r="546">
      <c r="A546" s="1" t="s">
        <v>1248</v>
      </c>
      <c r="B546" s="3" t="s">
        <v>1249</v>
      </c>
      <c r="C546" s="1" t="s">
        <v>16</v>
      </c>
      <c r="D546" s="1" t="s">
        <v>979</v>
      </c>
      <c r="E546" s="1" t="s">
        <v>979</v>
      </c>
      <c r="F546" s="1" t="str">
        <f>IFERROR(__xludf.DUMMYFUNCTION("SPLIT(E546,""&gt;"")"),"Force of Will")</f>
        <v>Force of Will</v>
      </c>
      <c r="G546" s="1"/>
      <c r="H546" s="1" t="s">
        <v>979</v>
      </c>
      <c r="I546" s="1" t="s">
        <v>622</v>
      </c>
      <c r="J546" s="4">
        <v>42675.0</v>
      </c>
      <c r="K546" s="1">
        <v>1000.0</v>
      </c>
      <c r="L546" s="1">
        <v>500.0</v>
      </c>
      <c r="M546" s="1">
        <v>136.0</v>
      </c>
      <c r="N546" s="5" t="s">
        <v>979</v>
      </c>
      <c r="P546" s="6" t="str">
        <f>VLOOKUP(D546,'シート2'!A:B, 2, 0)</f>
        <v>Force of Will</v>
      </c>
    </row>
    <row r="547">
      <c r="A547" s="1" t="s">
        <v>1250</v>
      </c>
      <c r="B547" s="3" t="s">
        <v>1251</v>
      </c>
      <c r="C547" s="1" t="s">
        <v>16</v>
      </c>
      <c r="D547" s="1" t="s">
        <v>979</v>
      </c>
      <c r="E547" s="1" t="s">
        <v>979</v>
      </c>
      <c r="F547" s="1" t="str">
        <f>IFERROR(__xludf.DUMMYFUNCTION("SPLIT(E547,""&gt;"")"),"Force of Will")</f>
        <v>Force of Will</v>
      </c>
      <c r="G547" s="1"/>
      <c r="H547" s="1" t="s">
        <v>979</v>
      </c>
      <c r="I547" s="1" t="s">
        <v>622</v>
      </c>
      <c r="J547" s="4">
        <v>42675.0</v>
      </c>
      <c r="K547" s="1">
        <v>1000.0</v>
      </c>
      <c r="L547" s="1">
        <v>500.0</v>
      </c>
      <c r="M547" s="1">
        <v>137.0</v>
      </c>
      <c r="N547" s="5" t="s">
        <v>979</v>
      </c>
      <c r="P547" s="6" t="str">
        <f>VLOOKUP(D547,'シート2'!A:B, 2, 0)</f>
        <v>Force of Will</v>
      </c>
    </row>
    <row r="548">
      <c r="A548" s="1" t="s">
        <v>1252</v>
      </c>
      <c r="B548" s="3" t="s">
        <v>1253</v>
      </c>
      <c r="C548" s="1" t="s">
        <v>16</v>
      </c>
      <c r="D548" s="1" t="s">
        <v>979</v>
      </c>
      <c r="E548" s="1" t="s">
        <v>979</v>
      </c>
      <c r="F548" s="1" t="str">
        <f>IFERROR(__xludf.DUMMYFUNCTION("SPLIT(E548,""&gt;"")"),"Force of Will")</f>
        <v>Force of Will</v>
      </c>
      <c r="G548" s="1"/>
      <c r="H548" s="1" t="s">
        <v>979</v>
      </c>
      <c r="I548" s="1" t="s">
        <v>622</v>
      </c>
      <c r="J548" s="4">
        <v>42675.0</v>
      </c>
      <c r="K548" s="1">
        <v>1000.0</v>
      </c>
      <c r="L548" s="1">
        <v>500.0</v>
      </c>
      <c r="M548" s="1">
        <v>138.0</v>
      </c>
      <c r="N548" s="5" t="s">
        <v>979</v>
      </c>
      <c r="P548" s="6" t="str">
        <f>VLOOKUP(D548,'シート2'!A:B, 2, 0)</f>
        <v>Force of Will</v>
      </c>
    </row>
    <row r="549">
      <c r="A549" s="1" t="s">
        <v>1254</v>
      </c>
      <c r="B549" s="3" t="s">
        <v>1255</v>
      </c>
      <c r="C549" s="1" t="s">
        <v>16</v>
      </c>
      <c r="D549" s="1" t="s">
        <v>979</v>
      </c>
      <c r="E549" s="1" t="s">
        <v>979</v>
      </c>
      <c r="F549" s="1" t="str">
        <f>IFERROR(__xludf.DUMMYFUNCTION("SPLIT(E549,""&gt;"")"),"Force of Will")</f>
        <v>Force of Will</v>
      </c>
      <c r="G549" s="1"/>
      <c r="H549" s="1" t="s">
        <v>979</v>
      </c>
      <c r="I549" s="1" t="s">
        <v>622</v>
      </c>
      <c r="J549" s="4">
        <v>42675.0</v>
      </c>
      <c r="K549" s="1">
        <v>1000.0</v>
      </c>
      <c r="L549" s="1">
        <v>500.0</v>
      </c>
      <c r="M549" s="1">
        <v>139.0</v>
      </c>
      <c r="N549" s="5" t="s">
        <v>979</v>
      </c>
      <c r="P549" s="6" t="str">
        <f>VLOOKUP(D549,'シート2'!A:B, 2, 0)</f>
        <v>Force of Will</v>
      </c>
    </row>
    <row r="550">
      <c r="A550" s="1" t="s">
        <v>1256</v>
      </c>
      <c r="B550" s="3" t="s">
        <v>1257</v>
      </c>
      <c r="C550" s="1" t="s">
        <v>16</v>
      </c>
      <c r="D550" s="1" t="s">
        <v>979</v>
      </c>
      <c r="E550" s="1" t="s">
        <v>979</v>
      </c>
      <c r="F550" s="1" t="str">
        <f>IFERROR(__xludf.DUMMYFUNCTION("SPLIT(E550,""&gt;"")"),"Force of Will")</f>
        <v>Force of Will</v>
      </c>
      <c r="G550" s="1"/>
      <c r="H550" s="1" t="s">
        <v>979</v>
      </c>
      <c r="I550" s="1" t="s">
        <v>622</v>
      </c>
      <c r="J550" s="4">
        <v>42675.0</v>
      </c>
      <c r="K550" s="1">
        <v>1000.0</v>
      </c>
      <c r="L550" s="1">
        <v>500.0</v>
      </c>
      <c r="M550" s="1">
        <v>140.0</v>
      </c>
      <c r="N550" s="5" t="s">
        <v>979</v>
      </c>
      <c r="P550" s="6" t="str">
        <f>VLOOKUP(D550,'シート2'!A:B, 2, 0)</f>
        <v>Force of Will</v>
      </c>
    </row>
    <row r="551">
      <c r="A551" s="1" t="s">
        <v>1258</v>
      </c>
      <c r="B551" s="3" t="s">
        <v>1259</v>
      </c>
      <c r="C551" s="1" t="s">
        <v>16</v>
      </c>
      <c r="D551" s="1" t="s">
        <v>979</v>
      </c>
      <c r="E551" s="1" t="s">
        <v>979</v>
      </c>
      <c r="F551" s="1" t="str">
        <f>IFERROR(__xludf.DUMMYFUNCTION("SPLIT(E551,""&gt;"")"),"Force of Will")</f>
        <v>Force of Will</v>
      </c>
      <c r="G551" s="1"/>
      <c r="H551" s="1" t="s">
        <v>979</v>
      </c>
      <c r="I551" s="1" t="s">
        <v>622</v>
      </c>
      <c r="J551" s="4">
        <v>42675.0</v>
      </c>
      <c r="K551" s="1">
        <v>1000.0</v>
      </c>
      <c r="L551" s="1">
        <v>500.0</v>
      </c>
      <c r="M551" s="1">
        <v>141.0</v>
      </c>
      <c r="N551" s="5" t="s">
        <v>979</v>
      </c>
      <c r="P551" s="6" t="str">
        <f>VLOOKUP(D551,'シート2'!A:B, 2, 0)</f>
        <v>Force of Will</v>
      </c>
    </row>
    <row r="552">
      <c r="A552" s="1" t="s">
        <v>1260</v>
      </c>
      <c r="B552" s="3" t="s">
        <v>1261</v>
      </c>
      <c r="C552" s="1" t="s">
        <v>16</v>
      </c>
      <c r="D552" s="1" t="s">
        <v>979</v>
      </c>
      <c r="E552" s="1" t="s">
        <v>979</v>
      </c>
      <c r="F552" s="1" t="str">
        <f>IFERROR(__xludf.DUMMYFUNCTION("SPLIT(E552,""&gt;"")"),"Force of Will")</f>
        <v>Force of Will</v>
      </c>
      <c r="G552" s="1"/>
      <c r="H552" s="1" t="s">
        <v>979</v>
      </c>
      <c r="I552" s="1" t="s">
        <v>622</v>
      </c>
      <c r="J552" s="4">
        <v>42675.0</v>
      </c>
      <c r="K552" s="1">
        <v>1000.0</v>
      </c>
      <c r="L552" s="1">
        <v>500.0</v>
      </c>
      <c r="M552" s="1">
        <v>142.0</v>
      </c>
      <c r="N552" s="5" t="s">
        <v>979</v>
      </c>
      <c r="P552" s="6" t="str">
        <f>VLOOKUP(D552,'シート2'!A:B, 2, 0)</f>
        <v>Force of Will</v>
      </c>
    </row>
    <row r="553">
      <c r="A553" s="1" t="s">
        <v>1262</v>
      </c>
      <c r="B553" s="3" t="s">
        <v>1263</v>
      </c>
      <c r="C553" s="1" t="s">
        <v>16</v>
      </c>
      <c r="D553" s="1" t="s">
        <v>979</v>
      </c>
      <c r="E553" s="1" t="s">
        <v>979</v>
      </c>
      <c r="F553" s="1" t="str">
        <f>IFERROR(__xludf.DUMMYFUNCTION("SPLIT(E553,""&gt;"")"),"Force of Will")</f>
        <v>Force of Will</v>
      </c>
      <c r="G553" s="1"/>
      <c r="H553" s="1" t="s">
        <v>979</v>
      </c>
      <c r="I553" s="1" t="s">
        <v>622</v>
      </c>
      <c r="J553" s="4">
        <v>42675.0</v>
      </c>
      <c r="K553" s="1">
        <v>1000.0</v>
      </c>
      <c r="L553" s="1">
        <v>500.0</v>
      </c>
      <c r="M553" s="1">
        <v>143.0</v>
      </c>
      <c r="N553" s="5" t="s">
        <v>979</v>
      </c>
      <c r="P553" s="6" t="str">
        <f>VLOOKUP(D553,'シート2'!A:B, 2, 0)</f>
        <v>Force of Will</v>
      </c>
    </row>
    <row r="554">
      <c r="A554" s="1" t="s">
        <v>1264</v>
      </c>
      <c r="B554" s="3" t="s">
        <v>1265</v>
      </c>
      <c r="C554" s="1" t="s">
        <v>16</v>
      </c>
      <c r="D554" s="1" t="s">
        <v>979</v>
      </c>
      <c r="E554" s="1" t="s">
        <v>979</v>
      </c>
      <c r="F554" s="1" t="str">
        <f>IFERROR(__xludf.DUMMYFUNCTION("SPLIT(E554,""&gt;"")"),"Force of Will")</f>
        <v>Force of Will</v>
      </c>
      <c r="G554" s="1"/>
      <c r="H554" s="1" t="s">
        <v>979</v>
      </c>
      <c r="I554" s="1" t="s">
        <v>622</v>
      </c>
      <c r="J554" s="4">
        <v>42675.0</v>
      </c>
      <c r="K554" s="1">
        <v>1000.0</v>
      </c>
      <c r="L554" s="1">
        <v>500.0</v>
      </c>
      <c r="M554" s="1">
        <v>144.0</v>
      </c>
      <c r="N554" s="5" t="s">
        <v>979</v>
      </c>
      <c r="P554" s="6" t="str">
        <f>VLOOKUP(D554,'シート2'!A:B, 2, 0)</f>
        <v>Force of Will</v>
      </c>
    </row>
    <row r="555">
      <c r="A555" s="1" t="s">
        <v>1266</v>
      </c>
      <c r="B555" s="3" t="s">
        <v>1267</v>
      </c>
      <c r="C555" s="1" t="s">
        <v>16</v>
      </c>
      <c r="D555" s="1" t="s">
        <v>979</v>
      </c>
      <c r="E555" s="1" t="s">
        <v>979</v>
      </c>
      <c r="F555" s="1" t="str">
        <f>IFERROR(__xludf.DUMMYFUNCTION("SPLIT(E555,""&gt;"")"),"Force of Will")</f>
        <v>Force of Will</v>
      </c>
      <c r="G555" s="1"/>
      <c r="H555" s="1" t="s">
        <v>979</v>
      </c>
      <c r="I555" s="1" t="s">
        <v>622</v>
      </c>
      <c r="J555" s="4">
        <v>42675.0</v>
      </c>
      <c r="K555" s="1">
        <v>1000.0</v>
      </c>
      <c r="L555" s="1">
        <v>500.0</v>
      </c>
      <c r="M555" s="1">
        <v>145.0</v>
      </c>
      <c r="N555" s="5" t="s">
        <v>979</v>
      </c>
      <c r="P555" s="6" t="str">
        <f>VLOOKUP(D555,'シート2'!A:B, 2, 0)</f>
        <v>Force of Will</v>
      </c>
    </row>
    <row r="556">
      <c r="A556" s="1" t="s">
        <v>1268</v>
      </c>
      <c r="B556" s="3" t="s">
        <v>1269</v>
      </c>
      <c r="C556" s="1" t="s">
        <v>16</v>
      </c>
      <c r="D556" s="1" t="s">
        <v>979</v>
      </c>
      <c r="E556" s="1" t="s">
        <v>979</v>
      </c>
      <c r="F556" s="1" t="str">
        <f>IFERROR(__xludf.DUMMYFUNCTION("SPLIT(E556,""&gt;"")"),"Force of Will")</f>
        <v>Force of Will</v>
      </c>
      <c r="G556" s="1"/>
      <c r="H556" s="1" t="s">
        <v>979</v>
      </c>
      <c r="I556" s="1" t="s">
        <v>622</v>
      </c>
      <c r="J556" s="4">
        <v>42675.0</v>
      </c>
      <c r="K556" s="1">
        <v>1000.0</v>
      </c>
      <c r="L556" s="1">
        <v>500.0</v>
      </c>
      <c r="M556" s="1">
        <v>146.0</v>
      </c>
      <c r="N556" s="5" t="s">
        <v>979</v>
      </c>
      <c r="P556" s="6" t="str">
        <f>VLOOKUP(D556,'シート2'!A:B, 2, 0)</f>
        <v>Force of Will</v>
      </c>
    </row>
    <row r="557">
      <c r="A557" s="1" t="s">
        <v>1270</v>
      </c>
      <c r="B557" s="3" t="s">
        <v>1271</v>
      </c>
      <c r="C557" s="1" t="s">
        <v>16</v>
      </c>
      <c r="D557" s="1" t="s">
        <v>979</v>
      </c>
      <c r="E557" s="1" t="s">
        <v>979</v>
      </c>
      <c r="F557" s="1" t="str">
        <f>IFERROR(__xludf.DUMMYFUNCTION("SPLIT(E557,""&gt;"")"),"Force of Will")</f>
        <v>Force of Will</v>
      </c>
      <c r="G557" s="1"/>
      <c r="H557" s="1" t="s">
        <v>979</v>
      </c>
      <c r="I557" s="1" t="s">
        <v>622</v>
      </c>
      <c r="J557" s="4">
        <v>42675.0</v>
      </c>
      <c r="K557" s="1">
        <v>1000.0</v>
      </c>
      <c r="L557" s="1">
        <v>500.0</v>
      </c>
      <c r="M557" s="1">
        <v>147.0</v>
      </c>
      <c r="N557" s="5" t="s">
        <v>979</v>
      </c>
      <c r="P557" s="6" t="str">
        <f>VLOOKUP(D557,'シート2'!A:B, 2, 0)</f>
        <v>Force of Will</v>
      </c>
    </row>
    <row r="558">
      <c r="A558" s="1" t="s">
        <v>1272</v>
      </c>
      <c r="B558" s="3" t="s">
        <v>1273</v>
      </c>
      <c r="C558" s="1" t="s">
        <v>16</v>
      </c>
      <c r="D558" s="1" t="s">
        <v>979</v>
      </c>
      <c r="E558" s="1" t="s">
        <v>979</v>
      </c>
      <c r="F558" s="1" t="str">
        <f>IFERROR(__xludf.DUMMYFUNCTION("SPLIT(E558,""&gt;"")"),"Force of Will")</f>
        <v>Force of Will</v>
      </c>
      <c r="G558" s="1"/>
      <c r="H558" s="1" t="s">
        <v>979</v>
      </c>
      <c r="I558" s="1" t="s">
        <v>622</v>
      </c>
      <c r="J558" s="4">
        <v>42675.0</v>
      </c>
      <c r="K558" s="1">
        <v>1000.0</v>
      </c>
      <c r="L558" s="1">
        <v>500.0</v>
      </c>
      <c r="M558" s="1">
        <v>148.0</v>
      </c>
      <c r="N558" s="5" t="s">
        <v>979</v>
      </c>
      <c r="P558" s="6" t="str">
        <f>VLOOKUP(D558,'シート2'!A:B, 2, 0)</f>
        <v>Force of Will</v>
      </c>
    </row>
    <row r="559">
      <c r="A559" s="1" t="s">
        <v>1274</v>
      </c>
      <c r="B559" s="3" t="s">
        <v>1275</v>
      </c>
      <c r="C559" s="1" t="s">
        <v>16</v>
      </c>
      <c r="D559" s="1" t="s">
        <v>979</v>
      </c>
      <c r="E559" s="1" t="s">
        <v>979</v>
      </c>
      <c r="F559" s="1" t="str">
        <f>IFERROR(__xludf.DUMMYFUNCTION("SPLIT(E559,""&gt;"")"),"Force of Will")</f>
        <v>Force of Will</v>
      </c>
      <c r="G559" s="1"/>
      <c r="H559" s="1" t="s">
        <v>979</v>
      </c>
      <c r="I559" s="1" t="s">
        <v>622</v>
      </c>
      <c r="J559" s="4">
        <v>42675.0</v>
      </c>
      <c r="K559" s="1">
        <v>1000.0</v>
      </c>
      <c r="L559" s="1">
        <v>500.0</v>
      </c>
      <c r="M559" s="1">
        <v>149.0</v>
      </c>
      <c r="N559" s="5" t="s">
        <v>979</v>
      </c>
      <c r="P559" s="6" t="str">
        <f>VLOOKUP(D559,'シート2'!A:B, 2, 0)</f>
        <v>Force of Will</v>
      </c>
    </row>
    <row r="560">
      <c r="A560" s="1" t="s">
        <v>1276</v>
      </c>
      <c r="B560" s="3" t="s">
        <v>1277</v>
      </c>
      <c r="C560" s="1" t="s">
        <v>16</v>
      </c>
      <c r="D560" s="1" t="s">
        <v>979</v>
      </c>
      <c r="E560" s="1" t="s">
        <v>979</v>
      </c>
      <c r="F560" s="1" t="str">
        <f>IFERROR(__xludf.DUMMYFUNCTION("SPLIT(E560,""&gt;"")"),"Force of Will")</f>
        <v>Force of Will</v>
      </c>
      <c r="G560" s="1"/>
      <c r="H560" s="1" t="s">
        <v>979</v>
      </c>
      <c r="I560" s="1" t="s">
        <v>622</v>
      </c>
      <c r="J560" s="4">
        <v>42675.0</v>
      </c>
      <c r="K560" s="1">
        <v>1000.0</v>
      </c>
      <c r="L560" s="1">
        <v>500.0</v>
      </c>
      <c r="M560" s="1">
        <v>150.0</v>
      </c>
      <c r="N560" s="5" t="s">
        <v>979</v>
      </c>
      <c r="P560" s="6" t="str">
        <f>VLOOKUP(D560,'シート2'!A:B, 2, 0)</f>
        <v>Force of Will</v>
      </c>
    </row>
    <row r="561">
      <c r="A561" s="1" t="s">
        <v>1278</v>
      </c>
      <c r="B561" s="3" t="s">
        <v>1279</v>
      </c>
      <c r="C561" s="1" t="s">
        <v>16</v>
      </c>
      <c r="D561" s="1" t="s">
        <v>979</v>
      </c>
      <c r="E561" s="1" t="s">
        <v>979</v>
      </c>
      <c r="F561" s="1" t="str">
        <f>IFERROR(__xludf.DUMMYFUNCTION("SPLIT(E561,""&gt;"")"),"Force of Will")</f>
        <v>Force of Will</v>
      </c>
      <c r="G561" s="1"/>
      <c r="H561" s="1" t="s">
        <v>979</v>
      </c>
      <c r="I561" s="1" t="s">
        <v>622</v>
      </c>
      <c r="J561" s="4">
        <v>42675.0</v>
      </c>
      <c r="K561" s="1">
        <v>1000.0</v>
      </c>
      <c r="L561" s="1">
        <v>500.0</v>
      </c>
      <c r="M561" s="1">
        <v>151.0</v>
      </c>
      <c r="N561" s="5" t="s">
        <v>979</v>
      </c>
      <c r="P561" s="6" t="str">
        <f>VLOOKUP(D561,'シート2'!A:B, 2, 0)</f>
        <v>Force of Will</v>
      </c>
    </row>
    <row r="562">
      <c r="A562" s="1" t="s">
        <v>1280</v>
      </c>
      <c r="B562" s="3" t="s">
        <v>1281</v>
      </c>
      <c r="C562" s="1" t="s">
        <v>16</v>
      </c>
      <c r="D562" s="1" t="s">
        <v>979</v>
      </c>
      <c r="E562" s="1" t="s">
        <v>979</v>
      </c>
      <c r="F562" s="1" t="str">
        <f>IFERROR(__xludf.DUMMYFUNCTION("SPLIT(E562,""&gt;"")"),"Force of Will")</f>
        <v>Force of Will</v>
      </c>
      <c r="G562" s="1"/>
      <c r="H562" s="1" t="s">
        <v>979</v>
      </c>
      <c r="I562" s="1" t="s">
        <v>622</v>
      </c>
      <c r="J562" s="4">
        <v>42675.0</v>
      </c>
      <c r="K562" s="1">
        <v>1000.0</v>
      </c>
      <c r="L562" s="1">
        <v>500.0</v>
      </c>
      <c r="M562" s="1">
        <v>152.0</v>
      </c>
      <c r="N562" s="5" t="s">
        <v>979</v>
      </c>
      <c r="P562" s="6" t="str">
        <f>VLOOKUP(D562,'シート2'!A:B, 2, 0)</f>
        <v>Force of Will</v>
      </c>
    </row>
    <row r="563">
      <c r="A563" s="1" t="s">
        <v>1282</v>
      </c>
      <c r="B563" s="3" t="s">
        <v>1283</v>
      </c>
      <c r="C563" s="1" t="s">
        <v>16</v>
      </c>
      <c r="D563" s="1" t="s">
        <v>979</v>
      </c>
      <c r="E563" s="1" t="s">
        <v>979</v>
      </c>
      <c r="F563" s="1" t="str">
        <f>IFERROR(__xludf.DUMMYFUNCTION("SPLIT(E563,""&gt;"")"),"Force of Will")</f>
        <v>Force of Will</v>
      </c>
      <c r="G563" s="1"/>
      <c r="H563" s="1" t="s">
        <v>979</v>
      </c>
      <c r="I563" s="1" t="s">
        <v>622</v>
      </c>
      <c r="J563" s="4">
        <v>42675.0</v>
      </c>
      <c r="K563" s="1">
        <v>1000.0</v>
      </c>
      <c r="L563" s="1">
        <v>500.0</v>
      </c>
      <c r="M563" s="1">
        <v>153.0</v>
      </c>
      <c r="N563" s="5" t="s">
        <v>979</v>
      </c>
      <c r="P563" s="6" t="str">
        <f>VLOOKUP(D563,'シート2'!A:B, 2, 0)</f>
        <v>Force of Will</v>
      </c>
    </row>
    <row r="564">
      <c r="A564" s="1" t="s">
        <v>1284</v>
      </c>
      <c r="B564" s="3" t="s">
        <v>1285</v>
      </c>
      <c r="C564" s="1" t="s">
        <v>16</v>
      </c>
      <c r="D564" s="1" t="s">
        <v>979</v>
      </c>
      <c r="E564" s="1" t="s">
        <v>979</v>
      </c>
      <c r="F564" s="1" t="str">
        <f>IFERROR(__xludf.DUMMYFUNCTION("SPLIT(E564,""&gt;"")"),"Force of Will")</f>
        <v>Force of Will</v>
      </c>
      <c r="G564" s="1"/>
      <c r="H564" s="1" t="s">
        <v>979</v>
      </c>
      <c r="I564" s="1" t="s">
        <v>622</v>
      </c>
      <c r="J564" s="4">
        <v>42675.0</v>
      </c>
      <c r="K564" s="1">
        <v>1000.0</v>
      </c>
      <c r="L564" s="1">
        <v>500.0</v>
      </c>
      <c r="M564" s="1">
        <v>154.0</v>
      </c>
      <c r="N564" s="5" t="s">
        <v>979</v>
      </c>
      <c r="P564" s="6" t="str">
        <f>VLOOKUP(D564,'シート2'!A:B, 2, 0)</f>
        <v>Force of Will</v>
      </c>
    </row>
    <row r="565">
      <c r="A565" s="1" t="s">
        <v>1286</v>
      </c>
      <c r="B565" s="3" t="s">
        <v>1287</v>
      </c>
      <c r="C565" s="1" t="s">
        <v>16</v>
      </c>
      <c r="D565" s="1" t="s">
        <v>979</v>
      </c>
      <c r="E565" s="1" t="s">
        <v>979</v>
      </c>
      <c r="F565" s="1" t="str">
        <f>IFERROR(__xludf.DUMMYFUNCTION("SPLIT(E565,""&gt;"")"),"Force of Will")</f>
        <v>Force of Will</v>
      </c>
      <c r="G565" s="1"/>
      <c r="H565" s="1" t="s">
        <v>979</v>
      </c>
      <c r="I565" s="1" t="s">
        <v>622</v>
      </c>
      <c r="J565" s="4">
        <v>42675.0</v>
      </c>
      <c r="K565" s="1">
        <v>1000.0</v>
      </c>
      <c r="L565" s="1">
        <v>500.0</v>
      </c>
      <c r="M565" s="1">
        <v>155.0</v>
      </c>
      <c r="N565" s="5" t="s">
        <v>979</v>
      </c>
      <c r="P565" s="6" t="str">
        <f>VLOOKUP(D565,'シート2'!A:B, 2, 0)</f>
        <v>Force of Will</v>
      </c>
    </row>
    <row r="566">
      <c r="A566" s="1" t="s">
        <v>1288</v>
      </c>
      <c r="B566" s="3" t="s">
        <v>1289</v>
      </c>
      <c r="C566" s="1" t="s">
        <v>16</v>
      </c>
      <c r="D566" s="1" t="s">
        <v>979</v>
      </c>
      <c r="E566" s="1" t="s">
        <v>979</v>
      </c>
      <c r="F566" s="1" t="str">
        <f>IFERROR(__xludf.DUMMYFUNCTION("SPLIT(E566,""&gt;"")"),"Force of Will")</f>
        <v>Force of Will</v>
      </c>
      <c r="G566" s="1"/>
      <c r="H566" s="1" t="s">
        <v>979</v>
      </c>
      <c r="I566" s="1" t="s">
        <v>622</v>
      </c>
      <c r="J566" s="4">
        <v>42675.0</v>
      </c>
      <c r="K566" s="1">
        <v>1000.0</v>
      </c>
      <c r="L566" s="1">
        <v>500.0</v>
      </c>
      <c r="M566" s="1">
        <v>156.0</v>
      </c>
      <c r="N566" s="5" t="s">
        <v>979</v>
      </c>
      <c r="P566" s="6" t="str">
        <f>VLOOKUP(D566,'シート2'!A:B, 2, 0)</f>
        <v>Force of Will</v>
      </c>
    </row>
    <row r="567">
      <c r="A567" s="1" t="s">
        <v>1290</v>
      </c>
      <c r="B567" s="3" t="s">
        <v>1291</v>
      </c>
      <c r="C567" s="1" t="s">
        <v>16</v>
      </c>
      <c r="D567" s="1" t="s">
        <v>979</v>
      </c>
      <c r="E567" s="1" t="s">
        <v>979</v>
      </c>
      <c r="F567" s="1" t="str">
        <f>IFERROR(__xludf.DUMMYFUNCTION("SPLIT(E567,""&gt;"")"),"Force of Will")</f>
        <v>Force of Will</v>
      </c>
      <c r="G567" s="1"/>
      <c r="H567" s="1" t="s">
        <v>979</v>
      </c>
      <c r="I567" s="1" t="s">
        <v>622</v>
      </c>
      <c r="J567" s="4">
        <v>42675.0</v>
      </c>
      <c r="K567" s="1">
        <v>1000.0</v>
      </c>
      <c r="L567" s="1">
        <v>500.0</v>
      </c>
      <c r="M567" s="1">
        <v>157.0</v>
      </c>
      <c r="N567" s="5" t="s">
        <v>979</v>
      </c>
      <c r="P567" s="6" t="str">
        <f>VLOOKUP(D567,'シート2'!A:B, 2, 0)</f>
        <v>Force of Will</v>
      </c>
    </row>
    <row r="568">
      <c r="A568" s="1" t="s">
        <v>1292</v>
      </c>
      <c r="B568" s="3" t="s">
        <v>1293</v>
      </c>
      <c r="C568" s="1" t="s">
        <v>16</v>
      </c>
      <c r="D568" s="1" t="s">
        <v>979</v>
      </c>
      <c r="E568" s="1" t="s">
        <v>979</v>
      </c>
      <c r="F568" s="1" t="str">
        <f>IFERROR(__xludf.DUMMYFUNCTION("SPLIT(E568,""&gt;"")"),"Force of Will")</f>
        <v>Force of Will</v>
      </c>
      <c r="G568" s="1"/>
      <c r="H568" s="1" t="s">
        <v>979</v>
      </c>
      <c r="I568" s="1" t="s">
        <v>622</v>
      </c>
      <c r="J568" s="4">
        <v>42675.0</v>
      </c>
      <c r="K568" s="1">
        <v>1000.0</v>
      </c>
      <c r="L568" s="1">
        <v>500.0</v>
      </c>
      <c r="M568" s="1">
        <v>158.0</v>
      </c>
      <c r="N568" s="5" t="s">
        <v>979</v>
      </c>
      <c r="P568" s="6" t="str">
        <f>VLOOKUP(D568,'シート2'!A:B, 2, 0)</f>
        <v>Force of Will</v>
      </c>
    </row>
    <row r="569">
      <c r="A569" s="1" t="s">
        <v>1294</v>
      </c>
      <c r="B569" s="3" t="s">
        <v>1295</v>
      </c>
      <c r="C569" s="1" t="s">
        <v>16</v>
      </c>
      <c r="D569" s="1" t="s">
        <v>979</v>
      </c>
      <c r="E569" s="1" t="s">
        <v>979</v>
      </c>
      <c r="F569" s="1" t="str">
        <f>IFERROR(__xludf.DUMMYFUNCTION("SPLIT(E569,""&gt;"")"),"Force of Will")</f>
        <v>Force of Will</v>
      </c>
      <c r="G569" s="1"/>
      <c r="H569" s="1" t="s">
        <v>979</v>
      </c>
      <c r="I569" s="1" t="s">
        <v>622</v>
      </c>
      <c r="J569" s="4">
        <v>42675.0</v>
      </c>
      <c r="K569" s="1">
        <v>1000.0</v>
      </c>
      <c r="L569" s="1">
        <v>500.0</v>
      </c>
      <c r="M569" s="1">
        <v>159.0</v>
      </c>
      <c r="N569" s="5" t="s">
        <v>979</v>
      </c>
      <c r="P569" s="6" t="str">
        <f>VLOOKUP(D569,'シート2'!A:B, 2, 0)</f>
        <v>Force of Will</v>
      </c>
    </row>
    <row r="570">
      <c r="A570" s="1" t="s">
        <v>1296</v>
      </c>
      <c r="B570" s="3" t="s">
        <v>1297</v>
      </c>
      <c r="C570" s="1" t="s">
        <v>16</v>
      </c>
      <c r="D570" s="1" t="s">
        <v>979</v>
      </c>
      <c r="E570" s="1" t="s">
        <v>979</v>
      </c>
      <c r="F570" s="1" t="str">
        <f>IFERROR(__xludf.DUMMYFUNCTION("SPLIT(E570,""&gt;"")"),"Force of Will")</f>
        <v>Force of Will</v>
      </c>
      <c r="G570" s="1"/>
      <c r="H570" s="1" t="s">
        <v>979</v>
      </c>
      <c r="I570" s="1" t="s">
        <v>622</v>
      </c>
      <c r="J570" s="4">
        <v>42675.0</v>
      </c>
      <c r="K570" s="1">
        <v>1000.0</v>
      </c>
      <c r="L570" s="1">
        <v>500.0</v>
      </c>
      <c r="M570" s="1">
        <v>160.0</v>
      </c>
      <c r="N570" s="5" t="s">
        <v>979</v>
      </c>
      <c r="P570" s="6" t="str">
        <f>VLOOKUP(D570,'シート2'!A:B, 2, 0)</f>
        <v>Force of Will</v>
      </c>
    </row>
    <row r="571">
      <c r="A571" s="1" t="s">
        <v>1298</v>
      </c>
      <c r="B571" s="3" t="s">
        <v>1299</v>
      </c>
      <c r="C571" s="1" t="s">
        <v>16</v>
      </c>
      <c r="D571" s="1" t="s">
        <v>519</v>
      </c>
      <c r="E571" s="1" t="s">
        <v>797</v>
      </c>
      <c r="F571" s="1" t="str">
        <f>IFERROR(__xludf.DUMMYFUNCTION("SPLIT(E571,""&gt;"")"),"Japanese Rarepepe")</f>
        <v>Japanese Rarepepe</v>
      </c>
      <c r="G571" s="1" t="str">
        <f>IFERROR(__xludf.DUMMYFUNCTION("""COMPUTED_VALUE"""),"Series 30")</f>
        <v>Series 30</v>
      </c>
      <c r="H571" s="1" t="s">
        <v>519</v>
      </c>
      <c r="I571" s="1" t="s">
        <v>853</v>
      </c>
      <c r="J571" s="4">
        <v>43009.0</v>
      </c>
      <c r="K571" s="1">
        <v>100.0</v>
      </c>
      <c r="L571" s="1">
        <v>100.0</v>
      </c>
      <c r="M571" s="1">
        <v>1492.0</v>
      </c>
      <c r="N571" s="6" t="str">
        <f t="shared" ref="N571:N576" si="5">F571 &amp; "🐸"</f>
        <v>Japanese Rarepepe🐸</v>
      </c>
      <c r="P571" s="6" t="str">
        <f>VLOOKUP(D571,'シート2'!A:B, 2, 0)</f>
        <v>@emma_nft</v>
      </c>
    </row>
    <row r="572">
      <c r="A572" s="1" t="s">
        <v>1300</v>
      </c>
      <c r="B572" s="3" t="s">
        <v>1301</v>
      </c>
      <c r="C572" s="1" t="s">
        <v>16</v>
      </c>
      <c r="D572" s="1" t="s">
        <v>519</v>
      </c>
      <c r="E572" s="1" t="s">
        <v>584</v>
      </c>
      <c r="F572" s="1" t="str">
        <f>IFERROR(__xludf.DUMMYFUNCTION("SPLIT(E572,""&gt;"")"),"Japanese Rarepepe")</f>
        <v>Japanese Rarepepe</v>
      </c>
      <c r="G572" s="1" t="str">
        <f>IFERROR(__xludf.DUMMYFUNCTION("""COMPUTED_VALUE"""),"Series 27")</f>
        <v>Series 27</v>
      </c>
      <c r="H572" s="1" t="s">
        <v>519</v>
      </c>
      <c r="I572" s="1" t="s">
        <v>545</v>
      </c>
      <c r="J572" s="4">
        <v>42979.0</v>
      </c>
      <c r="K572" s="1">
        <v>200.0</v>
      </c>
      <c r="L572" s="1">
        <v>200.0</v>
      </c>
      <c r="M572" s="1">
        <v>1344.0</v>
      </c>
      <c r="N572" s="6" t="str">
        <f t="shared" si="5"/>
        <v>Japanese Rarepepe🐸</v>
      </c>
      <c r="P572" s="6" t="str">
        <f>VLOOKUP(D572,'シート2'!A:B, 2, 0)</f>
        <v>@emma_nft</v>
      </c>
    </row>
    <row r="573">
      <c r="A573" s="1" t="s">
        <v>1302</v>
      </c>
      <c r="B573" s="3" t="s">
        <v>1303</v>
      </c>
      <c r="C573" s="1" t="s">
        <v>16</v>
      </c>
      <c r="D573" s="1" t="s">
        <v>519</v>
      </c>
      <c r="E573" s="1" t="s">
        <v>792</v>
      </c>
      <c r="F573" s="1" t="str">
        <f>IFERROR(__xludf.DUMMYFUNCTION("SPLIT(E573,""&gt;"")"),"Japanese Rarepepe")</f>
        <v>Japanese Rarepepe</v>
      </c>
      <c r="G573" s="1" t="str">
        <f>IFERROR(__xludf.DUMMYFUNCTION("""COMPUTED_VALUE"""),"Series 25")</f>
        <v>Series 25</v>
      </c>
      <c r="H573" s="1" t="s">
        <v>519</v>
      </c>
      <c r="I573" s="1" t="s">
        <v>395</v>
      </c>
      <c r="J573" s="4">
        <v>42948.0</v>
      </c>
      <c r="K573" s="1">
        <v>100.0</v>
      </c>
      <c r="L573" s="1">
        <v>100.0</v>
      </c>
      <c r="M573" s="1">
        <v>1215.0</v>
      </c>
      <c r="N573" s="6" t="str">
        <f t="shared" si="5"/>
        <v>Japanese Rarepepe🐸</v>
      </c>
      <c r="P573" s="6" t="str">
        <f>VLOOKUP(D573,'シート2'!A:B, 2, 0)</f>
        <v>@emma_nft</v>
      </c>
    </row>
    <row r="574">
      <c r="A574" s="1" t="s">
        <v>1304</v>
      </c>
      <c r="B574" s="3" t="s">
        <v>1305</v>
      </c>
      <c r="C574" s="1" t="s">
        <v>16</v>
      </c>
      <c r="D574" s="1" t="s">
        <v>28</v>
      </c>
      <c r="E574" s="1" t="s">
        <v>797</v>
      </c>
      <c r="F574" s="1" t="str">
        <f>IFERROR(__xludf.DUMMYFUNCTION("SPLIT(E574,""&gt;"")"),"Japanese Rarepepe")</f>
        <v>Japanese Rarepepe</v>
      </c>
      <c r="G574" s="1" t="str">
        <f>IFERROR(__xludf.DUMMYFUNCTION("""COMPUTED_VALUE"""),"Series 30")</f>
        <v>Series 30</v>
      </c>
      <c r="H574" s="1" t="s">
        <v>28</v>
      </c>
      <c r="I574" s="1" t="s">
        <v>853</v>
      </c>
      <c r="J574" s="4">
        <v>43009.0</v>
      </c>
      <c r="K574" s="1">
        <v>100.0</v>
      </c>
      <c r="L574" s="1">
        <v>100.0</v>
      </c>
      <c r="M574" s="1">
        <v>1470.0</v>
      </c>
      <c r="N574" s="6" t="str">
        <f t="shared" si="5"/>
        <v>Japanese Rarepepe🐸</v>
      </c>
      <c r="P574" s="6" t="str">
        <f>VLOOKUP(D574,'シート2'!A:B, 2, 0)</f>
        <v>@MetaBB_eth</v>
      </c>
    </row>
    <row r="575">
      <c r="A575" s="1" t="s">
        <v>1306</v>
      </c>
      <c r="B575" s="3" t="s">
        <v>1307</v>
      </c>
      <c r="C575" s="1" t="s">
        <v>16</v>
      </c>
      <c r="D575" s="1" t="s">
        <v>28</v>
      </c>
      <c r="E575" s="1" t="s">
        <v>813</v>
      </c>
      <c r="F575" s="1" t="str">
        <f>IFERROR(__xludf.DUMMYFUNCTION("SPLIT(E575,""&gt;"")"),"Japanese Rarepepe")</f>
        <v>Japanese Rarepepe</v>
      </c>
      <c r="G575" s="1" t="str">
        <f>IFERROR(__xludf.DUMMYFUNCTION("""COMPUTED_VALUE"""),"Series 31")</f>
        <v>Series 31</v>
      </c>
      <c r="H575" s="1" t="s">
        <v>28</v>
      </c>
      <c r="I575" s="1" t="s">
        <v>782</v>
      </c>
      <c r="J575" s="4">
        <v>43101.0</v>
      </c>
      <c r="K575" s="1">
        <v>100.0</v>
      </c>
      <c r="L575" s="1">
        <v>100.0</v>
      </c>
      <c r="M575" s="1">
        <v>1503.0</v>
      </c>
      <c r="N575" s="6" t="str">
        <f t="shared" si="5"/>
        <v>Japanese Rarepepe🐸</v>
      </c>
      <c r="P575" s="6" t="str">
        <f>VLOOKUP(D575,'シート2'!A:B, 2, 0)</f>
        <v>@MetaBB_eth</v>
      </c>
    </row>
    <row r="576">
      <c r="A576" s="1" t="s">
        <v>1308</v>
      </c>
      <c r="B576" s="3" t="s">
        <v>1309</v>
      </c>
      <c r="C576" s="1" t="s">
        <v>16</v>
      </c>
      <c r="D576" s="1" t="s">
        <v>28</v>
      </c>
      <c r="E576" s="1" t="s">
        <v>822</v>
      </c>
      <c r="F576" s="1" t="str">
        <f>IFERROR(__xludf.DUMMYFUNCTION("SPLIT(E576,""&gt;"")"),"Japanese Rarepepe")</f>
        <v>Japanese Rarepepe</v>
      </c>
      <c r="G576" s="1" t="str">
        <f>IFERROR(__xludf.DUMMYFUNCTION("""COMPUTED_VALUE"""),"Series 35")</f>
        <v>Series 35</v>
      </c>
      <c r="H576" s="1" t="s">
        <v>28</v>
      </c>
      <c r="I576" s="1" t="s">
        <v>823</v>
      </c>
      <c r="J576" s="4">
        <v>43160.0</v>
      </c>
      <c r="K576" s="1">
        <v>100.0</v>
      </c>
      <c r="L576" s="1">
        <v>100.0</v>
      </c>
      <c r="M576" s="1">
        <v>1749.0</v>
      </c>
      <c r="N576" s="6" t="str">
        <f t="shared" si="5"/>
        <v>Japanese Rarepepe🐸</v>
      </c>
      <c r="P576" s="6" t="str">
        <f>VLOOKUP(D576,'シート2'!A:B, 2, 0)</f>
        <v>@MetaBB_eth</v>
      </c>
    </row>
    <row r="577">
      <c r="A577" s="1" t="s">
        <v>1310</v>
      </c>
      <c r="B577" s="3" t="s">
        <v>1311</v>
      </c>
      <c r="C577" s="1" t="s">
        <v>16</v>
      </c>
      <c r="D577" s="1" t="s">
        <v>53</v>
      </c>
      <c r="E577" s="1" t="s">
        <v>1312</v>
      </c>
      <c r="F577" s="1" t="str">
        <f>IFERROR(__xludf.DUMMYFUNCTION("SPLIT(E577,""&gt;"")"),"Japanese Corn")</f>
        <v>Japanese Corn</v>
      </c>
      <c r="G577" s="1" t="str">
        <f>IFERROR(__xludf.DUMMYFUNCTION("""COMPUTED_VALUE"""),"Harvest #1")</f>
        <v>Harvest #1</v>
      </c>
      <c r="H577" s="1" t="s">
        <v>53</v>
      </c>
      <c r="I577" s="1" t="s">
        <v>1313</v>
      </c>
      <c r="J577" s="4">
        <v>43191.0</v>
      </c>
      <c r="K577" s="1">
        <v>54.0</v>
      </c>
      <c r="L577" s="1">
        <v>53.0</v>
      </c>
      <c r="M577" s="1">
        <v>40.0</v>
      </c>
      <c r="N577" s="1" t="s">
        <v>1314</v>
      </c>
      <c r="P577" s="6" t="str">
        <f>VLOOKUP(D577,'シート2'!A:B, 2, 0)</f>
        <v>@Taky_Taky_</v>
      </c>
    </row>
    <row r="578">
      <c r="A578" s="1" t="s">
        <v>1315</v>
      </c>
      <c r="B578" s="3" t="s">
        <v>1316</v>
      </c>
      <c r="C578" s="1" t="s">
        <v>16</v>
      </c>
      <c r="D578" s="1" t="s">
        <v>53</v>
      </c>
      <c r="E578" s="1" t="s">
        <v>1312</v>
      </c>
      <c r="F578" s="1" t="str">
        <f>IFERROR(__xludf.DUMMYFUNCTION("SPLIT(E578,""&gt;"")"),"Japanese Corn")</f>
        <v>Japanese Corn</v>
      </c>
      <c r="G578" s="1" t="str">
        <f>IFERROR(__xludf.DUMMYFUNCTION("""COMPUTED_VALUE"""),"Harvest #1")</f>
        <v>Harvest #1</v>
      </c>
      <c r="H578" s="1" t="s">
        <v>53</v>
      </c>
      <c r="I578" s="1" t="s">
        <v>1317</v>
      </c>
      <c r="J578" s="4">
        <v>43221.0</v>
      </c>
      <c r="K578" s="1">
        <v>54.0</v>
      </c>
      <c r="L578" s="1">
        <v>53.0</v>
      </c>
      <c r="M578" s="1">
        <v>59.0</v>
      </c>
      <c r="N578" s="1" t="s">
        <v>1314</v>
      </c>
      <c r="P578" s="6" t="str">
        <f>VLOOKUP(D578,'シート2'!A:B, 2, 0)</f>
        <v>@Taky_Taky_</v>
      </c>
    </row>
    <row r="579">
      <c r="A579" s="1" t="s">
        <v>1318</v>
      </c>
      <c r="B579" s="3" t="s">
        <v>1319</v>
      </c>
      <c r="C579" s="1" t="s">
        <v>16</v>
      </c>
      <c r="D579" s="1" t="s">
        <v>53</v>
      </c>
      <c r="E579" s="1" t="s">
        <v>1320</v>
      </c>
      <c r="F579" s="1" t="str">
        <f>IFERROR(__xludf.DUMMYFUNCTION("SPLIT(E579,""&gt;"")"),"Japanese Corn")</f>
        <v>Japanese Corn</v>
      </c>
      <c r="G579" s="1" t="str">
        <f>IFERROR(__xludf.DUMMYFUNCTION("""COMPUTED_VALUE"""),"Harvest #14")</f>
        <v>Harvest #14</v>
      </c>
      <c r="H579" s="1" t="s">
        <v>53</v>
      </c>
      <c r="I579" s="1" t="s">
        <v>29</v>
      </c>
      <c r="J579" s="4">
        <v>44440.0</v>
      </c>
      <c r="K579" s="1">
        <v>30.0</v>
      </c>
      <c r="L579" s="1">
        <v>29.0</v>
      </c>
      <c r="M579" s="1">
        <v>234.0</v>
      </c>
      <c r="N579" s="1" t="s">
        <v>1314</v>
      </c>
      <c r="P579" s="6" t="str">
        <f>VLOOKUP(D579,'シート2'!A:B, 2, 0)</f>
        <v>@Taky_Taky_</v>
      </c>
    </row>
    <row r="580">
      <c r="A580" s="1" t="s">
        <v>1321</v>
      </c>
      <c r="B580" s="3" t="s">
        <v>1322</v>
      </c>
      <c r="C580" s="1" t="s">
        <v>16</v>
      </c>
      <c r="D580" s="1" t="s">
        <v>53</v>
      </c>
      <c r="E580" s="1" t="s">
        <v>1320</v>
      </c>
      <c r="F580" s="1" t="str">
        <f>IFERROR(__xludf.DUMMYFUNCTION("SPLIT(E580,""&gt;"")"),"Japanese Corn")</f>
        <v>Japanese Corn</v>
      </c>
      <c r="G580" s="1" t="str">
        <f>IFERROR(__xludf.DUMMYFUNCTION("""COMPUTED_VALUE"""),"Harvest #14")</f>
        <v>Harvest #14</v>
      </c>
      <c r="H580" s="1" t="s">
        <v>53</v>
      </c>
      <c r="I580" s="1" t="s">
        <v>1323</v>
      </c>
      <c r="J580" s="4">
        <v>44409.0</v>
      </c>
      <c r="K580" s="1">
        <v>30.0</v>
      </c>
      <c r="L580" s="1">
        <v>29.0</v>
      </c>
      <c r="M580" s="1">
        <v>239.0</v>
      </c>
      <c r="N580" s="1" t="s">
        <v>1314</v>
      </c>
      <c r="P580" s="6" t="str">
        <f>VLOOKUP(D580,'シート2'!A:B, 2, 0)</f>
        <v>@Taky_Taky_</v>
      </c>
    </row>
    <row r="581">
      <c r="A581" s="1" t="s">
        <v>1324</v>
      </c>
      <c r="B581" s="3" t="s">
        <v>1325</v>
      </c>
      <c r="C581" s="1" t="s">
        <v>16</v>
      </c>
      <c r="D581" s="1" t="s">
        <v>53</v>
      </c>
      <c r="E581" s="1" t="s">
        <v>1320</v>
      </c>
      <c r="F581" s="1" t="str">
        <f>IFERROR(__xludf.DUMMYFUNCTION("SPLIT(E581,""&gt;"")"),"Japanese Corn")</f>
        <v>Japanese Corn</v>
      </c>
      <c r="G581" s="1" t="str">
        <f>IFERROR(__xludf.DUMMYFUNCTION("""COMPUTED_VALUE"""),"Harvest #14")</f>
        <v>Harvest #14</v>
      </c>
      <c r="H581" s="1" t="s">
        <v>53</v>
      </c>
      <c r="I581" s="1" t="s">
        <v>29</v>
      </c>
      <c r="J581" s="4">
        <v>44440.0</v>
      </c>
      <c r="K581" s="1">
        <v>30.0</v>
      </c>
      <c r="L581" s="1">
        <v>29.0</v>
      </c>
      <c r="M581" s="1">
        <v>240.0</v>
      </c>
      <c r="N581" s="1" t="s">
        <v>1314</v>
      </c>
      <c r="P581" s="6" t="str">
        <f>VLOOKUP(D581,'シート2'!A:B, 2, 0)</f>
        <v>@Taky_Taky_</v>
      </c>
    </row>
    <row r="582">
      <c r="A582" s="1" t="s">
        <v>1326</v>
      </c>
      <c r="B582" s="3" t="s">
        <v>1327</v>
      </c>
      <c r="C582" s="1" t="s">
        <v>16</v>
      </c>
      <c r="D582" s="1" t="s">
        <v>53</v>
      </c>
      <c r="E582" s="1" t="s">
        <v>1328</v>
      </c>
      <c r="F582" s="1" t="str">
        <f>IFERROR(__xludf.DUMMYFUNCTION("SPLIT(E582,""&gt;"")"),"Japanese Corn")</f>
        <v>Japanese Corn</v>
      </c>
      <c r="G582" s="1" t="str">
        <f>IFERROR(__xludf.DUMMYFUNCTION("""COMPUTED_VALUE"""),"Harvest #15")</f>
        <v>Harvest #15</v>
      </c>
      <c r="H582" s="1" t="s">
        <v>53</v>
      </c>
      <c r="I582" s="1" t="s">
        <v>19</v>
      </c>
      <c r="J582" s="4">
        <v>44501.0</v>
      </c>
      <c r="K582" s="1">
        <v>30.0</v>
      </c>
      <c r="L582" s="1">
        <v>29.0</v>
      </c>
      <c r="M582" s="1">
        <v>311.0</v>
      </c>
      <c r="N582" s="1" t="s">
        <v>1314</v>
      </c>
      <c r="P582" s="6" t="str">
        <f>VLOOKUP(D582,'シート2'!A:B, 2, 0)</f>
        <v>@Taky_Taky_</v>
      </c>
    </row>
    <row r="583">
      <c r="A583" s="1" t="s">
        <v>1329</v>
      </c>
      <c r="B583" s="3" t="s">
        <v>1330</v>
      </c>
      <c r="C583" s="1" t="s">
        <v>16</v>
      </c>
      <c r="D583" s="1" t="s">
        <v>53</v>
      </c>
      <c r="E583" s="1" t="s">
        <v>1328</v>
      </c>
      <c r="F583" s="1" t="str">
        <f>IFERROR(__xludf.DUMMYFUNCTION("SPLIT(E583,""&gt;"")"),"Japanese Corn")</f>
        <v>Japanese Corn</v>
      </c>
      <c r="G583" s="1" t="str">
        <f>IFERROR(__xludf.DUMMYFUNCTION("""COMPUTED_VALUE"""),"Harvest #15")</f>
        <v>Harvest #15</v>
      </c>
      <c r="H583" s="1" t="s">
        <v>53</v>
      </c>
      <c r="I583" s="1" t="s">
        <v>19</v>
      </c>
      <c r="J583" s="4">
        <v>44501.0</v>
      </c>
      <c r="K583" s="1">
        <v>30.0</v>
      </c>
      <c r="L583" s="1">
        <v>29.0</v>
      </c>
      <c r="M583" s="1">
        <v>315.0</v>
      </c>
      <c r="N583" s="1" t="s">
        <v>1314</v>
      </c>
      <c r="P583" s="6" t="str">
        <f>VLOOKUP(D583,'シート2'!A:B, 2, 0)</f>
        <v>@Taky_Taky_</v>
      </c>
    </row>
    <row r="584">
      <c r="A584" s="1" t="s">
        <v>1331</v>
      </c>
      <c r="B584" s="3" t="s">
        <v>1332</v>
      </c>
      <c r="C584" s="1" t="s">
        <v>16</v>
      </c>
      <c r="D584" s="1" t="s">
        <v>53</v>
      </c>
      <c r="E584" s="1" t="s">
        <v>1328</v>
      </c>
      <c r="F584" s="1" t="str">
        <f>IFERROR(__xludf.DUMMYFUNCTION("SPLIT(E584,""&gt;"")"),"Japanese Corn")</f>
        <v>Japanese Corn</v>
      </c>
      <c r="G584" s="1" t="str">
        <f>IFERROR(__xludf.DUMMYFUNCTION("""COMPUTED_VALUE"""),"Harvest #15")</f>
        <v>Harvest #15</v>
      </c>
      <c r="H584" s="1" t="s">
        <v>53</v>
      </c>
      <c r="I584" s="1" t="s">
        <v>56</v>
      </c>
      <c r="J584" s="4">
        <v>44531.0</v>
      </c>
      <c r="K584" s="1">
        <v>30.0</v>
      </c>
      <c r="L584" s="1">
        <v>29.0</v>
      </c>
      <c r="M584" s="1">
        <v>344.0</v>
      </c>
      <c r="N584" s="1" t="s">
        <v>1314</v>
      </c>
      <c r="P584" s="6" t="str">
        <f>VLOOKUP(D584,'シート2'!A:B, 2, 0)</f>
        <v>@Taky_Taky_</v>
      </c>
    </row>
    <row r="585">
      <c r="A585" s="1" t="s">
        <v>1333</v>
      </c>
      <c r="B585" s="3" t="s">
        <v>1334</v>
      </c>
      <c r="C585" s="1" t="s">
        <v>16</v>
      </c>
      <c r="D585" s="1" t="s">
        <v>53</v>
      </c>
      <c r="E585" s="1" t="s">
        <v>1328</v>
      </c>
      <c r="F585" s="1" t="str">
        <f>IFERROR(__xludf.DUMMYFUNCTION("SPLIT(E585,""&gt;"")"),"Japanese Corn")</f>
        <v>Japanese Corn</v>
      </c>
      <c r="G585" s="1" t="str">
        <f>IFERROR(__xludf.DUMMYFUNCTION("""COMPUTED_VALUE"""),"Harvest #15")</f>
        <v>Harvest #15</v>
      </c>
      <c r="H585" s="1" t="s">
        <v>53</v>
      </c>
      <c r="I585" s="1" t="s">
        <v>56</v>
      </c>
      <c r="J585" s="4">
        <v>44531.0</v>
      </c>
      <c r="K585" s="1">
        <v>31.0</v>
      </c>
      <c r="L585" s="1">
        <v>30.0</v>
      </c>
      <c r="M585" s="1">
        <v>346.0</v>
      </c>
      <c r="N585" s="1" t="s">
        <v>1314</v>
      </c>
      <c r="P585" s="6" t="str">
        <f>VLOOKUP(D585,'シート2'!A:B, 2, 0)</f>
        <v>@Taky_Taky_</v>
      </c>
    </row>
    <row r="586">
      <c r="A586" s="1" t="s">
        <v>1335</v>
      </c>
      <c r="B586" s="3" t="s">
        <v>1336</v>
      </c>
      <c r="C586" s="1" t="s">
        <v>16</v>
      </c>
      <c r="D586" s="1" t="s">
        <v>53</v>
      </c>
      <c r="E586" s="1" t="s">
        <v>1337</v>
      </c>
      <c r="F586" s="1" t="str">
        <f>IFERROR(__xludf.DUMMYFUNCTION("SPLIT(E586,""&gt;"")"),"Japanese Corn")</f>
        <v>Japanese Corn</v>
      </c>
      <c r="G586" s="1" t="str">
        <f>IFERROR(__xludf.DUMMYFUNCTION("""COMPUTED_VALUE"""),"Harvest #16")</f>
        <v>Harvest #16</v>
      </c>
      <c r="H586" s="1" t="s">
        <v>53</v>
      </c>
      <c r="I586" s="1" t="s">
        <v>1338</v>
      </c>
      <c r="J586" s="4">
        <v>44621.0</v>
      </c>
      <c r="K586" s="1">
        <v>100.0</v>
      </c>
      <c r="L586" s="1">
        <v>99.0</v>
      </c>
      <c r="M586" s="1">
        <v>363.0</v>
      </c>
      <c r="N586" s="1" t="s">
        <v>1314</v>
      </c>
      <c r="P586" s="6" t="str">
        <f>VLOOKUP(D586,'シート2'!A:B, 2, 0)</f>
        <v>@Taky_Taky_</v>
      </c>
    </row>
    <row r="587">
      <c r="A587" s="1" t="s">
        <v>1339</v>
      </c>
      <c r="B587" s="3" t="s">
        <v>1340</v>
      </c>
      <c r="C587" s="1" t="s">
        <v>16</v>
      </c>
      <c r="D587" s="1" t="s">
        <v>28</v>
      </c>
      <c r="E587" s="1" t="s">
        <v>1312</v>
      </c>
      <c r="F587" s="1" t="str">
        <f>IFERROR(__xludf.DUMMYFUNCTION("SPLIT(E587,""&gt;"")"),"Japanese Corn")</f>
        <v>Japanese Corn</v>
      </c>
      <c r="G587" s="1" t="str">
        <f>IFERROR(__xludf.DUMMYFUNCTION("""COMPUTED_VALUE"""),"Harvest #1")</f>
        <v>Harvest #1</v>
      </c>
      <c r="H587" s="1" t="s">
        <v>28</v>
      </c>
      <c r="I587" s="1" t="s">
        <v>1317</v>
      </c>
      <c r="J587" s="4">
        <v>43221.0</v>
      </c>
      <c r="K587" s="1">
        <v>50.0</v>
      </c>
      <c r="L587" s="1">
        <v>49.0</v>
      </c>
      <c r="M587" s="1">
        <v>46.0</v>
      </c>
      <c r="N587" s="1" t="s">
        <v>1314</v>
      </c>
      <c r="P587" s="6" t="str">
        <f>VLOOKUP(D587,'シート2'!A:B, 2, 0)</f>
        <v>@MetaBB_eth</v>
      </c>
    </row>
    <row r="588">
      <c r="A588" s="1" t="s">
        <v>1341</v>
      </c>
      <c r="B588" s="3" t="s">
        <v>1342</v>
      </c>
      <c r="C588" s="1" t="s">
        <v>16</v>
      </c>
      <c r="D588" s="1" t="s">
        <v>28</v>
      </c>
      <c r="E588" s="1" t="s">
        <v>1343</v>
      </c>
      <c r="F588" s="1" t="str">
        <f>IFERROR(__xludf.DUMMYFUNCTION("SPLIT(E588,""&gt;"")"),"Japanese Corn")</f>
        <v>Japanese Corn</v>
      </c>
      <c r="G588" s="1" t="str">
        <f>IFERROR(__xludf.DUMMYFUNCTION("""COMPUTED_VALUE"""),"Harvest #2")</f>
        <v>Harvest #2</v>
      </c>
      <c r="H588" s="1" t="s">
        <v>28</v>
      </c>
      <c r="I588" s="1" t="s">
        <v>1317</v>
      </c>
      <c r="J588" s="4">
        <v>43221.0</v>
      </c>
      <c r="K588" s="1">
        <v>1000.0</v>
      </c>
      <c r="L588" s="1">
        <v>999.0</v>
      </c>
      <c r="M588" s="1">
        <v>73.0</v>
      </c>
      <c r="N588" s="1" t="s">
        <v>1314</v>
      </c>
      <c r="P588" s="6" t="str">
        <f>VLOOKUP(D588,'シート2'!A:B, 2, 0)</f>
        <v>@MetaBB_eth</v>
      </c>
    </row>
    <row r="589">
      <c r="A589" s="1" t="s">
        <v>1344</v>
      </c>
      <c r="B589" s="3" t="s">
        <v>1345</v>
      </c>
      <c r="C589" s="1" t="s">
        <v>16</v>
      </c>
      <c r="D589" s="1" t="s">
        <v>28</v>
      </c>
      <c r="E589" s="1" t="s">
        <v>1328</v>
      </c>
      <c r="F589" s="1" t="str">
        <f>IFERROR(__xludf.DUMMYFUNCTION("SPLIT(E589,""&gt;"")"),"Japanese Corn")</f>
        <v>Japanese Corn</v>
      </c>
      <c r="G589" s="1" t="str">
        <f>IFERROR(__xludf.DUMMYFUNCTION("""COMPUTED_VALUE"""),"Harvest #15")</f>
        <v>Harvest #15</v>
      </c>
      <c r="H589" s="1" t="s">
        <v>28</v>
      </c>
      <c r="I589" s="1" t="s">
        <v>35</v>
      </c>
      <c r="J589" s="4">
        <v>44470.0</v>
      </c>
      <c r="K589" s="1">
        <v>10.0</v>
      </c>
      <c r="L589" s="1">
        <v>9.0</v>
      </c>
      <c r="M589" s="1">
        <v>256.0</v>
      </c>
      <c r="N589" s="1" t="s">
        <v>1314</v>
      </c>
      <c r="P589" s="6" t="str">
        <f>VLOOKUP(D589,'シート2'!A:B, 2, 0)</f>
        <v>@MetaBB_eth</v>
      </c>
    </row>
    <row r="590">
      <c r="A590" s="1" t="s">
        <v>1346</v>
      </c>
      <c r="B590" s="3" t="s">
        <v>1347</v>
      </c>
      <c r="C590" s="1" t="s">
        <v>16</v>
      </c>
      <c r="D590" s="1" t="s">
        <v>28</v>
      </c>
      <c r="E590" s="1" t="s">
        <v>1328</v>
      </c>
      <c r="F590" s="1" t="str">
        <f>IFERROR(__xludf.DUMMYFUNCTION("SPLIT(E590,""&gt;"")"),"Japanese Corn")</f>
        <v>Japanese Corn</v>
      </c>
      <c r="G590" s="1" t="str">
        <f>IFERROR(__xludf.DUMMYFUNCTION("""COMPUTED_VALUE"""),"Harvest #15")</f>
        <v>Harvest #15</v>
      </c>
      <c r="H590" s="1" t="s">
        <v>28</v>
      </c>
      <c r="I590" s="1" t="s">
        <v>19</v>
      </c>
      <c r="J590" s="4">
        <v>44501.0</v>
      </c>
      <c r="K590" s="1">
        <v>50.0</v>
      </c>
      <c r="L590" s="1">
        <v>49.0</v>
      </c>
      <c r="M590" s="1">
        <v>304.0</v>
      </c>
      <c r="N590" s="1" t="s">
        <v>1314</v>
      </c>
      <c r="P590" s="6" t="str">
        <f>VLOOKUP(D590,'シート2'!A:B, 2, 0)</f>
        <v>@MetaBB_eth</v>
      </c>
    </row>
    <row r="591">
      <c r="A591" s="1" t="s">
        <v>1348</v>
      </c>
      <c r="B591" s="3" t="s">
        <v>1349</v>
      </c>
      <c r="C591" s="1" t="s">
        <v>16</v>
      </c>
      <c r="D591" s="1" t="s">
        <v>28</v>
      </c>
      <c r="E591" s="1" t="s">
        <v>1328</v>
      </c>
      <c r="F591" s="1" t="str">
        <f>IFERROR(__xludf.DUMMYFUNCTION("SPLIT(E591,""&gt;"")"),"Japanese Corn")</f>
        <v>Japanese Corn</v>
      </c>
      <c r="G591" s="1" t="str">
        <f>IFERROR(__xludf.DUMMYFUNCTION("""COMPUTED_VALUE"""),"Harvest #15")</f>
        <v>Harvest #15</v>
      </c>
      <c r="H591" s="1" t="s">
        <v>28</v>
      </c>
      <c r="I591" s="1" t="s">
        <v>19</v>
      </c>
      <c r="J591" s="4">
        <v>44501.0</v>
      </c>
      <c r="K591" s="1">
        <v>30.0</v>
      </c>
      <c r="L591" s="1">
        <v>29.0</v>
      </c>
      <c r="M591" s="1">
        <v>305.0</v>
      </c>
      <c r="N591" s="1" t="s">
        <v>1314</v>
      </c>
      <c r="P591" s="6" t="str">
        <f>VLOOKUP(D591,'シート2'!A:B, 2, 0)</f>
        <v>@MetaBB_eth</v>
      </c>
    </row>
    <row r="592">
      <c r="A592" s="1" t="s">
        <v>1350</v>
      </c>
      <c r="B592" s="3" t="s">
        <v>1351</v>
      </c>
      <c r="C592" s="1" t="s">
        <v>16</v>
      </c>
      <c r="D592" s="1" t="s">
        <v>422</v>
      </c>
      <c r="E592" s="1" t="s">
        <v>1328</v>
      </c>
      <c r="F592" s="1" t="str">
        <f>IFERROR(__xludf.DUMMYFUNCTION("SPLIT(E592,""&gt;"")"),"Japanese Corn")</f>
        <v>Japanese Corn</v>
      </c>
      <c r="G592" s="1" t="str">
        <f>IFERROR(__xludf.DUMMYFUNCTION("""COMPUTED_VALUE"""),"Harvest #15")</f>
        <v>Harvest #15</v>
      </c>
      <c r="H592" s="1" t="s">
        <v>422</v>
      </c>
      <c r="I592" s="1" t="s">
        <v>29</v>
      </c>
      <c r="J592" s="4">
        <v>44440.0</v>
      </c>
      <c r="K592" s="1">
        <v>30.0</v>
      </c>
      <c r="L592" s="1">
        <v>29.0</v>
      </c>
      <c r="M592" s="1">
        <v>243.0</v>
      </c>
      <c r="N592" s="1" t="s">
        <v>1314</v>
      </c>
      <c r="P592" s="6" t="str">
        <f>VLOOKUP(D592,'シート2'!A:B, 2, 0)</f>
        <v>@kouteipenpen_f</v>
      </c>
    </row>
    <row r="593">
      <c r="A593" s="1" t="s">
        <v>1352</v>
      </c>
      <c r="B593" s="3" t="s">
        <v>1353</v>
      </c>
      <c r="C593" s="1" t="s">
        <v>16</v>
      </c>
      <c r="D593" s="1" t="s">
        <v>422</v>
      </c>
      <c r="E593" s="1" t="s">
        <v>1312</v>
      </c>
      <c r="F593" s="1" t="str">
        <f>IFERROR(__xludf.DUMMYFUNCTION("SPLIT(E593,""&gt;"")"),"Japanese Corn")</f>
        <v>Japanese Corn</v>
      </c>
      <c r="G593" s="1" t="str">
        <f>IFERROR(__xludf.DUMMYFUNCTION("""COMPUTED_VALUE"""),"Harvest #1")</f>
        <v>Harvest #1</v>
      </c>
      <c r="H593" s="1" t="s">
        <v>422</v>
      </c>
      <c r="I593" s="1" t="s">
        <v>1317</v>
      </c>
      <c r="J593" s="4">
        <v>43221.0</v>
      </c>
      <c r="K593" s="1">
        <v>100.0</v>
      </c>
      <c r="L593" s="1">
        <v>99.0</v>
      </c>
      <c r="M593" s="1">
        <v>56.0</v>
      </c>
      <c r="N593" s="1" t="s">
        <v>1314</v>
      </c>
      <c r="P593" s="6" t="str">
        <f>VLOOKUP(D593,'シート2'!A:B, 2, 0)</f>
        <v>@kouteipenpen_f</v>
      </c>
    </row>
    <row r="594">
      <c r="A594" s="1" t="s">
        <v>1354</v>
      </c>
      <c r="B594" s="3" t="s">
        <v>1355</v>
      </c>
      <c r="C594" s="1" t="s">
        <v>16</v>
      </c>
      <c r="D594" s="1" t="s">
        <v>422</v>
      </c>
      <c r="E594" s="1" t="s">
        <v>1328</v>
      </c>
      <c r="F594" s="1" t="str">
        <f>IFERROR(__xludf.DUMMYFUNCTION("SPLIT(E594,""&gt;"")"),"Japanese Corn")</f>
        <v>Japanese Corn</v>
      </c>
      <c r="G594" s="1" t="str">
        <f>IFERROR(__xludf.DUMMYFUNCTION("""COMPUTED_VALUE"""),"Harvest #15")</f>
        <v>Harvest #15</v>
      </c>
      <c r="H594" s="1" t="s">
        <v>422</v>
      </c>
      <c r="I594" s="1" t="s">
        <v>56</v>
      </c>
      <c r="J594" s="4">
        <v>44531.0</v>
      </c>
      <c r="K594" s="1">
        <v>30.0</v>
      </c>
      <c r="L594" s="1">
        <v>29.0</v>
      </c>
      <c r="M594" s="1">
        <v>338.0</v>
      </c>
      <c r="N594" s="1" t="s">
        <v>1314</v>
      </c>
      <c r="P594" s="6" t="str">
        <f>VLOOKUP(D594,'シート2'!A:B, 2, 0)</f>
        <v>@kouteipenpen_f</v>
      </c>
    </row>
    <row r="595">
      <c r="A595" s="1" t="s">
        <v>1356</v>
      </c>
      <c r="B595" s="3" t="s">
        <v>1357</v>
      </c>
      <c r="C595" s="1" t="s">
        <v>16</v>
      </c>
      <c r="D595" s="1" t="s">
        <v>95</v>
      </c>
      <c r="E595" s="1" t="s">
        <v>1358</v>
      </c>
      <c r="F595" s="1" t="str">
        <f>IFERROR(__xludf.DUMMYFUNCTION("SPLIT(E595,""&gt;"")"),"Japanese Corn")</f>
        <v>Japanese Corn</v>
      </c>
      <c r="G595" s="1" t="str">
        <f>IFERROR(__xludf.DUMMYFUNCTION("""COMPUTED_VALUE"""),"Harvest #3")</f>
        <v>Harvest #3</v>
      </c>
      <c r="H595" s="1" t="s">
        <v>95</v>
      </c>
      <c r="I595" s="1" t="s">
        <v>1317</v>
      </c>
      <c r="J595" s="4">
        <v>43221.0</v>
      </c>
      <c r="K595" s="1">
        <v>88.0</v>
      </c>
      <c r="L595" s="1">
        <v>87.0</v>
      </c>
      <c r="M595" s="1">
        <v>90.0</v>
      </c>
      <c r="N595" s="1" t="s">
        <v>1314</v>
      </c>
      <c r="P595" s="6" t="str">
        <f>VLOOKUP(D595,'シート2'!A:B, 2, 0)</f>
        <v>@SmartSpaceDogs</v>
      </c>
    </row>
    <row r="596">
      <c r="A596" s="1" t="s">
        <v>1359</v>
      </c>
      <c r="B596" s="3" t="s">
        <v>1360</v>
      </c>
      <c r="C596" s="1" t="s">
        <v>16</v>
      </c>
      <c r="D596" s="1" t="s">
        <v>95</v>
      </c>
      <c r="E596" s="1" t="s">
        <v>1361</v>
      </c>
      <c r="F596" s="1" t="str">
        <f>IFERROR(__xludf.DUMMYFUNCTION("SPLIT(E596,""&gt;"")"),"Japanese Corn")</f>
        <v>Japanese Corn</v>
      </c>
      <c r="G596" s="1" t="str">
        <f>IFERROR(__xludf.DUMMYFUNCTION("""COMPUTED_VALUE"""),"Harvest #4")</f>
        <v>Harvest #4</v>
      </c>
      <c r="H596" s="1" t="s">
        <v>95</v>
      </c>
      <c r="I596" s="1" t="s">
        <v>1362</v>
      </c>
      <c r="J596" s="4">
        <v>43466.0</v>
      </c>
      <c r="K596" s="1">
        <v>77.0</v>
      </c>
      <c r="L596" s="1">
        <v>76.0</v>
      </c>
      <c r="M596" s="1">
        <v>138.0</v>
      </c>
      <c r="N596" s="1" t="s">
        <v>1314</v>
      </c>
      <c r="P596" s="6" t="str">
        <f>VLOOKUP(D596,'シート2'!A:B, 2, 0)</f>
        <v>@SmartSpaceDogs</v>
      </c>
    </row>
    <row r="597">
      <c r="A597" s="1" t="s">
        <v>1363</v>
      </c>
      <c r="B597" s="3" t="s">
        <v>1364</v>
      </c>
      <c r="C597" s="1" t="s">
        <v>16</v>
      </c>
      <c r="D597" s="1" t="s">
        <v>564</v>
      </c>
      <c r="E597" s="1" t="s">
        <v>1312</v>
      </c>
      <c r="F597" s="1" t="str">
        <f>IFERROR(__xludf.DUMMYFUNCTION("SPLIT(E597,""&gt;"")"),"Japanese Corn")</f>
        <v>Japanese Corn</v>
      </c>
      <c r="G597" s="1" t="str">
        <f>IFERROR(__xludf.DUMMYFUNCTION("""COMPUTED_VALUE"""),"Harvest #1")</f>
        <v>Harvest #1</v>
      </c>
      <c r="H597" s="1" t="s">
        <v>564</v>
      </c>
      <c r="I597" s="1" t="s">
        <v>1365</v>
      </c>
      <c r="J597" s="4">
        <v>43101.0</v>
      </c>
      <c r="K597" s="1">
        <v>31.0</v>
      </c>
      <c r="L597" s="1">
        <v>30.0</v>
      </c>
      <c r="M597" s="1">
        <v>69.0</v>
      </c>
      <c r="N597" s="1" t="s">
        <v>1314</v>
      </c>
      <c r="P597" s="6" t="str">
        <f>VLOOKUP(D597,'シート2'!A:B, 2, 0)</f>
        <v>ののた</v>
      </c>
    </row>
    <row r="598">
      <c r="A598" s="1" t="s">
        <v>1366</v>
      </c>
      <c r="B598" s="3" t="s">
        <v>1367</v>
      </c>
      <c r="C598" s="1" t="s">
        <v>16</v>
      </c>
      <c r="D598" s="1" t="s">
        <v>186</v>
      </c>
      <c r="E598" s="1" t="s">
        <v>1312</v>
      </c>
      <c r="F598" s="1" t="str">
        <f>IFERROR(__xludf.DUMMYFUNCTION("SPLIT(E598,""&gt;"")"),"Japanese Corn")</f>
        <v>Japanese Corn</v>
      </c>
      <c r="G598" s="1" t="str">
        <f>IFERROR(__xludf.DUMMYFUNCTION("""COMPUTED_VALUE"""),"Harvest #1")</f>
        <v>Harvest #1</v>
      </c>
      <c r="H598" s="1" t="s">
        <v>186</v>
      </c>
      <c r="I598" s="1" t="s">
        <v>1317</v>
      </c>
      <c r="J598" s="4">
        <v>43221.0</v>
      </c>
      <c r="K598" s="1">
        <v>100.0</v>
      </c>
      <c r="L598" s="1">
        <v>99.0</v>
      </c>
      <c r="M598" s="1">
        <v>45.0</v>
      </c>
      <c r="N598" s="1" t="s">
        <v>1314</v>
      </c>
      <c r="P598" s="6" t="str">
        <f>VLOOKUP(D598,'シート2'!A:B, 2, 0)</f>
        <v>@x0xb0x1</v>
      </c>
    </row>
    <row r="599">
      <c r="A599" s="1" t="s">
        <v>1368</v>
      </c>
      <c r="B599" s="3" t="s">
        <v>1369</v>
      </c>
      <c r="C599" s="1" t="s">
        <v>16</v>
      </c>
      <c r="D599" s="1" t="s">
        <v>186</v>
      </c>
      <c r="E599" s="1" t="s">
        <v>1328</v>
      </c>
      <c r="F599" s="1" t="str">
        <f>IFERROR(__xludf.DUMMYFUNCTION("SPLIT(E599,""&gt;"")"),"Japanese Corn")</f>
        <v>Japanese Corn</v>
      </c>
      <c r="G599" s="1" t="str">
        <f>IFERROR(__xludf.DUMMYFUNCTION("""COMPUTED_VALUE"""),"Harvest #15")</f>
        <v>Harvest #15</v>
      </c>
      <c r="H599" s="1" t="s">
        <v>186</v>
      </c>
      <c r="I599" s="1" t="s">
        <v>19</v>
      </c>
      <c r="J599" s="4">
        <v>44501.0</v>
      </c>
      <c r="K599" s="1">
        <v>40.0</v>
      </c>
      <c r="L599" s="1">
        <v>39.0</v>
      </c>
      <c r="M599" s="1">
        <v>321.0</v>
      </c>
      <c r="N599" s="1" t="s">
        <v>1314</v>
      </c>
      <c r="P599" s="6" t="str">
        <f>VLOOKUP(D599,'シート2'!A:B, 2, 0)</f>
        <v>@x0xb0x1</v>
      </c>
    </row>
    <row r="600">
      <c r="A600" s="1" t="s">
        <v>1370</v>
      </c>
      <c r="B600" s="3" t="s">
        <v>1371</v>
      </c>
      <c r="C600" s="1" t="s">
        <v>16</v>
      </c>
      <c r="D600" s="1" t="s">
        <v>186</v>
      </c>
      <c r="E600" s="1" t="s">
        <v>584</v>
      </c>
      <c r="F600" s="1" t="str">
        <f>IFERROR(__xludf.DUMMYFUNCTION("SPLIT(E600,""&gt;"")"),"Japanese Rarepepe")</f>
        <v>Japanese Rarepepe</v>
      </c>
      <c r="G600" s="1" t="str">
        <f>IFERROR(__xludf.DUMMYFUNCTION("""COMPUTED_VALUE"""),"Series 27")</f>
        <v>Series 27</v>
      </c>
      <c r="H600" s="1" t="s">
        <v>186</v>
      </c>
      <c r="I600" s="1" t="s">
        <v>395</v>
      </c>
      <c r="J600" s="4">
        <v>42948.0</v>
      </c>
      <c r="K600" s="1">
        <v>100.0</v>
      </c>
      <c r="L600" s="1">
        <v>100.0</v>
      </c>
      <c r="M600" s="1">
        <v>1319.0</v>
      </c>
      <c r="N600" s="6" t="str">
        <f t="shared" ref="N600:N605" si="6">F600 &amp; "🐸"</f>
        <v>Japanese Rarepepe🐸</v>
      </c>
      <c r="P600" s="6" t="str">
        <f>VLOOKUP(D600,'シート2'!A:B, 2, 0)</f>
        <v>@x0xb0x1</v>
      </c>
    </row>
    <row r="601">
      <c r="A601" s="1" t="s">
        <v>1372</v>
      </c>
      <c r="B601" s="3" t="s">
        <v>1373</v>
      </c>
      <c r="C601" s="1" t="s">
        <v>16</v>
      </c>
      <c r="D601" s="1" t="s">
        <v>186</v>
      </c>
      <c r="E601" s="1" t="s">
        <v>625</v>
      </c>
      <c r="F601" s="1" t="str">
        <f>IFERROR(__xludf.DUMMYFUNCTION("SPLIT(E601,""&gt;"")"),"Japanese Rarepepe")</f>
        <v>Japanese Rarepepe</v>
      </c>
      <c r="G601" s="1" t="str">
        <f>IFERROR(__xludf.DUMMYFUNCTION("""COMPUTED_VALUE"""),"Series 08")</f>
        <v>Series 08</v>
      </c>
      <c r="H601" s="1" t="s">
        <v>186</v>
      </c>
      <c r="I601" s="1" t="s">
        <v>622</v>
      </c>
      <c r="J601" s="4">
        <v>42675.0</v>
      </c>
      <c r="K601" s="1">
        <v>100.0</v>
      </c>
      <c r="L601" s="1">
        <v>100.0</v>
      </c>
      <c r="M601" s="1">
        <v>377.0</v>
      </c>
      <c r="N601" s="6" t="str">
        <f t="shared" si="6"/>
        <v>Japanese Rarepepe🐸</v>
      </c>
      <c r="P601" s="6" t="str">
        <f>VLOOKUP(D601,'シート2'!A:B, 2, 0)</f>
        <v>@x0xb0x1</v>
      </c>
    </row>
    <row r="602">
      <c r="A602" s="1" t="s">
        <v>1374</v>
      </c>
      <c r="B602" s="3" t="s">
        <v>1375</v>
      </c>
      <c r="C602" s="1" t="s">
        <v>16</v>
      </c>
      <c r="D602" s="1" t="s">
        <v>186</v>
      </c>
      <c r="E602" s="1" t="s">
        <v>632</v>
      </c>
      <c r="F602" s="1" t="str">
        <f>IFERROR(__xludf.DUMMYFUNCTION("SPLIT(E602,""&gt;"")"),"Japanese Rarepepe")</f>
        <v>Japanese Rarepepe</v>
      </c>
      <c r="G602" s="1" t="str">
        <f>IFERROR(__xludf.DUMMYFUNCTION("""COMPUTED_VALUE"""),"Series 09")</f>
        <v>Series 09</v>
      </c>
      <c r="H602" s="1" t="s">
        <v>186</v>
      </c>
      <c r="I602" s="1" t="s">
        <v>622</v>
      </c>
      <c r="J602" s="4">
        <v>42675.0</v>
      </c>
      <c r="K602" s="1">
        <v>100.0</v>
      </c>
      <c r="L602" s="1">
        <v>100.0</v>
      </c>
      <c r="M602" s="1">
        <v>404.0</v>
      </c>
      <c r="N602" s="6" t="str">
        <f t="shared" si="6"/>
        <v>Japanese Rarepepe🐸</v>
      </c>
      <c r="P602" s="6" t="str">
        <f>VLOOKUP(D602,'シート2'!A:B, 2, 0)</f>
        <v>@x0xb0x1</v>
      </c>
    </row>
    <row r="603">
      <c r="A603" s="1" t="s">
        <v>1376</v>
      </c>
      <c r="B603" s="3" t="s">
        <v>1377</v>
      </c>
      <c r="C603" s="1" t="s">
        <v>16</v>
      </c>
      <c r="D603" s="1" t="s">
        <v>186</v>
      </c>
      <c r="E603" s="1" t="s">
        <v>632</v>
      </c>
      <c r="F603" s="1" t="str">
        <f>IFERROR(__xludf.DUMMYFUNCTION("SPLIT(E603,""&gt;"")"),"Japanese Rarepepe")</f>
        <v>Japanese Rarepepe</v>
      </c>
      <c r="G603" s="1" t="str">
        <f>IFERROR(__xludf.DUMMYFUNCTION("""COMPUTED_VALUE"""),"Series 09")</f>
        <v>Series 09</v>
      </c>
      <c r="H603" s="1" t="s">
        <v>186</v>
      </c>
      <c r="I603" s="1" t="s">
        <v>636</v>
      </c>
      <c r="J603" s="4">
        <v>42705.0</v>
      </c>
      <c r="K603" s="1">
        <v>100.0</v>
      </c>
      <c r="L603" s="1">
        <v>100.0</v>
      </c>
      <c r="M603" s="1">
        <v>415.0</v>
      </c>
      <c r="N603" s="6" t="str">
        <f t="shared" si="6"/>
        <v>Japanese Rarepepe🐸</v>
      </c>
      <c r="P603" s="6" t="str">
        <f>VLOOKUP(D603,'シート2'!A:B, 2, 0)</f>
        <v>@x0xb0x1</v>
      </c>
    </row>
    <row r="604">
      <c r="A604" s="1" t="s">
        <v>1378</v>
      </c>
      <c r="B604" s="3" t="s">
        <v>1379</v>
      </c>
      <c r="C604" s="1" t="s">
        <v>16</v>
      </c>
      <c r="D604" s="1" t="s">
        <v>186</v>
      </c>
      <c r="E604" s="1" t="s">
        <v>578</v>
      </c>
      <c r="F604" s="1" t="str">
        <f>IFERROR(__xludf.DUMMYFUNCTION("SPLIT(E604,""&gt;"")"),"Japanese Rarepepe")</f>
        <v>Japanese Rarepepe</v>
      </c>
      <c r="G604" s="1" t="str">
        <f>IFERROR(__xludf.DUMMYFUNCTION("""COMPUTED_VALUE"""),"Series 21")</f>
        <v>Series 21</v>
      </c>
      <c r="H604" s="1" t="s">
        <v>186</v>
      </c>
      <c r="I604" s="1" t="s">
        <v>288</v>
      </c>
      <c r="J604" s="4">
        <v>42917.0</v>
      </c>
      <c r="K604" s="1">
        <v>500.0</v>
      </c>
      <c r="L604" s="1">
        <v>500.0</v>
      </c>
      <c r="M604" s="1">
        <v>1035.0</v>
      </c>
      <c r="N604" s="6" t="str">
        <f t="shared" si="6"/>
        <v>Japanese Rarepepe🐸</v>
      </c>
      <c r="P604" s="6" t="str">
        <f>VLOOKUP(D604,'シート2'!A:B, 2, 0)</f>
        <v>@x0xb0x1</v>
      </c>
    </row>
    <row r="605">
      <c r="A605" s="1" t="s">
        <v>1380</v>
      </c>
      <c r="B605" s="3" t="s">
        <v>1381</v>
      </c>
      <c r="C605" s="1" t="s">
        <v>16</v>
      </c>
      <c r="D605" s="1" t="s">
        <v>186</v>
      </c>
      <c r="E605" s="1" t="s">
        <v>604</v>
      </c>
      <c r="F605" s="1" t="str">
        <f>IFERROR(__xludf.DUMMYFUNCTION("SPLIT(E605,""&gt;"")"),"Japanese Rarepepe")</f>
        <v>Japanese Rarepepe</v>
      </c>
      <c r="G605" s="1" t="str">
        <f>IFERROR(__xludf.DUMMYFUNCTION("""COMPUTED_VALUE"""),"Series 29")</f>
        <v>Series 29</v>
      </c>
      <c r="H605" s="1" t="s">
        <v>186</v>
      </c>
      <c r="I605" s="1" t="s">
        <v>545</v>
      </c>
      <c r="J605" s="4">
        <v>42979.0</v>
      </c>
      <c r="K605" s="1">
        <v>100.0</v>
      </c>
      <c r="L605" s="1">
        <v>100.0</v>
      </c>
      <c r="M605" s="1">
        <v>1411.0</v>
      </c>
      <c r="N605" s="6" t="str">
        <f t="shared" si="6"/>
        <v>Japanese Rarepepe🐸</v>
      </c>
      <c r="P605" s="6" t="str">
        <f>VLOOKUP(D605,'シート2'!A:B, 2, 0)</f>
        <v>@x0xb0x1</v>
      </c>
    </row>
    <row r="606">
      <c r="A606" s="1" t="s">
        <v>1382</v>
      </c>
      <c r="B606" s="3" t="s">
        <v>1383</v>
      </c>
      <c r="C606" s="1" t="s">
        <v>16</v>
      </c>
      <c r="D606" s="1" t="s">
        <v>1384</v>
      </c>
      <c r="E606" s="1" t="s">
        <v>1385</v>
      </c>
      <c r="F606" s="1" t="str">
        <f>IFERROR(__xludf.DUMMYFUNCTION("SPLIT(E606,""&gt;"")"),"Japanese SoG")</f>
        <v>Japanese SoG</v>
      </c>
      <c r="G606" s="1"/>
      <c r="H606" s="1" t="s">
        <v>1384</v>
      </c>
      <c r="I606" s="1" t="s">
        <v>1386</v>
      </c>
      <c r="J606" s="4">
        <v>42278.0</v>
      </c>
      <c r="K606" s="1">
        <v>1000.0</v>
      </c>
      <c r="L606" s="1">
        <v>1000.0</v>
      </c>
      <c r="M606" s="1" t="s">
        <v>1387</v>
      </c>
      <c r="N606" s="5" t="s">
        <v>1385</v>
      </c>
      <c r="P606" s="6" t="str">
        <f>VLOOKUP(D606,'シート2'!A:B, 2, 0)</f>
        <v>@SpellsofGenesis</v>
      </c>
    </row>
    <row r="607">
      <c r="A607" s="1" t="s">
        <v>1388</v>
      </c>
      <c r="B607" s="3" t="s">
        <v>1389</v>
      </c>
      <c r="C607" s="1" t="s">
        <v>16</v>
      </c>
      <c r="D607" s="1" t="s">
        <v>1390</v>
      </c>
      <c r="E607" s="1" t="s">
        <v>1391</v>
      </c>
      <c r="F607" s="1" t="str">
        <f>IFERROR(__xludf.DUMMYFUNCTION("SPLIT(E607,""&gt;"")"),"Japanese Rarepepe")</f>
        <v>Japanese Rarepepe</v>
      </c>
      <c r="G607" s="1" t="str">
        <f>IFERROR(__xludf.DUMMYFUNCTION("""COMPUTED_VALUE"""),"Series 01")</f>
        <v>Series 01</v>
      </c>
      <c r="H607" s="1" t="s">
        <v>1390</v>
      </c>
      <c r="I607" s="1" t="s">
        <v>1392</v>
      </c>
      <c r="J607" s="4">
        <v>42614.0</v>
      </c>
      <c r="K607" s="1">
        <v>1000.0</v>
      </c>
      <c r="L607" s="1">
        <v>1000.0</v>
      </c>
      <c r="M607" s="1">
        <v>17.0</v>
      </c>
      <c r="N607" s="6" t="str">
        <f>F607 &amp; "🐸"</f>
        <v>Japanese Rarepepe🐸</v>
      </c>
      <c r="P607" s="6" t="str">
        <f>VLOOKUP(D607,'シート2'!A:B, 2, 0)</f>
        <v>@ayaLAN</v>
      </c>
    </row>
    <row r="608">
      <c r="A608" s="1" t="s">
        <v>1393</v>
      </c>
      <c r="B608" s="3" t="s">
        <v>1394</v>
      </c>
      <c r="C608" s="1" t="s">
        <v>16</v>
      </c>
      <c r="D608" s="1" t="s">
        <v>1384</v>
      </c>
      <c r="E608" s="1" t="s">
        <v>1385</v>
      </c>
      <c r="F608" s="1" t="str">
        <f>IFERROR(__xludf.DUMMYFUNCTION("SPLIT(E608,""&gt;"")"),"Japanese SoG")</f>
        <v>Japanese SoG</v>
      </c>
      <c r="G608" s="1"/>
      <c r="H608" s="1" t="s">
        <v>1384</v>
      </c>
      <c r="I608" s="1" t="s">
        <v>1395</v>
      </c>
      <c r="J608" s="4">
        <v>42186.0</v>
      </c>
      <c r="K608" s="1">
        <v>1000.0</v>
      </c>
      <c r="L608" s="1">
        <v>997.0</v>
      </c>
      <c r="M608" s="1" t="s">
        <v>1387</v>
      </c>
      <c r="N608" s="5" t="s">
        <v>1385</v>
      </c>
      <c r="P608" s="6" t="str">
        <f>VLOOKUP(D608,'シート2'!A:B, 2, 0)</f>
        <v>@SpellsofGenesis</v>
      </c>
    </row>
    <row r="609">
      <c r="A609" s="1" t="s">
        <v>1396</v>
      </c>
      <c r="B609" s="3" t="s">
        <v>1397</v>
      </c>
      <c r="C609" s="1" t="s">
        <v>16</v>
      </c>
      <c r="D609" s="1" t="s">
        <v>1384</v>
      </c>
      <c r="E609" s="1" t="s">
        <v>1385</v>
      </c>
      <c r="F609" s="1" t="str">
        <f>IFERROR(__xludf.DUMMYFUNCTION("SPLIT(E609,""&gt;"")"),"Japanese SoG")</f>
        <v>Japanese SoG</v>
      </c>
      <c r="G609" s="1"/>
      <c r="H609" s="1" t="s">
        <v>1384</v>
      </c>
      <c r="I609" s="1" t="s">
        <v>1395</v>
      </c>
      <c r="J609" s="4">
        <v>42186.0</v>
      </c>
      <c r="K609" s="1">
        <v>1000.0</v>
      </c>
      <c r="L609" s="1">
        <v>997.0</v>
      </c>
      <c r="M609" s="1" t="s">
        <v>1387</v>
      </c>
      <c r="N609" s="5" t="s">
        <v>1385</v>
      </c>
      <c r="P609" s="6" t="str">
        <f>VLOOKUP(D609,'シート2'!A:B, 2, 0)</f>
        <v>@SpellsofGenesis</v>
      </c>
    </row>
    <row r="610">
      <c r="A610" s="1" t="s">
        <v>1398</v>
      </c>
      <c r="B610" s="3" t="s">
        <v>1399</v>
      </c>
      <c r="C610" s="1" t="s">
        <v>16</v>
      </c>
      <c r="D610" s="1" t="s">
        <v>1384</v>
      </c>
      <c r="E610" s="1" t="s">
        <v>1385</v>
      </c>
      <c r="F610" s="1" t="str">
        <f>IFERROR(__xludf.DUMMYFUNCTION("SPLIT(E610,""&gt;"")"),"Japanese SoG")</f>
        <v>Japanese SoG</v>
      </c>
      <c r="G610" s="1"/>
      <c r="H610" s="1" t="s">
        <v>1384</v>
      </c>
      <c r="I610" s="1" t="s">
        <v>1400</v>
      </c>
      <c r="J610" s="4">
        <v>42491.0</v>
      </c>
      <c r="K610" s="1">
        <v>300.0</v>
      </c>
      <c r="L610" s="1">
        <v>299.0</v>
      </c>
      <c r="M610" s="1" t="s">
        <v>1387</v>
      </c>
      <c r="N610" s="5" t="s">
        <v>1385</v>
      </c>
      <c r="P610" s="6" t="str">
        <f>VLOOKUP(D610,'シート2'!A:B, 2, 0)</f>
        <v>@SpellsofGenesis</v>
      </c>
    </row>
    <row r="611">
      <c r="A611" s="1" t="s">
        <v>1401</v>
      </c>
      <c r="B611" s="3" t="s">
        <v>1402</v>
      </c>
      <c r="C611" s="1" t="s">
        <v>16</v>
      </c>
      <c r="D611" s="1" t="s">
        <v>1384</v>
      </c>
      <c r="E611" s="1" t="s">
        <v>1385</v>
      </c>
      <c r="F611" s="1" t="str">
        <f>IFERROR(__xludf.DUMMYFUNCTION("SPLIT(E611,""&gt;"")"),"Japanese SoG")</f>
        <v>Japanese SoG</v>
      </c>
      <c r="G611" s="1"/>
      <c r="H611" s="1" t="s">
        <v>1384</v>
      </c>
      <c r="I611" s="1" t="s">
        <v>715</v>
      </c>
      <c r="J611" s="4">
        <v>42736.0</v>
      </c>
      <c r="K611" s="1">
        <v>2000.0</v>
      </c>
      <c r="L611" s="1">
        <v>2000.0</v>
      </c>
      <c r="M611" s="1" t="s">
        <v>1387</v>
      </c>
      <c r="N611" s="5" t="s">
        <v>1385</v>
      </c>
      <c r="P611" s="6" t="str">
        <f>VLOOKUP(D611,'シート2'!A:B, 2, 0)</f>
        <v>@SpellsofGenesis</v>
      </c>
    </row>
    <row r="612">
      <c r="A612" s="1" t="s">
        <v>1403</v>
      </c>
      <c r="B612" s="3" t="s">
        <v>1404</v>
      </c>
      <c r="C612" s="1" t="s">
        <v>16</v>
      </c>
      <c r="D612" s="1" t="s">
        <v>71</v>
      </c>
      <c r="E612" s="1" t="s">
        <v>612</v>
      </c>
      <c r="F612" s="1" t="str">
        <f>IFERROR(__xludf.DUMMYFUNCTION("SPLIT(E612,""&gt;"")"),"Japanese Rarepepe")</f>
        <v>Japanese Rarepepe</v>
      </c>
      <c r="G612" s="1" t="str">
        <f>IFERROR(__xludf.DUMMYFUNCTION("""COMPUTED_VALUE"""),"Series 06")</f>
        <v>Series 06</v>
      </c>
      <c r="H612" s="1" t="s">
        <v>71</v>
      </c>
      <c r="I612" s="1" t="s">
        <v>609</v>
      </c>
      <c r="J612" s="4">
        <v>42644.0</v>
      </c>
      <c r="K612" s="1">
        <v>499.0</v>
      </c>
      <c r="L612" s="1">
        <v>499.0</v>
      </c>
      <c r="M612" s="1">
        <v>257.0</v>
      </c>
      <c r="N612" s="6" t="str">
        <f t="shared" ref="N612:N637" si="7">F612 &amp; "🐸"</f>
        <v>Japanese Rarepepe🐸</v>
      </c>
      <c r="P612" s="6" t="str">
        <f>VLOOKUP(D612,'シート2'!A:B, 2, 0)</f>
        <v>@DavinciNine</v>
      </c>
    </row>
    <row r="613">
      <c r="A613" s="1" t="s">
        <v>1405</v>
      </c>
      <c r="B613" s="3" t="s">
        <v>1406</v>
      </c>
      <c r="C613" s="1" t="s">
        <v>16</v>
      </c>
      <c r="D613" s="1" t="s">
        <v>1390</v>
      </c>
      <c r="E613" s="1" t="s">
        <v>617</v>
      </c>
      <c r="F613" s="1" t="str">
        <f>IFERROR(__xludf.DUMMYFUNCTION("SPLIT(E613,""&gt;"")"),"Japanese Rarepepe")</f>
        <v>Japanese Rarepepe</v>
      </c>
      <c r="G613" s="1" t="str">
        <f>IFERROR(__xludf.DUMMYFUNCTION("""COMPUTED_VALUE"""),"Series 07")</f>
        <v>Series 07</v>
      </c>
      <c r="H613" s="1" t="s">
        <v>1407</v>
      </c>
      <c r="I613" s="1" t="s">
        <v>609</v>
      </c>
      <c r="J613" s="4">
        <v>42644.0</v>
      </c>
      <c r="K613" s="1">
        <v>250.0</v>
      </c>
      <c r="L613" s="1">
        <v>250.0</v>
      </c>
      <c r="M613" s="1">
        <v>311.0</v>
      </c>
      <c r="N613" s="6" t="str">
        <f t="shared" si="7"/>
        <v>Japanese Rarepepe🐸</v>
      </c>
      <c r="P613" s="6" t="str">
        <f>VLOOKUP(D613,'シート2'!A:B, 2, 0)</f>
        <v>@ayaLAN</v>
      </c>
    </row>
    <row r="614">
      <c r="A614" s="1" t="s">
        <v>1408</v>
      </c>
      <c r="B614" s="3" t="s">
        <v>1409</v>
      </c>
      <c r="C614" s="1" t="s">
        <v>16</v>
      </c>
      <c r="D614" s="1" t="s">
        <v>44</v>
      </c>
      <c r="E614" s="1" t="s">
        <v>781</v>
      </c>
      <c r="F614" s="1" t="str">
        <f>IFERROR(__xludf.DUMMYFUNCTION("SPLIT(E614,""&gt;"")"),"Japanese Rarepepe")</f>
        <v>Japanese Rarepepe</v>
      </c>
      <c r="G614" s="1" t="str">
        <f>IFERROR(__xludf.DUMMYFUNCTION("""COMPUTED_VALUE"""),"Series 32")</f>
        <v>Series 32</v>
      </c>
      <c r="H614" s="1" t="s">
        <v>44</v>
      </c>
      <c r="I614" s="1" t="s">
        <v>817</v>
      </c>
      <c r="J614" s="4">
        <v>43132.0</v>
      </c>
      <c r="K614" s="1">
        <v>114.0</v>
      </c>
      <c r="L614" s="1">
        <v>114.0</v>
      </c>
      <c r="M614" s="1">
        <v>1590.0</v>
      </c>
      <c r="N614" s="6" t="str">
        <f t="shared" si="7"/>
        <v>Japanese Rarepepe🐸</v>
      </c>
      <c r="P614" s="6" t="str">
        <f>VLOOKUP(D614,'シート2'!A:B, 2, 0)</f>
        <v>Anonymous</v>
      </c>
    </row>
    <row r="615">
      <c r="A615" s="1" t="s">
        <v>1410</v>
      </c>
      <c r="B615" s="3" t="s">
        <v>1411</v>
      </c>
      <c r="C615" s="1" t="s">
        <v>16</v>
      </c>
      <c r="D615" s="1" t="s">
        <v>44</v>
      </c>
      <c r="E615" s="1" t="s">
        <v>816</v>
      </c>
      <c r="F615" s="1" t="str">
        <f>IFERROR(__xludf.DUMMYFUNCTION("SPLIT(E615,""&gt;"")"),"Japanese Rarepepe")</f>
        <v>Japanese Rarepepe</v>
      </c>
      <c r="G615" s="1" t="str">
        <f>IFERROR(__xludf.DUMMYFUNCTION("""COMPUTED_VALUE"""),"Series 33")</f>
        <v>Series 33</v>
      </c>
      <c r="H615" s="1" t="s">
        <v>44</v>
      </c>
      <c r="I615" s="1" t="s">
        <v>817</v>
      </c>
      <c r="J615" s="4">
        <v>43132.0</v>
      </c>
      <c r="K615" s="1">
        <v>114.0</v>
      </c>
      <c r="L615" s="1">
        <v>114.0</v>
      </c>
      <c r="M615" s="1">
        <v>1608.0</v>
      </c>
      <c r="N615" s="6" t="str">
        <f t="shared" si="7"/>
        <v>Japanese Rarepepe🐸</v>
      </c>
      <c r="P615" s="6" t="str">
        <f>VLOOKUP(D615,'シート2'!A:B, 2, 0)</f>
        <v>Anonymous</v>
      </c>
    </row>
    <row r="616">
      <c r="A616" s="1" t="s">
        <v>1412</v>
      </c>
      <c r="B616" s="3" t="s">
        <v>1413</v>
      </c>
      <c r="C616" s="1" t="s">
        <v>16</v>
      </c>
      <c r="D616" s="1" t="s">
        <v>44</v>
      </c>
      <c r="E616" s="1" t="s">
        <v>921</v>
      </c>
      <c r="F616" s="1" t="str">
        <f>IFERROR(__xludf.DUMMYFUNCTION("SPLIT(E616,""&gt;"")"),"Japanese Rarepepe")</f>
        <v>Japanese Rarepepe</v>
      </c>
      <c r="G616" s="1" t="str">
        <f>IFERROR(__xludf.DUMMYFUNCTION("""COMPUTED_VALUE"""),"Series 34")</f>
        <v>Series 34</v>
      </c>
      <c r="H616" s="1" t="s">
        <v>44</v>
      </c>
      <c r="I616" s="1" t="s">
        <v>823</v>
      </c>
      <c r="J616" s="4">
        <v>43160.0</v>
      </c>
      <c r="K616" s="1">
        <v>100.0</v>
      </c>
      <c r="L616" s="1">
        <v>100.0</v>
      </c>
      <c r="M616" s="1">
        <v>1695.0</v>
      </c>
      <c r="N616" s="6" t="str">
        <f t="shared" si="7"/>
        <v>Japanese Rarepepe🐸</v>
      </c>
      <c r="P616" s="6" t="str">
        <f>VLOOKUP(D616,'シート2'!A:B, 2, 0)</f>
        <v>Anonymous</v>
      </c>
    </row>
    <row r="617">
      <c r="A617" s="1" t="s">
        <v>1414</v>
      </c>
      <c r="B617" s="3" t="s">
        <v>1415</v>
      </c>
      <c r="C617" s="1" t="s">
        <v>16</v>
      </c>
      <c r="D617" s="1" t="s">
        <v>44</v>
      </c>
      <c r="E617" s="1" t="s">
        <v>822</v>
      </c>
      <c r="F617" s="1" t="str">
        <f>IFERROR(__xludf.DUMMYFUNCTION("SPLIT(E617,""&gt;"")"),"Japanese Rarepepe")</f>
        <v>Japanese Rarepepe</v>
      </c>
      <c r="G617" s="1" t="str">
        <f>IFERROR(__xludf.DUMMYFUNCTION("""COMPUTED_VALUE"""),"Series 35")</f>
        <v>Series 35</v>
      </c>
      <c r="H617" s="1" t="s">
        <v>44</v>
      </c>
      <c r="I617" s="1" t="s">
        <v>823</v>
      </c>
      <c r="J617" s="4">
        <v>43160.0</v>
      </c>
      <c r="K617" s="1">
        <v>100.0</v>
      </c>
      <c r="L617" s="1">
        <v>100.0</v>
      </c>
      <c r="M617" s="1">
        <v>1710.0</v>
      </c>
      <c r="N617" s="6" t="str">
        <f t="shared" si="7"/>
        <v>Japanese Rarepepe🐸</v>
      </c>
      <c r="P617" s="6" t="str">
        <f>VLOOKUP(D617,'シート2'!A:B, 2, 0)</f>
        <v>Anonymous</v>
      </c>
    </row>
    <row r="618">
      <c r="A618" s="1" t="s">
        <v>1416</v>
      </c>
      <c r="B618" s="3" t="s">
        <v>1417</v>
      </c>
      <c r="C618" s="1" t="s">
        <v>16</v>
      </c>
      <c r="D618" s="1" t="s">
        <v>1418</v>
      </c>
      <c r="E618" s="1" t="s">
        <v>826</v>
      </c>
      <c r="F618" s="1" t="str">
        <f>IFERROR(__xludf.DUMMYFUNCTION("SPLIT(E618,""&gt;"")"),"Japanese Rarepepe")</f>
        <v>Japanese Rarepepe</v>
      </c>
      <c r="G618" s="1" t="str">
        <f>IFERROR(__xludf.DUMMYFUNCTION("""COMPUTED_VALUE"""),"Series 36")</f>
        <v>Series 36</v>
      </c>
      <c r="H618" s="1" t="s">
        <v>1418</v>
      </c>
      <c r="I618" s="1" t="s">
        <v>823</v>
      </c>
      <c r="J618" s="4">
        <v>43160.0</v>
      </c>
      <c r="K618" s="1">
        <v>100.0</v>
      </c>
      <c r="L618" s="1">
        <v>100.0</v>
      </c>
      <c r="M618" s="1">
        <v>1767.0</v>
      </c>
      <c r="N618" s="6" t="str">
        <f t="shared" si="7"/>
        <v>Japanese Rarepepe🐸</v>
      </c>
      <c r="P618" s="6" t="str">
        <f>VLOOKUP(D618,'シート2'!A:B, 2, 0)</f>
        <v>@tomoyo_ch</v>
      </c>
    </row>
    <row r="619">
      <c r="A619" s="1" t="s">
        <v>1419</v>
      </c>
      <c r="B619" s="3" t="s">
        <v>1420</v>
      </c>
      <c r="C619" s="1" t="s">
        <v>16</v>
      </c>
      <c r="D619" s="1" t="s">
        <v>1421</v>
      </c>
      <c r="E619" s="1" t="s">
        <v>876</v>
      </c>
      <c r="F619" s="1" t="str">
        <f>IFERROR(__xludf.DUMMYFUNCTION("SPLIT(E619,""&gt;"")"),"Japanese Rarepepe")</f>
        <v>Japanese Rarepepe</v>
      </c>
      <c r="G619" s="1" t="str">
        <f>IFERROR(__xludf.DUMMYFUNCTION("""COMPUTED_VALUE"""),"Series 28")</f>
        <v>Series 28</v>
      </c>
      <c r="H619" s="1" t="s">
        <v>1421</v>
      </c>
      <c r="I619" s="1" t="s">
        <v>545</v>
      </c>
      <c r="J619" s="4">
        <v>42979.0</v>
      </c>
      <c r="K619" s="1">
        <v>200.0</v>
      </c>
      <c r="L619" s="1">
        <v>200.0</v>
      </c>
      <c r="M619" s="1">
        <v>1362.0</v>
      </c>
      <c r="N619" s="6" t="str">
        <f t="shared" si="7"/>
        <v>Japanese Rarepepe🐸</v>
      </c>
      <c r="P619" s="6" t="str">
        <f>VLOOKUP(D619,'シート2'!A:B, 2, 0)</f>
        <v>@masia02</v>
      </c>
    </row>
    <row r="620">
      <c r="A620" s="1" t="s">
        <v>1422</v>
      </c>
      <c r="B620" s="3" t="s">
        <v>1423</v>
      </c>
      <c r="C620" s="1" t="s">
        <v>16</v>
      </c>
      <c r="D620" s="1" t="s">
        <v>607</v>
      </c>
      <c r="E620" s="1" t="s">
        <v>617</v>
      </c>
      <c r="F620" s="1" t="str">
        <f>IFERROR(__xludf.DUMMYFUNCTION("SPLIT(E620,""&gt;"")"),"Japanese Rarepepe")</f>
        <v>Japanese Rarepepe</v>
      </c>
      <c r="G620" s="1" t="str">
        <f>IFERROR(__xludf.DUMMYFUNCTION("""COMPUTED_VALUE"""),"Series 07")</f>
        <v>Series 07</v>
      </c>
      <c r="H620" s="1" t="s">
        <v>607</v>
      </c>
      <c r="I620" s="1" t="s">
        <v>622</v>
      </c>
      <c r="J620" s="4">
        <v>42675.0</v>
      </c>
      <c r="K620" s="1">
        <v>1000.0</v>
      </c>
      <c r="L620" s="1">
        <v>543.0</v>
      </c>
      <c r="M620" s="1">
        <v>344.0</v>
      </c>
      <c r="N620" s="6" t="str">
        <f t="shared" si="7"/>
        <v>Japanese Rarepepe🐸</v>
      </c>
      <c r="P620" s="6" t="str">
        <f>VLOOKUP(D620,'シート2'!A:B, 2, 0)</f>
        <v>@Coin_and_Peace</v>
      </c>
    </row>
    <row r="621">
      <c r="A621" s="1" t="s">
        <v>1424</v>
      </c>
      <c r="B621" s="3" t="s">
        <v>1425</v>
      </c>
      <c r="C621" s="1" t="s">
        <v>16</v>
      </c>
      <c r="D621" s="1" t="s">
        <v>607</v>
      </c>
      <c r="E621" s="1" t="s">
        <v>669</v>
      </c>
      <c r="F621" s="1" t="str">
        <f>IFERROR(__xludf.DUMMYFUNCTION("SPLIT(E621,""&gt;"")"),"Japanese Rarepepe")</f>
        <v>Japanese Rarepepe</v>
      </c>
      <c r="G621" s="1" t="str">
        <f>IFERROR(__xludf.DUMMYFUNCTION("""COMPUTED_VALUE"""),"Series 13")</f>
        <v>Series 13</v>
      </c>
      <c r="H621" s="1" t="s">
        <v>607</v>
      </c>
      <c r="I621" s="1" t="s">
        <v>666</v>
      </c>
      <c r="J621" s="4">
        <v>42767.0</v>
      </c>
      <c r="K621" s="1">
        <v>1000.0</v>
      </c>
      <c r="L621" s="1">
        <v>1000.0</v>
      </c>
      <c r="M621" s="1">
        <v>619.0</v>
      </c>
      <c r="N621" s="6" t="str">
        <f t="shared" si="7"/>
        <v>Japanese Rarepepe🐸</v>
      </c>
      <c r="P621" s="6" t="str">
        <f>VLOOKUP(D621,'シート2'!A:B, 2, 0)</f>
        <v>@Coin_and_Peace</v>
      </c>
    </row>
    <row r="622">
      <c r="A622" s="1" t="s">
        <v>1426</v>
      </c>
      <c r="B622" s="3" t="s">
        <v>1427</v>
      </c>
      <c r="C622" s="1" t="s">
        <v>16</v>
      </c>
      <c r="D622" s="1" t="s">
        <v>44</v>
      </c>
      <c r="E622" s="1" t="s">
        <v>669</v>
      </c>
      <c r="F622" s="1" t="str">
        <f>IFERROR(__xludf.DUMMYFUNCTION("SPLIT(E622,""&gt;"")"),"Japanese Rarepepe")</f>
        <v>Japanese Rarepepe</v>
      </c>
      <c r="G622" s="1" t="str">
        <f>IFERROR(__xludf.DUMMYFUNCTION("""COMPUTED_VALUE"""),"Series 13")</f>
        <v>Series 13</v>
      </c>
      <c r="H622" s="1" t="s">
        <v>44</v>
      </c>
      <c r="I622" s="1" t="s">
        <v>666</v>
      </c>
      <c r="J622" s="4">
        <v>42767.0</v>
      </c>
      <c r="K622" s="1">
        <v>100.0</v>
      </c>
      <c r="L622" s="1">
        <v>100.0</v>
      </c>
      <c r="M622" s="1">
        <v>626.0</v>
      </c>
      <c r="N622" s="6" t="str">
        <f t="shared" si="7"/>
        <v>Japanese Rarepepe🐸</v>
      </c>
      <c r="P622" s="6" t="str">
        <f>VLOOKUP(D622,'シート2'!A:B, 2, 0)</f>
        <v>Anonymous</v>
      </c>
    </row>
    <row r="623">
      <c r="A623" s="1" t="s">
        <v>1428</v>
      </c>
      <c r="B623" s="3" t="s">
        <v>1429</v>
      </c>
      <c r="C623" s="1" t="s">
        <v>16</v>
      </c>
      <c r="D623" s="1" t="s">
        <v>44</v>
      </c>
      <c r="E623" s="1" t="s">
        <v>669</v>
      </c>
      <c r="F623" s="1" t="str">
        <f>IFERROR(__xludf.DUMMYFUNCTION("SPLIT(E623,""&gt;"")"),"Japanese Rarepepe")</f>
        <v>Japanese Rarepepe</v>
      </c>
      <c r="G623" s="1" t="str">
        <f>IFERROR(__xludf.DUMMYFUNCTION("""COMPUTED_VALUE"""),"Series 13")</f>
        <v>Series 13</v>
      </c>
      <c r="H623" s="1" t="s">
        <v>44</v>
      </c>
      <c r="I623" s="1" t="s">
        <v>666</v>
      </c>
      <c r="J623" s="4">
        <v>42767.0</v>
      </c>
      <c r="K623" s="1">
        <v>142.0</v>
      </c>
      <c r="L623" s="1">
        <v>142.0</v>
      </c>
      <c r="M623" s="1">
        <v>649.0</v>
      </c>
      <c r="N623" s="6" t="str">
        <f t="shared" si="7"/>
        <v>Japanese Rarepepe🐸</v>
      </c>
      <c r="P623" s="6" t="str">
        <f>VLOOKUP(D623,'シート2'!A:B, 2, 0)</f>
        <v>Anonymous</v>
      </c>
    </row>
    <row r="624">
      <c r="A624" s="1" t="s">
        <v>1430</v>
      </c>
      <c r="B624" s="3" t="s">
        <v>1431</v>
      </c>
      <c r="C624" s="1" t="s">
        <v>16</v>
      </c>
      <c r="D624" s="1" t="s">
        <v>1432</v>
      </c>
      <c r="E624" s="1" t="s">
        <v>608</v>
      </c>
      <c r="F624" s="1" t="str">
        <f>IFERROR(__xludf.DUMMYFUNCTION("SPLIT(E624,""&gt;"")"),"Japanese Rarepepe")</f>
        <v>Japanese Rarepepe</v>
      </c>
      <c r="G624" s="1" t="str">
        <f>IFERROR(__xludf.DUMMYFUNCTION("""COMPUTED_VALUE"""),"Series 05")</f>
        <v>Series 05</v>
      </c>
      <c r="H624" s="1" t="s">
        <v>1432</v>
      </c>
      <c r="I624" s="1" t="s">
        <v>609</v>
      </c>
      <c r="J624" s="4">
        <v>42644.0</v>
      </c>
      <c r="K624" s="1">
        <v>305.0</v>
      </c>
      <c r="L624" s="1">
        <v>255.0</v>
      </c>
      <c r="M624" s="1">
        <v>236.0</v>
      </c>
      <c r="N624" s="6" t="str">
        <f t="shared" si="7"/>
        <v>Japanese Rarepepe🐸</v>
      </c>
      <c r="P624" s="6" t="str">
        <f>VLOOKUP(D624,'シート2'!A:B, 2, 0)</f>
        <v>タヌ神</v>
      </c>
    </row>
    <row r="625">
      <c r="A625" s="1" t="s">
        <v>1433</v>
      </c>
      <c r="B625" s="3" t="s">
        <v>1434</v>
      </c>
      <c r="C625" s="1" t="s">
        <v>16</v>
      </c>
      <c r="D625" s="1" t="s">
        <v>1432</v>
      </c>
      <c r="E625" s="1" t="s">
        <v>1435</v>
      </c>
      <c r="F625" s="1" t="str">
        <f>IFERROR(__xludf.DUMMYFUNCTION("SPLIT(E625,""&gt;"")"),"Japanese Rarepepe")</f>
        <v>Japanese Rarepepe</v>
      </c>
      <c r="G625" s="1" t="str">
        <f>IFERROR(__xludf.DUMMYFUNCTION("""COMPUTED_VALUE"""),"Series 15")</f>
        <v>Series 15</v>
      </c>
      <c r="H625" s="1" t="s">
        <v>1432</v>
      </c>
      <c r="I625" s="1" t="s">
        <v>590</v>
      </c>
      <c r="J625" s="4">
        <v>42795.0</v>
      </c>
      <c r="K625" s="1">
        <v>500.0</v>
      </c>
      <c r="L625" s="1">
        <v>250.0</v>
      </c>
      <c r="M625" s="1">
        <v>719.0</v>
      </c>
      <c r="N625" s="6" t="str">
        <f t="shared" si="7"/>
        <v>Japanese Rarepepe🐸</v>
      </c>
      <c r="P625" s="6" t="str">
        <f>VLOOKUP(D625,'シート2'!A:B, 2, 0)</f>
        <v>タヌ神</v>
      </c>
    </row>
    <row r="626">
      <c r="A626" s="1" t="s">
        <v>1436</v>
      </c>
      <c r="B626" s="3" t="s">
        <v>1437</v>
      </c>
      <c r="C626" s="1" t="s">
        <v>16</v>
      </c>
      <c r="D626" s="1" t="s">
        <v>1438</v>
      </c>
      <c r="E626" s="1" t="s">
        <v>596</v>
      </c>
      <c r="F626" s="1" t="str">
        <f>IFERROR(__xludf.DUMMYFUNCTION("SPLIT(E626,""&gt;"")"),"Japanese Rarepepe")</f>
        <v>Japanese Rarepepe</v>
      </c>
      <c r="G626" s="1" t="str">
        <f>IFERROR(__xludf.DUMMYFUNCTION("""COMPUTED_VALUE"""),"Series 26")</f>
        <v>Series 26</v>
      </c>
      <c r="H626" s="1" t="s">
        <v>1438</v>
      </c>
      <c r="I626" s="1" t="s">
        <v>395</v>
      </c>
      <c r="J626" s="4">
        <v>42948.0</v>
      </c>
      <c r="K626" s="1">
        <v>100.0</v>
      </c>
      <c r="L626" s="1">
        <v>100.0</v>
      </c>
      <c r="M626" s="1">
        <v>1285.0</v>
      </c>
      <c r="N626" s="6" t="str">
        <f t="shared" si="7"/>
        <v>Japanese Rarepepe🐸</v>
      </c>
      <c r="P626" s="6" t="str">
        <f>VLOOKUP(D626,'シート2'!A:B, 2, 0)</f>
        <v>@NoraMyao</v>
      </c>
    </row>
    <row r="627">
      <c r="A627" s="1" t="s">
        <v>1439</v>
      </c>
      <c r="B627" s="3" t="s">
        <v>1440</v>
      </c>
      <c r="C627" s="1" t="s">
        <v>16</v>
      </c>
      <c r="D627" s="1" t="s">
        <v>1438</v>
      </c>
      <c r="E627" s="1" t="s">
        <v>604</v>
      </c>
      <c r="F627" s="1" t="str">
        <f>IFERROR(__xludf.DUMMYFUNCTION("SPLIT(E627,""&gt;"")"),"Japanese Rarepepe")</f>
        <v>Japanese Rarepepe</v>
      </c>
      <c r="G627" s="1" t="str">
        <f>IFERROR(__xludf.DUMMYFUNCTION("""COMPUTED_VALUE"""),"Series 29")</f>
        <v>Series 29</v>
      </c>
      <c r="H627" s="1" t="s">
        <v>1438</v>
      </c>
      <c r="I627" s="1" t="s">
        <v>545</v>
      </c>
      <c r="J627" s="4">
        <v>42979.0</v>
      </c>
      <c r="K627" s="1">
        <v>100.0</v>
      </c>
      <c r="L627" s="1">
        <v>100.0</v>
      </c>
      <c r="M627" s="1">
        <v>1439.0</v>
      </c>
      <c r="N627" s="6" t="str">
        <f t="shared" si="7"/>
        <v>Japanese Rarepepe🐸</v>
      </c>
      <c r="P627" s="6" t="str">
        <f>VLOOKUP(D627,'シート2'!A:B, 2, 0)</f>
        <v>@NoraMyao</v>
      </c>
    </row>
    <row r="628">
      <c r="A628" s="1" t="s">
        <v>1441</v>
      </c>
      <c r="B628" s="3" t="s">
        <v>1442</v>
      </c>
      <c r="C628" s="1" t="s">
        <v>16</v>
      </c>
      <c r="D628" s="1" t="s">
        <v>1438</v>
      </c>
      <c r="E628" s="1" t="s">
        <v>604</v>
      </c>
      <c r="F628" s="1" t="str">
        <f>IFERROR(__xludf.DUMMYFUNCTION("SPLIT(E628,""&gt;"")"),"Japanese Rarepepe")</f>
        <v>Japanese Rarepepe</v>
      </c>
      <c r="G628" s="1" t="str">
        <f>IFERROR(__xludf.DUMMYFUNCTION("""COMPUTED_VALUE"""),"Series 29")</f>
        <v>Series 29</v>
      </c>
      <c r="H628" s="1" t="s">
        <v>1438</v>
      </c>
      <c r="I628" s="1" t="s">
        <v>545</v>
      </c>
      <c r="J628" s="4">
        <v>42979.0</v>
      </c>
      <c r="K628" s="1">
        <v>100.0</v>
      </c>
      <c r="L628" s="1">
        <v>100.0</v>
      </c>
      <c r="M628" s="1">
        <v>1404.0</v>
      </c>
      <c r="N628" s="6" t="str">
        <f t="shared" si="7"/>
        <v>Japanese Rarepepe🐸</v>
      </c>
      <c r="P628" s="6" t="str">
        <f>VLOOKUP(D628,'シート2'!A:B, 2, 0)</f>
        <v>@NoraMyao</v>
      </c>
    </row>
    <row r="629">
      <c r="A629" s="1" t="s">
        <v>1443</v>
      </c>
      <c r="B629" s="3" t="s">
        <v>1444</v>
      </c>
      <c r="C629" s="1" t="s">
        <v>16</v>
      </c>
      <c r="D629" s="1" t="s">
        <v>1438</v>
      </c>
      <c r="E629" s="1" t="s">
        <v>876</v>
      </c>
      <c r="F629" s="1" t="str">
        <f>IFERROR(__xludf.DUMMYFUNCTION("SPLIT(E629,""&gt;"")"),"Japanese Rarepepe")</f>
        <v>Japanese Rarepepe</v>
      </c>
      <c r="G629" s="1" t="str">
        <f>IFERROR(__xludf.DUMMYFUNCTION("""COMPUTED_VALUE"""),"Series 28")</f>
        <v>Series 28</v>
      </c>
      <c r="H629" s="1" t="s">
        <v>1438</v>
      </c>
      <c r="I629" s="1" t="s">
        <v>545</v>
      </c>
      <c r="J629" s="4">
        <v>42979.0</v>
      </c>
      <c r="K629" s="1">
        <v>100.0</v>
      </c>
      <c r="L629" s="1">
        <v>100.0</v>
      </c>
      <c r="M629" s="1">
        <v>1377.0</v>
      </c>
      <c r="N629" s="6" t="str">
        <f t="shared" si="7"/>
        <v>Japanese Rarepepe🐸</v>
      </c>
      <c r="P629" s="6" t="str">
        <f>VLOOKUP(D629,'シート2'!A:B, 2, 0)</f>
        <v>@NoraMyao</v>
      </c>
    </row>
    <row r="630">
      <c r="A630" s="1" t="s">
        <v>1445</v>
      </c>
      <c r="B630" s="3" t="s">
        <v>1446</v>
      </c>
      <c r="C630" s="1" t="s">
        <v>16</v>
      </c>
      <c r="D630" s="1" t="s">
        <v>1438</v>
      </c>
      <c r="E630" s="1" t="s">
        <v>584</v>
      </c>
      <c r="F630" s="1" t="str">
        <f>IFERROR(__xludf.DUMMYFUNCTION("SPLIT(E630,""&gt;"")"),"Japanese Rarepepe")</f>
        <v>Japanese Rarepepe</v>
      </c>
      <c r="G630" s="1" t="str">
        <f>IFERROR(__xludf.DUMMYFUNCTION("""COMPUTED_VALUE"""),"Series 27")</f>
        <v>Series 27</v>
      </c>
      <c r="H630" s="1" t="s">
        <v>1438</v>
      </c>
      <c r="I630" s="1" t="s">
        <v>395</v>
      </c>
      <c r="J630" s="4">
        <v>42948.0</v>
      </c>
      <c r="K630" s="1">
        <v>100.0</v>
      </c>
      <c r="L630" s="1">
        <v>100.0</v>
      </c>
      <c r="M630" s="1">
        <v>1335.0</v>
      </c>
      <c r="N630" s="6" t="str">
        <f t="shared" si="7"/>
        <v>Japanese Rarepepe🐸</v>
      </c>
      <c r="P630" s="6" t="str">
        <f>VLOOKUP(D630,'シート2'!A:B, 2, 0)</f>
        <v>@NoraMyao</v>
      </c>
    </row>
    <row r="631">
      <c r="A631" s="1" t="s">
        <v>1447</v>
      </c>
      <c r="B631" s="3" t="s">
        <v>1448</v>
      </c>
      <c r="C631" s="1" t="s">
        <v>16</v>
      </c>
      <c r="D631" s="1" t="s">
        <v>1449</v>
      </c>
      <c r="E631" s="1" t="s">
        <v>679</v>
      </c>
      <c r="F631" s="1" t="str">
        <f>IFERROR(__xludf.DUMMYFUNCTION("SPLIT(E631,""&gt;"")"),"Japanese Rarepepe")</f>
        <v>Japanese Rarepepe</v>
      </c>
      <c r="G631" s="1" t="str">
        <f>IFERROR(__xludf.DUMMYFUNCTION("""COMPUTED_VALUE"""),"Series 23")</f>
        <v>Series 23</v>
      </c>
      <c r="H631" s="1" t="s">
        <v>1449</v>
      </c>
      <c r="I631" s="1" t="s">
        <v>288</v>
      </c>
      <c r="J631" s="4">
        <v>42917.0</v>
      </c>
      <c r="K631" s="1">
        <v>777.0</v>
      </c>
      <c r="L631" s="1">
        <v>777.0</v>
      </c>
      <c r="M631" s="1">
        <v>1113.0</v>
      </c>
      <c r="N631" s="6" t="str">
        <f t="shared" si="7"/>
        <v>Japanese Rarepepe🐸</v>
      </c>
      <c r="P631" s="6" t="str">
        <f>VLOOKUP(D631,'シート2'!A:B, 2, 0)</f>
        <v>@_tomocici_</v>
      </c>
    </row>
    <row r="632">
      <c r="A632" s="1" t="s">
        <v>1450</v>
      </c>
      <c r="B632" s="3" t="s">
        <v>1451</v>
      </c>
      <c r="C632" s="1" t="s">
        <v>16</v>
      </c>
      <c r="D632" s="1" t="s">
        <v>1449</v>
      </c>
      <c r="E632" s="1" t="s">
        <v>581</v>
      </c>
      <c r="F632" s="1" t="str">
        <f>IFERROR(__xludf.DUMMYFUNCTION("SPLIT(E632,""&gt;"")"),"Japanese Rarepepe")</f>
        <v>Japanese Rarepepe</v>
      </c>
      <c r="G632" s="1" t="str">
        <f>IFERROR(__xludf.DUMMYFUNCTION("""COMPUTED_VALUE"""),"Series 24")</f>
        <v>Series 24</v>
      </c>
      <c r="H632" s="1" t="s">
        <v>1449</v>
      </c>
      <c r="I632" s="1" t="s">
        <v>288</v>
      </c>
      <c r="J632" s="4">
        <v>42917.0</v>
      </c>
      <c r="K632" s="1">
        <v>100.0</v>
      </c>
      <c r="L632" s="1">
        <v>100.0</v>
      </c>
      <c r="M632" s="1">
        <v>1180.0</v>
      </c>
      <c r="N632" s="6" t="str">
        <f t="shared" si="7"/>
        <v>Japanese Rarepepe🐸</v>
      </c>
      <c r="P632" s="6" t="str">
        <f>VLOOKUP(D632,'シート2'!A:B, 2, 0)</f>
        <v>@_tomocici_</v>
      </c>
    </row>
    <row r="633">
      <c r="A633" s="1" t="s">
        <v>1452</v>
      </c>
      <c r="B633" s="3" t="s">
        <v>1453</v>
      </c>
      <c r="C633" s="1" t="s">
        <v>16</v>
      </c>
      <c r="D633" s="1" t="s">
        <v>1449</v>
      </c>
      <c r="E633" s="1" t="s">
        <v>792</v>
      </c>
      <c r="F633" s="1" t="str">
        <f>IFERROR(__xludf.DUMMYFUNCTION("SPLIT(E633,""&gt;"")"),"Japanese Rarepepe")</f>
        <v>Japanese Rarepepe</v>
      </c>
      <c r="G633" s="1" t="str">
        <f>IFERROR(__xludf.DUMMYFUNCTION("""COMPUTED_VALUE"""),"Series 25")</f>
        <v>Series 25</v>
      </c>
      <c r="H633" s="1" t="s">
        <v>1449</v>
      </c>
      <c r="I633" s="1" t="s">
        <v>395</v>
      </c>
      <c r="J633" s="4">
        <v>42948.0</v>
      </c>
      <c r="K633" s="1">
        <v>100.0</v>
      </c>
      <c r="L633" s="1">
        <v>100.0</v>
      </c>
      <c r="M633" s="1">
        <v>1205.0</v>
      </c>
      <c r="N633" s="6" t="str">
        <f t="shared" si="7"/>
        <v>Japanese Rarepepe🐸</v>
      </c>
      <c r="P633" s="6" t="str">
        <f>VLOOKUP(D633,'シート2'!A:B, 2, 0)</f>
        <v>@_tomocici_</v>
      </c>
    </row>
    <row r="634">
      <c r="A634" s="1" t="s">
        <v>1454</v>
      </c>
      <c r="B634" s="7" t="s">
        <v>1455</v>
      </c>
      <c r="C634" s="1" t="s">
        <v>16</v>
      </c>
      <c r="D634" s="1" t="s">
        <v>1449</v>
      </c>
      <c r="E634" s="1" t="s">
        <v>596</v>
      </c>
      <c r="F634" s="1" t="str">
        <f>IFERROR(__xludf.DUMMYFUNCTION("SPLIT(E634,""&gt;"")"),"Japanese Rarepepe")</f>
        <v>Japanese Rarepepe</v>
      </c>
      <c r="G634" s="1" t="str">
        <f>IFERROR(__xludf.DUMMYFUNCTION("""COMPUTED_VALUE"""),"Series 26")</f>
        <v>Series 26</v>
      </c>
      <c r="H634" s="1" t="s">
        <v>1449</v>
      </c>
      <c r="I634" s="1" t="s">
        <v>395</v>
      </c>
      <c r="J634" s="4">
        <v>42948.0</v>
      </c>
      <c r="K634" s="1">
        <v>100.0</v>
      </c>
      <c r="L634" s="1">
        <v>100.0</v>
      </c>
      <c r="M634" s="1">
        <v>1252.0</v>
      </c>
      <c r="N634" s="6" t="str">
        <f t="shared" si="7"/>
        <v>Japanese Rarepepe🐸</v>
      </c>
      <c r="P634" s="6" t="str">
        <f>VLOOKUP(D634,'シート2'!A:B, 2, 0)</f>
        <v>@_tomocici_</v>
      </c>
    </row>
    <row r="635">
      <c r="A635" s="1" t="s">
        <v>1456</v>
      </c>
      <c r="B635" s="3" t="s">
        <v>1457</v>
      </c>
      <c r="C635" s="1" t="s">
        <v>16</v>
      </c>
      <c r="D635" s="1" t="s">
        <v>1449</v>
      </c>
      <c r="E635" s="1" t="s">
        <v>876</v>
      </c>
      <c r="F635" s="1" t="str">
        <f>IFERROR(__xludf.DUMMYFUNCTION("SPLIT(E635,""&gt;"")"),"Japanese Rarepepe")</f>
        <v>Japanese Rarepepe</v>
      </c>
      <c r="G635" s="1" t="str">
        <f>IFERROR(__xludf.DUMMYFUNCTION("""COMPUTED_VALUE"""),"Series 28")</f>
        <v>Series 28</v>
      </c>
      <c r="H635" s="1" t="s">
        <v>1449</v>
      </c>
      <c r="I635" s="1" t="s">
        <v>545</v>
      </c>
      <c r="J635" s="4">
        <v>42979.0</v>
      </c>
      <c r="K635" s="1">
        <v>100.0</v>
      </c>
      <c r="L635" s="1">
        <v>100.0</v>
      </c>
      <c r="M635" s="1">
        <v>1372.0</v>
      </c>
      <c r="N635" s="6" t="str">
        <f t="shared" si="7"/>
        <v>Japanese Rarepepe🐸</v>
      </c>
      <c r="P635" s="6" t="str">
        <f>VLOOKUP(D635,'シート2'!A:B, 2, 0)</f>
        <v>@_tomocici_</v>
      </c>
    </row>
    <row r="636">
      <c r="A636" s="1" t="s">
        <v>1458</v>
      </c>
      <c r="B636" s="3" t="s">
        <v>1459</v>
      </c>
      <c r="C636" s="1" t="s">
        <v>16</v>
      </c>
      <c r="D636" s="1" t="s">
        <v>1449</v>
      </c>
      <c r="E636" s="1" t="s">
        <v>797</v>
      </c>
      <c r="F636" s="1" t="str">
        <f>IFERROR(__xludf.DUMMYFUNCTION("SPLIT(E636,""&gt;"")"),"Japanese Rarepepe")</f>
        <v>Japanese Rarepepe</v>
      </c>
      <c r="G636" s="1" t="str">
        <f>IFERROR(__xludf.DUMMYFUNCTION("""COMPUTED_VALUE"""),"Series 30")</f>
        <v>Series 30</v>
      </c>
      <c r="H636" s="1" t="s">
        <v>1449</v>
      </c>
      <c r="I636" s="1" t="s">
        <v>853</v>
      </c>
      <c r="J636" s="4">
        <v>43009.0</v>
      </c>
      <c r="K636" s="1">
        <v>100.0</v>
      </c>
      <c r="L636" s="1">
        <v>100.0</v>
      </c>
      <c r="M636" s="1">
        <v>1491.0</v>
      </c>
      <c r="N636" s="6" t="str">
        <f t="shared" si="7"/>
        <v>Japanese Rarepepe🐸</v>
      </c>
      <c r="P636" s="6" t="str">
        <f>VLOOKUP(D636,'シート2'!A:B, 2, 0)</f>
        <v>@_tomocici_</v>
      </c>
    </row>
    <row r="637">
      <c r="A637" s="1" t="s">
        <v>1460</v>
      </c>
      <c r="B637" s="3" t="s">
        <v>1461</v>
      </c>
      <c r="C637" s="1" t="s">
        <v>16</v>
      </c>
      <c r="D637" s="1" t="s">
        <v>44</v>
      </c>
      <c r="E637" s="1" t="s">
        <v>826</v>
      </c>
      <c r="F637" s="1" t="str">
        <f>IFERROR(__xludf.DUMMYFUNCTION("SPLIT(E637,""&gt;"")"),"Japanese Rarepepe")</f>
        <v>Japanese Rarepepe</v>
      </c>
      <c r="G637" s="1" t="str">
        <f>IFERROR(__xludf.DUMMYFUNCTION("""COMPUTED_VALUE"""),"Series 36")</f>
        <v>Series 36</v>
      </c>
      <c r="H637" s="1" t="s">
        <v>44</v>
      </c>
      <c r="I637" s="1" t="s">
        <v>823</v>
      </c>
      <c r="J637" s="4">
        <v>43160.0</v>
      </c>
      <c r="K637" s="1">
        <v>117.0</v>
      </c>
      <c r="L637" s="1">
        <v>117.0</v>
      </c>
      <c r="M637" s="1">
        <v>1751.0</v>
      </c>
      <c r="N637" s="6" t="str">
        <f t="shared" si="7"/>
        <v>Japanese Rarepepe🐸</v>
      </c>
      <c r="P637" s="6" t="str">
        <f>VLOOKUP(D637,'シート2'!A:B, 2, 0)</f>
        <v>Anonymous</v>
      </c>
    </row>
    <row r="638">
      <c r="A638" s="1" t="s">
        <v>1462</v>
      </c>
      <c r="B638" s="3" t="s">
        <v>1463</v>
      </c>
      <c r="C638" s="1" t="s">
        <v>16</v>
      </c>
      <c r="D638" s="1" t="s">
        <v>1384</v>
      </c>
      <c r="E638" s="1" t="s">
        <v>1385</v>
      </c>
      <c r="F638" s="1" t="str">
        <f>IFERROR(__xludf.DUMMYFUNCTION("SPLIT(E638,""&gt;"")"),"Japanese SoG")</f>
        <v>Japanese SoG</v>
      </c>
      <c r="G638" s="1"/>
      <c r="H638" s="1" t="s">
        <v>1384</v>
      </c>
      <c r="I638" s="1" t="s">
        <v>1464</v>
      </c>
      <c r="J638" s="4">
        <v>42370.0</v>
      </c>
      <c r="K638" s="1">
        <v>700.0</v>
      </c>
      <c r="L638" s="1">
        <v>700.0</v>
      </c>
      <c r="M638" s="1" t="s">
        <v>1387</v>
      </c>
      <c r="N638" s="5" t="s">
        <v>1385</v>
      </c>
      <c r="P638" s="6" t="str">
        <f>VLOOKUP(D638,'シート2'!A:B, 2, 0)</f>
        <v>@SpellsofGenesis</v>
      </c>
    </row>
    <row r="639">
      <c r="A639" s="1" t="s">
        <v>1465</v>
      </c>
      <c r="B639" s="3" t="s">
        <v>1466</v>
      </c>
      <c r="C639" s="1" t="s">
        <v>16</v>
      </c>
      <c r="D639" s="1" t="s">
        <v>1384</v>
      </c>
      <c r="E639" s="1" t="s">
        <v>1385</v>
      </c>
      <c r="F639" s="1" t="str">
        <f>IFERROR(__xludf.DUMMYFUNCTION("SPLIT(E639,""&gt;"")"),"Japanese SoG")</f>
        <v>Japanese SoG</v>
      </c>
      <c r="G639" s="1"/>
      <c r="H639" s="1" t="s">
        <v>1384</v>
      </c>
      <c r="I639" s="1" t="s">
        <v>1467</v>
      </c>
      <c r="J639" s="4">
        <v>42430.0</v>
      </c>
      <c r="K639" s="1">
        <v>1600.0</v>
      </c>
      <c r="L639" s="1">
        <v>1600.0</v>
      </c>
      <c r="M639" s="1" t="s">
        <v>1387</v>
      </c>
      <c r="N639" s="5" t="s">
        <v>1385</v>
      </c>
      <c r="P639" s="6" t="str">
        <f>VLOOKUP(D639,'シート2'!A:B, 2, 0)</f>
        <v>@SpellsofGenesis</v>
      </c>
    </row>
    <row r="640">
      <c r="A640" s="1" t="s">
        <v>1468</v>
      </c>
      <c r="B640" s="3" t="s">
        <v>1469</v>
      </c>
      <c r="C640" s="1" t="s">
        <v>16</v>
      </c>
      <c r="D640" s="1" t="s">
        <v>1384</v>
      </c>
      <c r="E640" s="1" t="s">
        <v>1385</v>
      </c>
      <c r="F640" s="1" t="str">
        <f>IFERROR(__xludf.DUMMYFUNCTION("SPLIT(E640,""&gt;"")"),"Japanese SoG")</f>
        <v>Japanese SoG</v>
      </c>
      <c r="G640" s="1"/>
      <c r="H640" s="1" t="s">
        <v>1384</v>
      </c>
      <c r="I640" s="1" t="s">
        <v>1386</v>
      </c>
      <c r="J640" s="4">
        <v>42278.0</v>
      </c>
      <c r="K640" s="1">
        <v>1200.0</v>
      </c>
      <c r="L640" s="1">
        <v>379.0</v>
      </c>
      <c r="M640" s="1" t="s">
        <v>1387</v>
      </c>
      <c r="N640" s="5" t="s">
        <v>1385</v>
      </c>
      <c r="P640" s="6" t="str">
        <f>VLOOKUP(D640,'シート2'!A:B, 2, 0)</f>
        <v>@SpellsofGenesis</v>
      </c>
    </row>
    <row r="641">
      <c r="A641" s="1" t="s">
        <v>1470</v>
      </c>
      <c r="B641" s="3" t="s">
        <v>1471</v>
      </c>
      <c r="C641" s="1" t="s">
        <v>16</v>
      </c>
      <c r="D641" s="1" t="s">
        <v>1384</v>
      </c>
      <c r="E641" s="1" t="s">
        <v>1385</v>
      </c>
      <c r="F641" s="1" t="str">
        <f>IFERROR(__xludf.DUMMYFUNCTION("SPLIT(E641,""&gt;"")"),"Japanese SoG")</f>
        <v>Japanese SoG</v>
      </c>
      <c r="G641" s="1"/>
      <c r="H641" s="1" t="s">
        <v>1384</v>
      </c>
      <c r="I641" s="1" t="s">
        <v>1472</v>
      </c>
      <c r="J641" s="4">
        <v>42339.0</v>
      </c>
      <c r="K641" s="1">
        <v>1200.0</v>
      </c>
      <c r="L641" s="1">
        <v>1200.0</v>
      </c>
      <c r="M641" s="1" t="s">
        <v>1387</v>
      </c>
      <c r="N641" s="5" t="s">
        <v>1385</v>
      </c>
      <c r="P641" s="6" t="str">
        <f>VLOOKUP(D641,'シート2'!A:B, 2, 0)</f>
        <v>@SpellsofGenesis</v>
      </c>
    </row>
    <row r="642">
      <c r="A642" s="1" t="s">
        <v>1252</v>
      </c>
      <c r="B642" s="3" t="s">
        <v>1473</v>
      </c>
      <c r="C642" s="1" t="s">
        <v>16</v>
      </c>
      <c r="D642" s="1" t="s">
        <v>1384</v>
      </c>
      <c r="E642" s="1" t="s">
        <v>1385</v>
      </c>
      <c r="F642" s="1" t="str">
        <f>IFERROR(__xludf.DUMMYFUNCTION("SPLIT(E642,""&gt;"")"),"Japanese SoG")</f>
        <v>Japanese SoG</v>
      </c>
      <c r="G642" s="1"/>
      <c r="H642" s="1" t="s">
        <v>1384</v>
      </c>
      <c r="I642" s="1" t="s">
        <v>666</v>
      </c>
      <c r="J642" s="4">
        <v>42767.0</v>
      </c>
      <c r="K642" s="1">
        <v>1000.0</v>
      </c>
      <c r="L642" s="1">
        <v>500.0</v>
      </c>
      <c r="M642" s="1" t="s">
        <v>1387</v>
      </c>
      <c r="N642" s="5" t="s">
        <v>1385</v>
      </c>
      <c r="P642" s="6" t="str">
        <f>VLOOKUP(D642,'シート2'!A:B, 2, 0)</f>
        <v>@SpellsofGenesis</v>
      </c>
    </row>
    <row r="643">
      <c r="A643" s="1" t="s">
        <v>1130</v>
      </c>
      <c r="B643" s="3" t="s">
        <v>1474</v>
      </c>
      <c r="C643" s="1" t="s">
        <v>16</v>
      </c>
      <c r="D643" s="1" t="s">
        <v>1384</v>
      </c>
      <c r="E643" s="1" t="s">
        <v>1385</v>
      </c>
      <c r="F643" s="1" t="str">
        <f>IFERROR(__xludf.DUMMYFUNCTION("SPLIT(E643,""&gt;"")"),"Japanese SoG")</f>
        <v>Japanese SoG</v>
      </c>
      <c r="G643" s="1"/>
      <c r="H643" s="1" t="s">
        <v>1384</v>
      </c>
      <c r="I643" s="1" t="s">
        <v>666</v>
      </c>
      <c r="J643" s="4">
        <v>42767.0</v>
      </c>
      <c r="K643" s="1">
        <v>1000.0</v>
      </c>
      <c r="L643" s="1">
        <v>500.0</v>
      </c>
      <c r="M643" s="1" t="s">
        <v>1387</v>
      </c>
      <c r="N643" s="5" t="s">
        <v>1385</v>
      </c>
      <c r="P643" s="6" t="str">
        <f>VLOOKUP(D643,'シート2'!A:B, 2, 0)</f>
        <v>@SpellsofGenesis</v>
      </c>
    </row>
    <row r="644">
      <c r="A644" s="1" t="s">
        <v>1166</v>
      </c>
      <c r="B644" s="3" t="s">
        <v>1475</v>
      </c>
      <c r="C644" s="1" t="s">
        <v>16</v>
      </c>
      <c r="D644" s="1" t="s">
        <v>1384</v>
      </c>
      <c r="E644" s="1" t="s">
        <v>1385</v>
      </c>
      <c r="F644" s="1" t="str">
        <f>IFERROR(__xludf.DUMMYFUNCTION("SPLIT(E644,""&gt;"")"),"Japanese SoG")</f>
        <v>Japanese SoG</v>
      </c>
      <c r="G644" s="1"/>
      <c r="H644" s="1" t="s">
        <v>1384</v>
      </c>
      <c r="I644" s="1" t="s">
        <v>666</v>
      </c>
      <c r="J644" s="4">
        <v>42767.0</v>
      </c>
      <c r="K644" s="1">
        <v>1000.0</v>
      </c>
      <c r="L644" s="1">
        <v>500.0</v>
      </c>
      <c r="M644" s="1" t="s">
        <v>1387</v>
      </c>
      <c r="N644" s="5" t="s">
        <v>1385</v>
      </c>
      <c r="P644" s="6" t="str">
        <f>VLOOKUP(D644,'シート2'!A:B, 2, 0)</f>
        <v>@SpellsofGenesis</v>
      </c>
    </row>
    <row r="645">
      <c r="A645" s="1" t="s">
        <v>1042</v>
      </c>
      <c r="B645" s="3" t="s">
        <v>1476</v>
      </c>
      <c r="C645" s="1" t="s">
        <v>16</v>
      </c>
      <c r="D645" s="1" t="s">
        <v>1384</v>
      </c>
      <c r="E645" s="1" t="s">
        <v>1385</v>
      </c>
      <c r="F645" s="1" t="str">
        <f>IFERROR(__xludf.DUMMYFUNCTION("SPLIT(E645,""&gt;"")"),"Japanese SoG")</f>
        <v>Japanese SoG</v>
      </c>
      <c r="G645" s="1"/>
      <c r="H645" s="1" t="s">
        <v>1384</v>
      </c>
      <c r="I645" s="1" t="s">
        <v>666</v>
      </c>
      <c r="J645" s="4">
        <v>42767.0</v>
      </c>
      <c r="K645" s="1">
        <v>1000.0</v>
      </c>
      <c r="L645" s="1">
        <v>500.0</v>
      </c>
      <c r="M645" s="1" t="s">
        <v>1387</v>
      </c>
      <c r="N645" s="5" t="s">
        <v>1385</v>
      </c>
      <c r="P645" s="6" t="str">
        <f>VLOOKUP(D645,'シート2'!A:B, 2, 0)</f>
        <v>@SpellsofGenesis</v>
      </c>
    </row>
    <row r="646">
      <c r="A646" s="1" t="s">
        <v>1022</v>
      </c>
      <c r="B646" s="3" t="s">
        <v>1477</v>
      </c>
      <c r="C646" s="1" t="s">
        <v>16</v>
      </c>
      <c r="D646" s="1" t="s">
        <v>1384</v>
      </c>
      <c r="E646" s="1" t="s">
        <v>1385</v>
      </c>
      <c r="F646" s="1" t="str">
        <f>IFERROR(__xludf.DUMMYFUNCTION("SPLIT(E646,""&gt;"")"),"Japanese SoG")</f>
        <v>Japanese SoG</v>
      </c>
      <c r="G646" s="1"/>
      <c r="H646" s="1" t="s">
        <v>1384</v>
      </c>
      <c r="I646" s="1" t="s">
        <v>666</v>
      </c>
      <c r="J646" s="4">
        <v>42767.0</v>
      </c>
      <c r="K646" s="1">
        <v>1000.0</v>
      </c>
      <c r="L646" s="1">
        <v>500.0</v>
      </c>
      <c r="M646" s="1" t="s">
        <v>1387</v>
      </c>
      <c r="N646" s="5" t="s">
        <v>1385</v>
      </c>
      <c r="P646" s="6" t="str">
        <f>VLOOKUP(D646,'シート2'!A:B, 2, 0)</f>
        <v>@SpellsofGenesis</v>
      </c>
    </row>
    <row r="647">
      <c r="A647" s="1" t="s">
        <v>1478</v>
      </c>
      <c r="B647" s="7" t="s">
        <v>1479</v>
      </c>
      <c r="C647" s="1" t="s">
        <v>16</v>
      </c>
      <c r="D647" s="1" t="s">
        <v>76</v>
      </c>
      <c r="E647" s="1" t="s">
        <v>1312</v>
      </c>
      <c r="F647" s="1" t="str">
        <f>IFERROR(__xludf.DUMMYFUNCTION("SPLIT(E647,""&gt;"")"),"Japanese Corn")</f>
        <v>Japanese Corn</v>
      </c>
      <c r="G647" s="1" t="str">
        <f>IFERROR(__xludf.DUMMYFUNCTION("""COMPUTED_VALUE"""),"Harvest #1")</f>
        <v>Harvest #1</v>
      </c>
      <c r="H647" s="1" t="s">
        <v>76</v>
      </c>
      <c r="I647" s="1" t="s">
        <v>1317</v>
      </c>
      <c r="J647" s="4">
        <v>43221.0</v>
      </c>
      <c r="K647" s="1">
        <v>260.0</v>
      </c>
      <c r="L647" s="1">
        <v>259.0</v>
      </c>
      <c r="M647" s="1">
        <v>49.0</v>
      </c>
      <c r="N647" s="1" t="s">
        <v>1314</v>
      </c>
      <c r="P647" s="6" t="str">
        <f>VLOOKUP(D647,'シート2'!A:B, 2, 0)</f>
        <v>@JapepeneseMan</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s>
  <drawing r:id="rId6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s>
  <sheetData>
    <row r="1">
      <c r="A1" s="5" t="s">
        <v>3</v>
      </c>
      <c r="D1" s="5" t="s">
        <v>1480</v>
      </c>
    </row>
    <row r="2">
      <c r="A2" s="5" t="s">
        <v>66</v>
      </c>
      <c r="B2" s="6" t="s">
        <v>1481</v>
      </c>
      <c r="D2" s="7" t="s">
        <v>1482</v>
      </c>
    </row>
    <row r="3">
      <c r="A3" s="5" t="s">
        <v>607</v>
      </c>
      <c r="B3" s="6" t="s">
        <v>1483</v>
      </c>
      <c r="D3" s="5" t="s">
        <v>1484</v>
      </c>
    </row>
    <row r="4">
      <c r="A4" s="5" t="s">
        <v>17</v>
      </c>
      <c r="B4" s="6" t="s">
        <v>1485</v>
      </c>
      <c r="D4" s="5" t="s">
        <v>1486</v>
      </c>
    </row>
    <row r="5">
      <c r="A5" s="5" t="s">
        <v>23</v>
      </c>
      <c r="B5" s="6" t="s">
        <v>1487</v>
      </c>
      <c r="D5" s="5" t="s">
        <v>1488</v>
      </c>
    </row>
    <row r="6">
      <c r="A6" s="5" t="s">
        <v>28</v>
      </c>
      <c r="B6" s="6" t="s">
        <v>1489</v>
      </c>
      <c r="D6" s="5" t="s">
        <v>1490</v>
      </c>
    </row>
    <row r="7">
      <c r="A7" s="5" t="s">
        <v>38</v>
      </c>
      <c r="B7" s="5" t="s">
        <v>38</v>
      </c>
    </row>
    <row r="8">
      <c r="A8" s="5" t="s">
        <v>34</v>
      </c>
      <c r="B8" s="6" t="s">
        <v>1491</v>
      </c>
      <c r="D8" s="5" t="s">
        <v>1492</v>
      </c>
    </row>
    <row r="9">
      <c r="A9" s="5" t="s">
        <v>44</v>
      </c>
      <c r="B9" s="5" t="s">
        <v>44</v>
      </c>
    </row>
    <row r="10">
      <c r="A10" s="5" t="s">
        <v>47</v>
      </c>
      <c r="B10" s="5" t="s">
        <v>47</v>
      </c>
    </row>
    <row r="11">
      <c r="A11" s="5" t="s">
        <v>50</v>
      </c>
      <c r="B11" s="5" t="s">
        <v>50</v>
      </c>
    </row>
    <row r="12">
      <c r="A12" s="5" t="s">
        <v>53</v>
      </c>
      <c r="B12" s="6" t="s">
        <v>1493</v>
      </c>
      <c r="D12" s="5" t="s">
        <v>1494</v>
      </c>
    </row>
    <row r="13">
      <c r="A13" s="5" t="s">
        <v>61</v>
      </c>
      <c r="B13" s="6" t="s">
        <v>1495</v>
      </c>
      <c r="D13" s="5" t="s">
        <v>1496</v>
      </c>
    </row>
    <row r="14">
      <c r="A14" s="5" t="s">
        <v>71</v>
      </c>
      <c r="B14" s="6" t="s">
        <v>1497</v>
      </c>
      <c r="D14" s="5" t="s">
        <v>1498</v>
      </c>
    </row>
    <row r="15">
      <c r="A15" s="5" t="s">
        <v>76</v>
      </c>
      <c r="B15" s="6" t="s">
        <v>1499</v>
      </c>
      <c r="D15" s="5" t="s">
        <v>1500</v>
      </c>
    </row>
    <row r="16">
      <c r="A16" s="5" t="s">
        <v>79</v>
      </c>
      <c r="B16" s="6" t="s">
        <v>1501</v>
      </c>
      <c r="D16" s="5" t="s">
        <v>1502</v>
      </c>
    </row>
    <row r="17">
      <c r="A17" s="5" t="s">
        <v>84</v>
      </c>
      <c r="B17" s="6" t="s">
        <v>1503</v>
      </c>
      <c r="D17" s="7" t="s">
        <v>1504</v>
      </c>
    </row>
    <row r="18">
      <c r="A18" s="5" t="s">
        <v>89</v>
      </c>
      <c r="B18" s="6" t="s">
        <v>1505</v>
      </c>
      <c r="D18" s="5" t="s">
        <v>1506</v>
      </c>
    </row>
    <row r="19">
      <c r="A19" s="5" t="s">
        <v>92</v>
      </c>
      <c r="B19" s="6" t="s">
        <v>1507</v>
      </c>
      <c r="D19" s="5" t="s">
        <v>1508</v>
      </c>
    </row>
    <row r="20">
      <c r="A20" s="5" t="s">
        <v>95</v>
      </c>
      <c r="B20" s="6" t="s">
        <v>1509</v>
      </c>
      <c r="D20" s="5" t="s">
        <v>1510</v>
      </c>
    </row>
    <row r="21">
      <c r="A21" s="5" t="s">
        <v>102</v>
      </c>
      <c r="B21" s="5" t="s">
        <v>102</v>
      </c>
    </row>
    <row r="22">
      <c r="A22" s="5" t="s">
        <v>105</v>
      </c>
      <c r="B22" s="6" t="s">
        <v>1511</v>
      </c>
      <c r="D22" s="5" t="s">
        <v>1512</v>
      </c>
    </row>
    <row r="23">
      <c r="A23" s="5" t="s">
        <v>123</v>
      </c>
      <c r="B23" s="6" t="s">
        <v>1513</v>
      </c>
      <c r="D23" s="5" t="s">
        <v>1514</v>
      </c>
    </row>
    <row r="24">
      <c r="A24" s="5" t="s">
        <v>128</v>
      </c>
      <c r="B24" s="6" t="s">
        <v>1515</v>
      </c>
      <c r="D24" s="5" t="s">
        <v>1516</v>
      </c>
    </row>
    <row r="25">
      <c r="A25" s="5" t="s">
        <v>135</v>
      </c>
      <c r="B25" s="5" t="s">
        <v>135</v>
      </c>
    </row>
    <row r="26">
      <c r="A26" s="5" t="s">
        <v>146</v>
      </c>
      <c r="B26" s="5" t="s">
        <v>146</v>
      </c>
    </row>
    <row r="27">
      <c r="A27" s="5" t="s">
        <v>159</v>
      </c>
      <c r="B27" s="6" t="s">
        <v>1517</v>
      </c>
      <c r="D27" s="5" t="s">
        <v>1518</v>
      </c>
    </row>
    <row r="28">
      <c r="A28" s="5" t="s">
        <v>162</v>
      </c>
      <c r="B28" s="6" t="s">
        <v>1519</v>
      </c>
      <c r="D28" s="5" t="s">
        <v>1520</v>
      </c>
    </row>
    <row r="29">
      <c r="A29" s="5" t="s">
        <v>168</v>
      </c>
      <c r="B29" s="6" t="s">
        <v>1521</v>
      </c>
      <c r="D29" s="5" t="s">
        <v>1522</v>
      </c>
    </row>
    <row r="30">
      <c r="A30" s="5" t="s">
        <v>179</v>
      </c>
      <c r="B30" s="6" t="s">
        <v>1523</v>
      </c>
      <c r="D30" s="5" t="s">
        <v>1524</v>
      </c>
    </row>
    <row r="31">
      <c r="A31" s="5" t="s">
        <v>186</v>
      </c>
      <c r="B31" s="6" t="s">
        <v>1525</v>
      </c>
      <c r="D31" s="5" t="s">
        <v>1526</v>
      </c>
    </row>
    <row r="32">
      <c r="A32" s="5" t="s">
        <v>189</v>
      </c>
      <c r="B32" s="6" t="s">
        <v>1527</v>
      </c>
      <c r="D32" s="5" t="s">
        <v>1528</v>
      </c>
    </row>
    <row r="33">
      <c r="A33" s="5" t="s">
        <v>204</v>
      </c>
      <c r="B33" s="5" t="s">
        <v>204</v>
      </c>
    </row>
    <row r="34">
      <c r="A34" s="5" t="s">
        <v>227</v>
      </c>
      <c r="B34" s="5" t="s">
        <v>227</v>
      </c>
    </row>
    <row r="35">
      <c r="A35" s="5" t="s">
        <v>234</v>
      </c>
      <c r="B35" s="5" t="s">
        <v>234</v>
      </c>
    </row>
    <row r="36">
      <c r="A36" s="5" t="s">
        <v>237</v>
      </c>
      <c r="B36" s="5" t="s">
        <v>237</v>
      </c>
    </row>
    <row r="37">
      <c r="A37" s="5" t="s">
        <v>247</v>
      </c>
      <c r="B37" s="5" t="s">
        <v>247</v>
      </c>
    </row>
    <row r="38">
      <c r="A38" s="5" t="s">
        <v>252</v>
      </c>
      <c r="B38" s="6" t="s">
        <v>1529</v>
      </c>
      <c r="D38" s="5" t="s">
        <v>1530</v>
      </c>
    </row>
    <row r="39">
      <c r="A39" s="5" t="s">
        <v>255</v>
      </c>
      <c r="B39" s="5" t="s">
        <v>255</v>
      </c>
    </row>
    <row r="40">
      <c r="A40" s="5" t="s">
        <v>262</v>
      </c>
      <c r="B40" s="5" t="s">
        <v>262</v>
      </c>
    </row>
    <row r="41">
      <c r="A41" s="5" t="s">
        <v>271</v>
      </c>
      <c r="B41" s="5" t="s">
        <v>271</v>
      </c>
    </row>
    <row r="42">
      <c r="A42" s="5" t="s">
        <v>276</v>
      </c>
      <c r="B42" s="5" t="s">
        <v>276</v>
      </c>
    </row>
    <row r="43">
      <c r="A43" s="5" t="s">
        <v>283</v>
      </c>
      <c r="B43" s="6" t="s">
        <v>1531</v>
      </c>
      <c r="D43" s="5" t="s">
        <v>1532</v>
      </c>
    </row>
    <row r="44">
      <c r="A44" s="5" t="s">
        <v>286</v>
      </c>
      <c r="B44" s="6" t="s">
        <v>1533</v>
      </c>
      <c r="D44" s="5" t="s">
        <v>1534</v>
      </c>
    </row>
    <row r="45">
      <c r="A45" s="5" t="s">
        <v>293</v>
      </c>
      <c r="B45" s="6" t="s">
        <v>1535</v>
      </c>
      <c r="D45" s="5" t="s">
        <v>1536</v>
      </c>
    </row>
    <row r="46">
      <c r="A46" s="5" t="s">
        <v>312</v>
      </c>
      <c r="B46" s="5" t="s">
        <v>312</v>
      </c>
    </row>
    <row r="47">
      <c r="A47" s="5" t="s">
        <v>317</v>
      </c>
      <c r="B47" s="5" t="s">
        <v>317</v>
      </c>
    </row>
    <row r="48">
      <c r="A48" s="5" t="s">
        <v>330</v>
      </c>
      <c r="B48" s="5" t="s">
        <v>330</v>
      </c>
    </row>
    <row r="49">
      <c r="A49" s="5" t="s">
        <v>349</v>
      </c>
      <c r="B49" s="5" t="s">
        <v>349</v>
      </c>
      <c r="D49" s="5" t="s">
        <v>1537</v>
      </c>
    </row>
    <row r="50">
      <c r="A50" s="5" t="s">
        <v>352</v>
      </c>
      <c r="B50" s="5" t="s">
        <v>352</v>
      </c>
    </row>
    <row r="51">
      <c r="A51" s="5" t="s">
        <v>366</v>
      </c>
      <c r="B51" s="5" t="s">
        <v>366</v>
      </c>
    </row>
    <row r="52">
      <c r="A52" s="5" t="s">
        <v>371</v>
      </c>
      <c r="B52" s="5" t="s">
        <v>371</v>
      </c>
    </row>
    <row r="53">
      <c r="A53" s="5" t="s">
        <v>376</v>
      </c>
      <c r="B53" s="6" t="s">
        <v>1538</v>
      </c>
      <c r="D53" s="5" t="s">
        <v>1539</v>
      </c>
    </row>
    <row r="54">
      <c r="A54" s="5" t="s">
        <v>393</v>
      </c>
      <c r="B54" s="5" t="s">
        <v>393</v>
      </c>
    </row>
    <row r="55">
      <c r="A55" s="5" t="s">
        <v>422</v>
      </c>
      <c r="B55" s="6" t="s">
        <v>1540</v>
      </c>
      <c r="D55" s="5" t="s">
        <v>1541</v>
      </c>
    </row>
    <row r="56">
      <c r="A56" s="5" t="s">
        <v>431</v>
      </c>
      <c r="B56" s="5" t="s">
        <v>431</v>
      </c>
    </row>
    <row r="57">
      <c r="A57" s="5" t="s">
        <v>436</v>
      </c>
      <c r="B57" s="5" t="s">
        <v>436</v>
      </c>
    </row>
    <row r="58">
      <c r="A58" s="1" t="s">
        <v>439</v>
      </c>
      <c r="B58" s="6" t="s">
        <v>1542</v>
      </c>
      <c r="D58" s="5" t="s">
        <v>1543</v>
      </c>
    </row>
    <row r="59">
      <c r="A59" s="5" t="s">
        <v>451</v>
      </c>
      <c r="B59" s="5" t="s">
        <v>451</v>
      </c>
    </row>
    <row r="60">
      <c r="A60" s="5" t="s">
        <v>456</v>
      </c>
      <c r="B60" s="5" t="s">
        <v>456</v>
      </c>
    </row>
    <row r="61">
      <c r="A61" s="5" t="s">
        <v>479</v>
      </c>
      <c r="B61" s="6" t="s">
        <v>1544</v>
      </c>
      <c r="D61" s="5" t="s">
        <v>1545</v>
      </c>
    </row>
    <row r="62">
      <c r="A62" s="5" t="s">
        <v>489</v>
      </c>
      <c r="B62" s="5" t="s">
        <v>489</v>
      </c>
    </row>
    <row r="63">
      <c r="A63" s="5" t="s">
        <v>494</v>
      </c>
      <c r="B63" s="5" t="s">
        <v>494</v>
      </c>
    </row>
    <row r="64">
      <c r="A64" s="5" t="s">
        <v>519</v>
      </c>
      <c r="B64" s="6" t="s">
        <v>1546</v>
      </c>
      <c r="D64" s="5" t="s">
        <v>1547</v>
      </c>
    </row>
    <row r="65">
      <c r="A65" s="5" t="s">
        <v>528</v>
      </c>
      <c r="B65" s="5" t="s">
        <v>528</v>
      </c>
    </row>
    <row r="66">
      <c r="A66" s="5" t="s">
        <v>543</v>
      </c>
      <c r="B66" s="5" t="s">
        <v>543</v>
      </c>
    </row>
    <row r="67">
      <c r="A67" s="5" t="s">
        <v>564</v>
      </c>
      <c r="B67" s="5" t="s">
        <v>564</v>
      </c>
    </row>
    <row r="68">
      <c r="A68" s="5" t="s">
        <v>569</v>
      </c>
      <c r="B68" s="5" t="s">
        <v>569</v>
      </c>
    </row>
    <row r="69">
      <c r="A69" s="5" t="s">
        <v>705</v>
      </c>
      <c r="B69" s="6" t="s">
        <v>1548</v>
      </c>
      <c r="D69" s="5" t="s">
        <v>1549</v>
      </c>
    </row>
    <row r="70">
      <c r="A70" s="5" t="s">
        <v>708</v>
      </c>
      <c r="B70" s="6" t="s">
        <v>1550</v>
      </c>
      <c r="D70" s="5" t="s">
        <v>1551</v>
      </c>
    </row>
    <row r="71">
      <c r="A71" s="5" t="s">
        <v>713</v>
      </c>
      <c r="B71" s="6" t="s">
        <v>1552</v>
      </c>
      <c r="D71" s="5" t="s">
        <v>1553</v>
      </c>
    </row>
    <row r="72">
      <c r="A72" s="5" t="s">
        <v>979</v>
      </c>
      <c r="B72" s="5" t="s">
        <v>979</v>
      </c>
    </row>
    <row r="73">
      <c r="A73" s="5" t="s">
        <v>1384</v>
      </c>
      <c r="B73" s="6" t="s">
        <v>1554</v>
      </c>
      <c r="D73" s="5" t="s">
        <v>1555</v>
      </c>
    </row>
    <row r="74">
      <c r="A74" s="5" t="s">
        <v>1390</v>
      </c>
      <c r="B74" s="6" t="s">
        <v>1556</v>
      </c>
      <c r="D74" s="5" t="s">
        <v>1557</v>
      </c>
    </row>
    <row r="75">
      <c r="A75" s="5" t="s">
        <v>1418</v>
      </c>
      <c r="B75" s="6" t="s">
        <v>1558</v>
      </c>
      <c r="D75" s="5" t="s">
        <v>1559</v>
      </c>
    </row>
    <row r="76">
      <c r="A76" s="5" t="s">
        <v>1438</v>
      </c>
      <c r="B76" s="6" t="s">
        <v>1560</v>
      </c>
      <c r="D76" s="5" t="s">
        <v>1561</v>
      </c>
    </row>
    <row r="77">
      <c r="A77" s="5" t="s">
        <v>1449</v>
      </c>
      <c r="B77" s="6" t="s">
        <v>1562</v>
      </c>
      <c r="D77" s="5" t="s">
        <v>1563</v>
      </c>
    </row>
    <row r="78">
      <c r="A78" s="5" t="s">
        <v>593</v>
      </c>
      <c r="B78" s="6" t="s">
        <v>1564</v>
      </c>
      <c r="D78" s="5" t="s">
        <v>1565</v>
      </c>
    </row>
    <row r="79">
      <c r="A79" s="5" t="s">
        <v>1421</v>
      </c>
      <c r="B79" s="1" t="s">
        <v>1566</v>
      </c>
      <c r="D79" s="7" t="s">
        <v>1567</v>
      </c>
    </row>
    <row r="80">
      <c r="A80" s="1" t="s">
        <v>1432</v>
      </c>
      <c r="B80" s="1" t="s">
        <v>1432</v>
      </c>
    </row>
  </sheetData>
  <hyperlinks>
    <hyperlink r:id="rId1" ref="D2"/>
    <hyperlink r:id="rId2" ref="D17"/>
    <hyperlink r:id="rId3" ref="D7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1.75"/>
    <col customWidth="1" min="6" max="6" width="16.0"/>
    <col customWidth="1" min="7" max="7" width="18.75"/>
  </cols>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14</v>
      </c>
      <c r="B2" s="3" t="s">
        <v>15</v>
      </c>
      <c r="C2" s="1" t="s">
        <v>16</v>
      </c>
      <c r="D2" s="1" t="s">
        <v>17</v>
      </c>
      <c r="E2" s="1" t="s">
        <v>18</v>
      </c>
      <c r="F2" s="1" t="str">
        <f>IFERROR(__xludf.DUMMYFUNCTION("SPLIT(E2,""&gt;"")"),"Badger Capsule")</f>
        <v>Badger Capsule</v>
      </c>
      <c r="G2" s="1" t="str">
        <f>IFERROR(__xludf.DUMMYFUNCTION("""COMPUTED_VALUE"""),"Series 1")</f>
        <v>Series 1</v>
      </c>
      <c r="H2" s="1" t="s">
        <v>17</v>
      </c>
      <c r="I2" s="1" t="s">
        <v>19</v>
      </c>
      <c r="J2" s="4">
        <v>44501.0</v>
      </c>
      <c r="K2" s="1">
        <v>250.0</v>
      </c>
      <c r="L2" s="1">
        <v>250.0</v>
      </c>
      <c r="M2" s="1">
        <v>12.0</v>
      </c>
    </row>
    <row r="3">
      <c r="A3" s="1" t="s">
        <v>21</v>
      </c>
      <c r="B3" s="3" t="s">
        <v>22</v>
      </c>
      <c r="C3" s="1" t="s">
        <v>16</v>
      </c>
      <c r="D3" s="1" t="s">
        <v>23</v>
      </c>
      <c r="E3" s="1" t="s">
        <v>18</v>
      </c>
      <c r="F3" s="1" t="str">
        <f>IFERROR(__xludf.DUMMYFUNCTION("SPLIT(E3,""&gt;"")"),"Badger Capsule")</f>
        <v>Badger Capsule</v>
      </c>
      <c r="G3" s="1" t="str">
        <f>IFERROR(__xludf.DUMMYFUNCTION("""COMPUTED_VALUE"""),"Series 1")</f>
        <v>Series 1</v>
      </c>
      <c r="H3" s="1" t="s">
        <v>23</v>
      </c>
      <c r="I3" s="1" t="s">
        <v>19</v>
      </c>
      <c r="J3" s="4">
        <v>44501.0</v>
      </c>
      <c r="K3" s="1">
        <v>250.0</v>
      </c>
      <c r="L3" s="1">
        <v>250.0</v>
      </c>
      <c r="M3" s="1">
        <v>9.0</v>
      </c>
    </row>
    <row r="4">
      <c r="A4" s="1" t="s">
        <v>24</v>
      </c>
      <c r="B4" s="3" t="s">
        <v>25</v>
      </c>
      <c r="C4" s="1" t="s">
        <v>16</v>
      </c>
      <c r="D4" s="1" t="s">
        <v>23</v>
      </c>
      <c r="E4" s="1" t="s">
        <v>18</v>
      </c>
      <c r="F4" s="1" t="str">
        <f>IFERROR(__xludf.DUMMYFUNCTION("SPLIT(E4,""&gt;"")"),"Badger Capsule")</f>
        <v>Badger Capsule</v>
      </c>
      <c r="G4" s="1" t="str">
        <f>IFERROR(__xludf.DUMMYFUNCTION("""COMPUTED_VALUE"""),"Series 1")</f>
        <v>Series 1</v>
      </c>
      <c r="H4" s="1" t="s">
        <v>23</v>
      </c>
      <c r="I4" s="1" t="s">
        <v>19</v>
      </c>
      <c r="J4" s="4">
        <v>44501.0</v>
      </c>
      <c r="K4" s="1">
        <v>250.0</v>
      </c>
      <c r="L4" s="1">
        <v>250.0</v>
      </c>
      <c r="M4" s="1">
        <v>10.0</v>
      </c>
    </row>
    <row r="5">
      <c r="A5" s="1" t="s">
        <v>26</v>
      </c>
      <c r="B5" s="3" t="s">
        <v>27</v>
      </c>
      <c r="C5" s="1" t="s">
        <v>16</v>
      </c>
      <c r="D5" s="1" t="s">
        <v>28</v>
      </c>
      <c r="E5" s="1" t="s">
        <v>18</v>
      </c>
      <c r="F5" s="1" t="str">
        <f>IFERROR(__xludf.DUMMYFUNCTION("SPLIT(E5,""&gt;"")"),"Badger Capsule")</f>
        <v>Badger Capsule</v>
      </c>
      <c r="G5" s="1" t="str">
        <f>IFERROR(__xludf.DUMMYFUNCTION("""COMPUTED_VALUE"""),"Series 1")</f>
        <v>Series 1</v>
      </c>
      <c r="H5" s="1" t="s">
        <v>28</v>
      </c>
      <c r="I5" s="1" t="s">
        <v>29</v>
      </c>
      <c r="J5" s="4">
        <v>44440.0</v>
      </c>
      <c r="K5" s="1">
        <v>250.0</v>
      </c>
      <c r="L5" s="1">
        <v>250.0</v>
      </c>
      <c r="M5" s="1">
        <v>2.0</v>
      </c>
    </row>
    <row r="6">
      <c r="A6" s="1" t="s">
        <v>30</v>
      </c>
      <c r="B6" s="3" t="s">
        <v>31</v>
      </c>
      <c r="C6" s="1" t="s">
        <v>16</v>
      </c>
      <c r="D6" s="1" t="s">
        <v>28</v>
      </c>
      <c r="E6" s="1" t="s">
        <v>18</v>
      </c>
      <c r="F6" s="1" t="str">
        <f>IFERROR(__xludf.DUMMYFUNCTION("SPLIT(E6,""&gt;"")"),"Badger Capsule")</f>
        <v>Badger Capsule</v>
      </c>
      <c r="G6" s="1" t="str">
        <f>IFERROR(__xludf.DUMMYFUNCTION("""COMPUTED_VALUE"""),"Series 1")</f>
        <v>Series 1</v>
      </c>
      <c r="H6" s="1" t="s">
        <v>28</v>
      </c>
      <c r="I6" s="1" t="s">
        <v>19</v>
      </c>
      <c r="J6" s="4">
        <v>44501.0</v>
      </c>
      <c r="K6" s="1">
        <v>250.0</v>
      </c>
      <c r="L6" s="1">
        <v>250.0</v>
      </c>
      <c r="M6" s="1">
        <v>11.0</v>
      </c>
    </row>
    <row r="7">
      <c r="A7" s="1" t="s">
        <v>32</v>
      </c>
      <c r="B7" s="3" t="s">
        <v>33</v>
      </c>
      <c r="C7" s="1" t="s">
        <v>16</v>
      </c>
      <c r="D7" s="1" t="s">
        <v>34</v>
      </c>
      <c r="E7" s="1" t="s">
        <v>18</v>
      </c>
      <c r="F7" s="1" t="str">
        <f>IFERROR(__xludf.DUMMYFUNCTION("SPLIT(E7,""&gt;"")"),"Badger Capsule")</f>
        <v>Badger Capsule</v>
      </c>
      <c r="G7" s="1" t="str">
        <f>IFERROR(__xludf.DUMMYFUNCTION("""COMPUTED_VALUE"""),"Series 1")</f>
        <v>Series 1</v>
      </c>
      <c r="H7" s="1" t="s">
        <v>34</v>
      </c>
      <c r="I7" s="1" t="s">
        <v>35</v>
      </c>
      <c r="J7" s="4">
        <v>44470.0</v>
      </c>
      <c r="K7" s="1">
        <v>250.0</v>
      </c>
      <c r="L7" s="1">
        <v>250.0</v>
      </c>
      <c r="M7" s="1">
        <v>3.0</v>
      </c>
    </row>
    <row r="8">
      <c r="A8" s="1" t="s">
        <v>36</v>
      </c>
      <c r="B8" s="3" t="s">
        <v>37</v>
      </c>
      <c r="C8" s="1" t="s">
        <v>16</v>
      </c>
      <c r="D8" s="1" t="s">
        <v>38</v>
      </c>
      <c r="E8" s="1" t="s">
        <v>39</v>
      </c>
      <c r="F8" s="1" t="str">
        <f>IFERROR(__xludf.DUMMYFUNCTION("SPLIT(E8,""&gt;"")"),"Badger Capsule")</f>
        <v>Badger Capsule</v>
      </c>
      <c r="G8" s="1" t="str">
        <f>IFERROR(__xludf.DUMMYFUNCTION("""COMPUTED_VALUE"""),"Badger Innovation Zone")</f>
        <v>Badger Innovation Zone</v>
      </c>
      <c r="H8" s="1" t="s">
        <v>38</v>
      </c>
      <c r="I8" s="1" t="s">
        <v>35</v>
      </c>
      <c r="J8" s="4">
        <v>44470.0</v>
      </c>
      <c r="K8" s="1">
        <v>500.0</v>
      </c>
      <c r="L8" s="1">
        <v>500.0</v>
      </c>
      <c r="M8" s="1">
        <v>7.0</v>
      </c>
    </row>
    <row r="9">
      <c r="A9" s="1" t="s">
        <v>40</v>
      </c>
      <c r="B9" s="3" t="s">
        <v>41</v>
      </c>
      <c r="C9" s="1" t="s">
        <v>16</v>
      </c>
      <c r="D9" s="1" t="s">
        <v>34</v>
      </c>
      <c r="E9" s="1" t="s">
        <v>39</v>
      </c>
      <c r="F9" s="1" t="str">
        <f>IFERROR(__xludf.DUMMYFUNCTION("SPLIT(E9,""&gt;"")"),"Badger Capsule")</f>
        <v>Badger Capsule</v>
      </c>
      <c r="G9" s="1" t="str">
        <f>IFERROR(__xludf.DUMMYFUNCTION("""COMPUTED_VALUE"""),"Badger Innovation Zone")</f>
        <v>Badger Innovation Zone</v>
      </c>
      <c r="H9" s="1" t="s">
        <v>34</v>
      </c>
      <c r="I9" s="1" t="s">
        <v>35</v>
      </c>
      <c r="J9" s="4">
        <v>44470.0</v>
      </c>
      <c r="K9" s="1">
        <v>500.0</v>
      </c>
      <c r="L9" s="1">
        <v>500.0</v>
      </c>
      <c r="M9" s="1">
        <v>8.0</v>
      </c>
    </row>
    <row r="10">
      <c r="A10" s="1" t="s">
        <v>42</v>
      </c>
      <c r="B10" s="3" t="s">
        <v>43</v>
      </c>
      <c r="C10" s="1" t="s">
        <v>16</v>
      </c>
      <c r="D10" s="1" t="s">
        <v>44</v>
      </c>
      <c r="E10" s="1" t="s">
        <v>18</v>
      </c>
      <c r="F10" s="1" t="str">
        <f>IFERROR(__xludf.DUMMYFUNCTION("SPLIT(E10,""&gt;"")"),"Badger Capsule")</f>
        <v>Badger Capsule</v>
      </c>
      <c r="G10" s="1" t="str">
        <f>IFERROR(__xludf.DUMMYFUNCTION("""COMPUTED_VALUE"""),"Series 1")</f>
        <v>Series 1</v>
      </c>
      <c r="H10" s="1" t="s">
        <v>44</v>
      </c>
      <c r="I10" s="1" t="s">
        <v>35</v>
      </c>
      <c r="J10" s="4">
        <v>44470.0</v>
      </c>
      <c r="K10" s="1">
        <v>250.0</v>
      </c>
      <c r="L10" s="1">
        <v>250.0</v>
      </c>
      <c r="M10" s="1">
        <v>5.0</v>
      </c>
    </row>
    <row r="11">
      <c r="A11" s="1" t="s">
        <v>45</v>
      </c>
      <c r="B11" s="3" t="s">
        <v>46</v>
      </c>
      <c r="C11" s="1" t="s">
        <v>16</v>
      </c>
      <c r="D11" s="1" t="s">
        <v>47</v>
      </c>
      <c r="E11" s="1" t="s">
        <v>18</v>
      </c>
      <c r="F11" s="1" t="str">
        <f>IFERROR(__xludf.DUMMYFUNCTION("SPLIT(E11,""&gt;"")"),"Badger Capsule")</f>
        <v>Badger Capsule</v>
      </c>
      <c r="G11" s="1" t="str">
        <f>IFERROR(__xludf.DUMMYFUNCTION("""COMPUTED_VALUE"""),"Series 1")</f>
        <v>Series 1</v>
      </c>
      <c r="H11" s="1" t="s">
        <v>47</v>
      </c>
      <c r="I11" s="1" t="s">
        <v>35</v>
      </c>
      <c r="J11" s="4">
        <v>44470.0</v>
      </c>
      <c r="K11" s="1">
        <v>250.0</v>
      </c>
      <c r="L11" s="1">
        <v>250.0</v>
      </c>
      <c r="M11" s="1">
        <v>6.0</v>
      </c>
    </row>
    <row r="12">
      <c r="A12" s="1" t="s">
        <v>48</v>
      </c>
      <c r="B12" s="3" t="s">
        <v>49</v>
      </c>
      <c r="C12" s="1" t="s">
        <v>16</v>
      </c>
      <c r="D12" s="1" t="s">
        <v>50</v>
      </c>
      <c r="E12" s="1" t="s">
        <v>18</v>
      </c>
      <c r="F12" s="1" t="str">
        <f>IFERROR(__xludf.DUMMYFUNCTION("SPLIT(E12,""&gt;"")"),"Badger Capsule")</f>
        <v>Badger Capsule</v>
      </c>
      <c r="G12" s="1" t="str">
        <f>IFERROR(__xludf.DUMMYFUNCTION("""COMPUTED_VALUE"""),"Series 1")</f>
        <v>Series 1</v>
      </c>
      <c r="H12" s="1" t="s">
        <v>50</v>
      </c>
      <c r="I12" s="1" t="s">
        <v>35</v>
      </c>
      <c r="J12" s="4">
        <v>44470.0</v>
      </c>
      <c r="K12" s="1">
        <v>250.0</v>
      </c>
      <c r="L12" s="1">
        <v>250.0</v>
      </c>
      <c r="M12" s="1">
        <v>4.0</v>
      </c>
    </row>
    <row r="13">
      <c r="A13" s="1" t="s">
        <v>51</v>
      </c>
      <c r="B13" s="3" t="s">
        <v>52</v>
      </c>
      <c r="C13" s="1" t="s">
        <v>16</v>
      </c>
      <c r="D13" s="1" t="s">
        <v>53</v>
      </c>
      <c r="E13" s="1" t="s">
        <v>18</v>
      </c>
      <c r="F13" s="1" t="str">
        <f>IFERROR(__xludf.DUMMYFUNCTION("SPLIT(E13,""&gt;"")"),"Badger Capsule")</f>
        <v>Badger Capsule</v>
      </c>
      <c r="G13" s="1" t="str">
        <f>IFERROR(__xludf.DUMMYFUNCTION("""COMPUTED_VALUE"""),"Series 1")</f>
        <v>Series 1</v>
      </c>
      <c r="H13" s="1" t="s">
        <v>53</v>
      </c>
      <c r="I13" s="1" t="s">
        <v>19</v>
      </c>
      <c r="J13" s="4">
        <v>44501.0</v>
      </c>
      <c r="K13" s="1">
        <v>250.0</v>
      </c>
      <c r="L13" s="1">
        <v>250.0</v>
      </c>
      <c r="M13" s="1">
        <v>13.0</v>
      </c>
    </row>
    <row r="14">
      <c r="A14" s="1" t="s">
        <v>54</v>
      </c>
      <c r="B14" s="3" t="s">
        <v>55</v>
      </c>
      <c r="C14" s="1" t="s">
        <v>16</v>
      </c>
      <c r="D14" s="1" t="s">
        <v>34</v>
      </c>
      <c r="E14" s="1" t="s">
        <v>39</v>
      </c>
      <c r="F14" s="1" t="str">
        <f>IFERROR(__xludf.DUMMYFUNCTION("SPLIT(E14,""&gt;"")"),"Badger Capsule")</f>
        <v>Badger Capsule</v>
      </c>
      <c r="G14" s="1" t="str">
        <f>IFERROR(__xludf.DUMMYFUNCTION("""COMPUTED_VALUE"""),"Badger Innovation Zone")</f>
        <v>Badger Innovation Zone</v>
      </c>
      <c r="H14" s="1" t="s">
        <v>34</v>
      </c>
      <c r="I14" s="1" t="s">
        <v>56</v>
      </c>
      <c r="J14" s="4">
        <v>44531.0</v>
      </c>
      <c r="K14" s="1">
        <v>500.0</v>
      </c>
      <c r="L14" s="1">
        <v>500.0</v>
      </c>
      <c r="M14" s="1">
        <v>14.0</v>
      </c>
    </row>
    <row r="15">
      <c r="A15" s="1" t="s">
        <v>57</v>
      </c>
      <c r="B15" s="3" t="s">
        <v>58</v>
      </c>
      <c r="C15" s="1" t="s">
        <v>16</v>
      </c>
      <c r="D15" s="1" t="s">
        <v>17</v>
      </c>
      <c r="E15" s="1" t="s">
        <v>18</v>
      </c>
      <c r="F15" s="1" t="str">
        <f>IFERROR(__xludf.DUMMYFUNCTION("SPLIT(E15,""&gt;"")"),"Badger Capsule")</f>
        <v>Badger Capsule</v>
      </c>
      <c r="G15" s="1" t="str">
        <f>IFERROR(__xludf.DUMMYFUNCTION("""COMPUTED_VALUE"""),"Series 1")</f>
        <v>Series 1</v>
      </c>
      <c r="H15" s="1" t="s">
        <v>17</v>
      </c>
      <c r="I15" s="1" t="s">
        <v>56</v>
      </c>
      <c r="J15" s="4">
        <v>44531.0</v>
      </c>
      <c r="K15" s="1">
        <v>250.0</v>
      </c>
      <c r="L15" s="1">
        <v>250.0</v>
      </c>
      <c r="M15" s="1">
        <v>15.0</v>
      </c>
    </row>
    <row r="16">
      <c r="A16" s="1" t="s">
        <v>59</v>
      </c>
      <c r="B16" s="3" t="s">
        <v>60</v>
      </c>
      <c r="C16" s="1" t="s">
        <v>16</v>
      </c>
      <c r="D16" s="1" t="s">
        <v>61</v>
      </c>
      <c r="E16" s="1" t="s">
        <v>39</v>
      </c>
      <c r="F16" s="1" t="str">
        <f>IFERROR(__xludf.DUMMYFUNCTION("SPLIT(E16,""&gt;"")"),"Badger Capsule")</f>
        <v>Badger Capsule</v>
      </c>
      <c r="G16" s="1" t="str">
        <f>IFERROR(__xludf.DUMMYFUNCTION("""COMPUTED_VALUE"""),"Badger Innovation Zone")</f>
        <v>Badger Innovation Zone</v>
      </c>
      <c r="H16" s="1" t="s">
        <v>61</v>
      </c>
      <c r="I16" s="1" t="s">
        <v>56</v>
      </c>
      <c r="J16" s="4">
        <v>44531.0</v>
      </c>
      <c r="K16" s="1">
        <v>500.0</v>
      </c>
      <c r="L16" s="1">
        <v>500.0</v>
      </c>
      <c r="M16" s="1">
        <v>17.0</v>
      </c>
    </row>
    <row r="17">
      <c r="A17" s="1" t="s">
        <v>62</v>
      </c>
      <c r="B17" s="3" t="s">
        <v>63</v>
      </c>
      <c r="C17" s="1" t="s">
        <v>16</v>
      </c>
      <c r="D17" s="1" t="s">
        <v>17</v>
      </c>
      <c r="E17" s="1" t="s">
        <v>39</v>
      </c>
      <c r="F17" s="1" t="str">
        <f>IFERROR(__xludf.DUMMYFUNCTION("SPLIT(E17,""&gt;"")"),"Badger Capsule")</f>
        <v>Badger Capsule</v>
      </c>
      <c r="G17" s="1" t="str">
        <f>IFERROR(__xludf.DUMMYFUNCTION("""COMPUTED_VALUE"""),"Badger Innovation Zone")</f>
        <v>Badger Innovation Zone</v>
      </c>
      <c r="H17" s="1" t="s">
        <v>17</v>
      </c>
      <c r="I17" s="1" t="s">
        <v>56</v>
      </c>
      <c r="J17" s="4">
        <v>44531.0</v>
      </c>
      <c r="K17" s="1">
        <v>250.0</v>
      </c>
      <c r="L17" s="1">
        <v>250.0</v>
      </c>
      <c r="M17" s="1">
        <v>16.0</v>
      </c>
    </row>
    <row r="18">
      <c r="A18" s="1" t="s">
        <v>64</v>
      </c>
      <c r="B18" s="3" t="s">
        <v>65</v>
      </c>
      <c r="C18" s="1" t="s">
        <v>16</v>
      </c>
      <c r="D18" s="1" t="s">
        <v>66</v>
      </c>
      <c r="E18" s="1" t="s">
        <v>67</v>
      </c>
      <c r="F18" s="1" t="str">
        <f>IFERROR(__xludf.DUMMYFUNCTION("SPLIT(E18,""&gt;"")"),"Memorychain")</f>
        <v>Memorychain</v>
      </c>
      <c r="G18" s="1" t="str">
        <f>IFERROR(__xludf.DUMMYFUNCTION("""COMPUTED_VALUE"""),"Series 1")</f>
        <v>Series 1</v>
      </c>
      <c r="H18" s="1" t="s">
        <v>66</v>
      </c>
      <c r="I18" s="1" t="s">
        <v>68</v>
      </c>
      <c r="J18" s="4">
        <v>42826.0</v>
      </c>
      <c r="K18" s="1">
        <v>10000.0</v>
      </c>
      <c r="L18" s="1">
        <v>10000.0</v>
      </c>
      <c r="M18" s="1">
        <v>1.0</v>
      </c>
    </row>
    <row r="19">
      <c r="A19" s="1" t="s">
        <v>69</v>
      </c>
      <c r="B19" s="3" t="s">
        <v>70</v>
      </c>
      <c r="C19" s="1" t="s">
        <v>16</v>
      </c>
      <c r="D19" s="1" t="s">
        <v>71</v>
      </c>
      <c r="E19" s="1" t="s">
        <v>67</v>
      </c>
      <c r="F19" s="1" t="str">
        <f>IFERROR(__xludf.DUMMYFUNCTION("SPLIT(E19,""&gt;"")"),"Memorychain")</f>
        <v>Memorychain</v>
      </c>
      <c r="G19" s="1" t="str">
        <f>IFERROR(__xludf.DUMMYFUNCTION("""COMPUTED_VALUE"""),"Series 1")</f>
        <v>Series 1</v>
      </c>
      <c r="H19" s="1" t="s">
        <v>71</v>
      </c>
      <c r="I19" s="1" t="s">
        <v>68</v>
      </c>
      <c r="J19" s="4">
        <v>42826.0</v>
      </c>
      <c r="K19" s="1">
        <v>100.0</v>
      </c>
      <c r="L19" s="1">
        <v>100.0</v>
      </c>
      <c r="M19" s="1">
        <v>2.0</v>
      </c>
    </row>
    <row r="20">
      <c r="A20" s="1" t="s">
        <v>72</v>
      </c>
      <c r="B20" s="3" t="s">
        <v>73</v>
      </c>
      <c r="C20" s="1" t="s">
        <v>16</v>
      </c>
      <c r="D20" s="1" t="s">
        <v>71</v>
      </c>
      <c r="E20" s="1" t="s">
        <v>67</v>
      </c>
      <c r="F20" s="1" t="str">
        <f>IFERROR(__xludf.DUMMYFUNCTION("SPLIT(E20,""&gt;"")"),"Memorychain")</f>
        <v>Memorychain</v>
      </c>
      <c r="G20" s="1" t="str">
        <f>IFERROR(__xludf.DUMMYFUNCTION("""COMPUTED_VALUE"""),"Series 1")</f>
        <v>Series 1</v>
      </c>
      <c r="H20" s="1" t="s">
        <v>71</v>
      </c>
      <c r="I20" s="1" t="s">
        <v>68</v>
      </c>
      <c r="J20" s="4">
        <v>42826.0</v>
      </c>
      <c r="K20" s="1">
        <v>100.0</v>
      </c>
      <c r="L20" s="1">
        <v>100.0</v>
      </c>
      <c r="M20" s="1">
        <v>3.0</v>
      </c>
    </row>
    <row r="21">
      <c r="A21" s="1" t="s">
        <v>74</v>
      </c>
      <c r="B21" s="3" t="s">
        <v>75</v>
      </c>
      <c r="C21" s="1" t="s">
        <v>16</v>
      </c>
      <c r="D21" s="1" t="s">
        <v>76</v>
      </c>
      <c r="E21" s="1" t="s">
        <v>67</v>
      </c>
      <c r="F21" s="1" t="str">
        <f>IFERROR(__xludf.DUMMYFUNCTION("SPLIT(E21,""&gt;"")"),"Memorychain")</f>
        <v>Memorychain</v>
      </c>
      <c r="G21" s="1" t="str">
        <f>IFERROR(__xludf.DUMMYFUNCTION("""COMPUTED_VALUE"""),"Series 1")</f>
        <v>Series 1</v>
      </c>
      <c r="H21" s="1" t="s">
        <v>76</v>
      </c>
      <c r="I21" s="1" t="s">
        <v>68</v>
      </c>
      <c r="J21" s="4">
        <v>42826.0</v>
      </c>
      <c r="K21" s="1">
        <v>777.0</v>
      </c>
      <c r="L21" s="1">
        <v>777.0</v>
      </c>
      <c r="M21" s="1">
        <v>4.0</v>
      </c>
    </row>
    <row r="22">
      <c r="A22" s="1" t="s">
        <v>77</v>
      </c>
      <c r="B22" s="3" t="s">
        <v>78</v>
      </c>
      <c r="C22" s="1" t="s">
        <v>16</v>
      </c>
      <c r="D22" s="1" t="s">
        <v>79</v>
      </c>
      <c r="E22" s="1" t="s">
        <v>67</v>
      </c>
      <c r="F22" s="1" t="str">
        <f>IFERROR(__xludf.DUMMYFUNCTION("SPLIT(E22,""&gt;"")"),"Memorychain")</f>
        <v>Memorychain</v>
      </c>
      <c r="G22" s="1" t="str">
        <f>IFERROR(__xludf.DUMMYFUNCTION("""COMPUTED_VALUE"""),"Series 1")</f>
        <v>Series 1</v>
      </c>
      <c r="H22" s="1" t="s">
        <v>79</v>
      </c>
      <c r="I22" s="1" t="s">
        <v>68</v>
      </c>
      <c r="J22" s="4">
        <v>42826.0</v>
      </c>
      <c r="K22" s="1">
        <v>300.0</v>
      </c>
      <c r="L22" s="1">
        <v>300.0</v>
      </c>
      <c r="M22" s="1">
        <v>5.0</v>
      </c>
    </row>
    <row r="23">
      <c r="A23" s="1" t="s">
        <v>80</v>
      </c>
      <c r="B23" s="3" t="s">
        <v>81</v>
      </c>
      <c r="C23" s="1" t="s">
        <v>16</v>
      </c>
      <c r="D23" s="1" t="s">
        <v>79</v>
      </c>
      <c r="E23" s="1" t="s">
        <v>67</v>
      </c>
      <c r="F23" s="1" t="str">
        <f>IFERROR(__xludf.DUMMYFUNCTION("SPLIT(E23,""&gt;"")"),"Memorychain")</f>
        <v>Memorychain</v>
      </c>
      <c r="G23" s="1" t="str">
        <f>IFERROR(__xludf.DUMMYFUNCTION("""COMPUTED_VALUE"""),"Series 1")</f>
        <v>Series 1</v>
      </c>
      <c r="H23" s="1" t="s">
        <v>79</v>
      </c>
      <c r="I23" s="1" t="s">
        <v>68</v>
      </c>
      <c r="J23" s="4">
        <v>42826.0</v>
      </c>
      <c r="K23" s="1">
        <v>100.0</v>
      </c>
      <c r="L23" s="1">
        <v>100.0</v>
      </c>
      <c r="M23" s="1">
        <v>6.0</v>
      </c>
    </row>
    <row r="24">
      <c r="A24" s="1" t="s">
        <v>82</v>
      </c>
      <c r="B24" s="3" t="s">
        <v>83</v>
      </c>
      <c r="C24" s="1" t="s">
        <v>16</v>
      </c>
      <c r="D24" s="1" t="s">
        <v>84</v>
      </c>
      <c r="E24" s="1" t="s">
        <v>67</v>
      </c>
      <c r="F24" s="1" t="str">
        <f>IFERROR(__xludf.DUMMYFUNCTION("SPLIT(E24,""&gt;"")"),"Memorychain")</f>
        <v>Memorychain</v>
      </c>
      <c r="G24" s="1" t="str">
        <f>IFERROR(__xludf.DUMMYFUNCTION("""COMPUTED_VALUE"""),"Series 1")</f>
        <v>Series 1</v>
      </c>
      <c r="H24" s="1" t="s">
        <v>84</v>
      </c>
      <c r="I24" s="1" t="s">
        <v>68</v>
      </c>
      <c r="J24" s="4">
        <v>42826.0</v>
      </c>
      <c r="K24" s="1">
        <v>1000.0</v>
      </c>
      <c r="L24" s="1">
        <v>1000.0</v>
      </c>
      <c r="M24" s="1">
        <v>7.0</v>
      </c>
    </row>
    <row r="25">
      <c r="A25" s="1" t="s">
        <v>85</v>
      </c>
      <c r="B25" s="3" t="s">
        <v>86</v>
      </c>
      <c r="C25" s="1" t="s">
        <v>16</v>
      </c>
      <c r="D25" s="1" t="s">
        <v>84</v>
      </c>
      <c r="E25" s="1" t="s">
        <v>67</v>
      </c>
      <c r="F25" s="1" t="str">
        <f>IFERROR(__xludf.DUMMYFUNCTION("SPLIT(E25,""&gt;"")"),"Memorychain")</f>
        <v>Memorychain</v>
      </c>
      <c r="G25" s="1" t="str">
        <f>IFERROR(__xludf.DUMMYFUNCTION("""COMPUTED_VALUE"""),"Series 1")</f>
        <v>Series 1</v>
      </c>
      <c r="H25" s="1" t="s">
        <v>84</v>
      </c>
      <c r="I25" s="1" t="s">
        <v>68</v>
      </c>
      <c r="J25" s="4">
        <v>42826.0</v>
      </c>
      <c r="K25" s="1">
        <v>1000.0</v>
      </c>
      <c r="L25" s="1">
        <v>1000.0</v>
      </c>
      <c r="M25" s="1">
        <v>8.0</v>
      </c>
    </row>
    <row r="26">
      <c r="A26" s="1" t="s">
        <v>87</v>
      </c>
      <c r="B26" s="3" t="s">
        <v>88</v>
      </c>
      <c r="C26" s="1" t="s">
        <v>16</v>
      </c>
      <c r="D26" s="1" t="s">
        <v>89</v>
      </c>
      <c r="E26" s="1" t="s">
        <v>67</v>
      </c>
      <c r="F26" s="1" t="str">
        <f>IFERROR(__xludf.DUMMYFUNCTION("SPLIT(E26,""&gt;"")"),"Memorychain")</f>
        <v>Memorychain</v>
      </c>
      <c r="G26" s="1" t="str">
        <f>IFERROR(__xludf.DUMMYFUNCTION("""COMPUTED_VALUE"""),"Series 1")</f>
        <v>Series 1</v>
      </c>
      <c r="H26" s="1" t="s">
        <v>89</v>
      </c>
      <c r="I26" s="1" t="s">
        <v>68</v>
      </c>
      <c r="J26" s="4">
        <v>42826.0</v>
      </c>
      <c r="K26" s="1">
        <v>1000.0</v>
      </c>
      <c r="L26" s="1">
        <v>1000.0</v>
      </c>
      <c r="M26" s="1">
        <v>9.0</v>
      </c>
    </row>
    <row r="27">
      <c r="A27" s="1" t="s">
        <v>90</v>
      </c>
      <c r="B27" s="3" t="s">
        <v>91</v>
      </c>
      <c r="C27" s="1" t="s">
        <v>16</v>
      </c>
      <c r="D27" s="1" t="s">
        <v>92</v>
      </c>
      <c r="E27" s="1" t="s">
        <v>67</v>
      </c>
      <c r="F27" s="1" t="str">
        <f>IFERROR(__xludf.DUMMYFUNCTION("SPLIT(E27,""&gt;"")"),"Memorychain")</f>
        <v>Memorychain</v>
      </c>
      <c r="G27" s="1" t="str">
        <f>IFERROR(__xludf.DUMMYFUNCTION("""COMPUTED_VALUE"""),"Series 1")</f>
        <v>Series 1</v>
      </c>
      <c r="H27" s="1" t="s">
        <v>92</v>
      </c>
      <c r="I27" s="1" t="s">
        <v>68</v>
      </c>
      <c r="J27" s="4">
        <v>42826.0</v>
      </c>
      <c r="K27" s="1">
        <v>317.0</v>
      </c>
      <c r="L27" s="1">
        <v>317.0</v>
      </c>
      <c r="M27" s="1">
        <v>10.0</v>
      </c>
    </row>
    <row r="28">
      <c r="A28" s="1" t="s">
        <v>93</v>
      </c>
      <c r="B28" s="3" t="s">
        <v>94</v>
      </c>
      <c r="C28" s="1" t="s">
        <v>16</v>
      </c>
      <c r="D28" s="1" t="s">
        <v>95</v>
      </c>
      <c r="E28" s="1" t="s">
        <v>67</v>
      </c>
      <c r="F28" s="1" t="str">
        <f>IFERROR(__xludf.DUMMYFUNCTION("SPLIT(E28,""&gt;"")"),"Memorychain")</f>
        <v>Memorychain</v>
      </c>
      <c r="G28" s="1" t="str">
        <f>IFERROR(__xludf.DUMMYFUNCTION("""COMPUTED_VALUE"""),"Series 1")</f>
        <v>Series 1</v>
      </c>
      <c r="H28" s="1" t="s">
        <v>95</v>
      </c>
      <c r="I28" s="1" t="s">
        <v>68</v>
      </c>
      <c r="J28" s="4">
        <v>42826.0</v>
      </c>
      <c r="K28" s="1">
        <v>100.0</v>
      </c>
      <c r="L28" s="1">
        <v>99.0</v>
      </c>
      <c r="M28" s="1">
        <v>11.0</v>
      </c>
    </row>
    <row r="29">
      <c r="A29" s="1" t="s">
        <v>96</v>
      </c>
      <c r="B29" s="3" t="s">
        <v>97</v>
      </c>
      <c r="C29" s="1" t="s">
        <v>16</v>
      </c>
      <c r="D29" s="1" t="s">
        <v>23</v>
      </c>
      <c r="E29" s="1" t="s">
        <v>67</v>
      </c>
      <c r="F29" s="1" t="str">
        <f>IFERROR(__xludf.DUMMYFUNCTION("SPLIT(E29,""&gt;"")"),"Memorychain")</f>
        <v>Memorychain</v>
      </c>
      <c r="G29" s="1" t="str">
        <f>IFERROR(__xludf.DUMMYFUNCTION("""COMPUTED_VALUE"""),"Series 1")</f>
        <v>Series 1</v>
      </c>
      <c r="H29" s="1" t="s">
        <v>23</v>
      </c>
      <c r="I29" s="1" t="s">
        <v>68</v>
      </c>
      <c r="J29" s="4">
        <v>42826.0</v>
      </c>
      <c r="K29" s="1">
        <v>500.0</v>
      </c>
      <c r="L29" s="1">
        <v>500.0</v>
      </c>
      <c r="M29" s="1">
        <v>12.0</v>
      </c>
    </row>
    <row r="30">
      <c r="A30" s="1" t="s">
        <v>98</v>
      </c>
      <c r="B30" s="3" t="s">
        <v>99</v>
      </c>
      <c r="C30" s="1" t="s">
        <v>16</v>
      </c>
      <c r="D30" s="1" t="s">
        <v>89</v>
      </c>
      <c r="E30" s="1" t="s">
        <v>67</v>
      </c>
      <c r="F30" s="1" t="str">
        <f>IFERROR(__xludf.DUMMYFUNCTION("SPLIT(E30,""&gt;"")"),"Memorychain")</f>
        <v>Memorychain</v>
      </c>
      <c r="G30" s="1" t="str">
        <f>IFERROR(__xludf.DUMMYFUNCTION("""COMPUTED_VALUE"""),"Series 1")</f>
        <v>Series 1</v>
      </c>
      <c r="H30" s="1" t="s">
        <v>89</v>
      </c>
      <c r="I30" s="1" t="s">
        <v>68</v>
      </c>
      <c r="J30" s="4">
        <v>42826.0</v>
      </c>
      <c r="K30" s="1">
        <v>300.0</v>
      </c>
      <c r="L30" s="1">
        <v>299.0</v>
      </c>
      <c r="M30" s="1">
        <v>13.0</v>
      </c>
    </row>
    <row r="31">
      <c r="A31" s="1" t="s">
        <v>100</v>
      </c>
      <c r="B31" s="3" t="s">
        <v>101</v>
      </c>
      <c r="C31" s="1" t="s">
        <v>16</v>
      </c>
      <c r="D31" s="1" t="s">
        <v>102</v>
      </c>
      <c r="E31" s="1" t="s">
        <v>67</v>
      </c>
      <c r="F31" s="1" t="str">
        <f>IFERROR(__xludf.DUMMYFUNCTION("SPLIT(E31,""&gt;"")"),"Memorychain")</f>
        <v>Memorychain</v>
      </c>
      <c r="G31" s="1" t="str">
        <f>IFERROR(__xludf.DUMMYFUNCTION("""COMPUTED_VALUE"""),"Series 1")</f>
        <v>Series 1</v>
      </c>
      <c r="H31" s="1" t="s">
        <v>102</v>
      </c>
      <c r="I31" s="1" t="s">
        <v>68</v>
      </c>
      <c r="J31" s="4">
        <v>42826.0</v>
      </c>
      <c r="K31" s="1">
        <v>100.0</v>
      </c>
      <c r="L31" s="1">
        <v>100.0</v>
      </c>
      <c r="M31" s="1">
        <v>14.0</v>
      </c>
    </row>
    <row r="32">
      <c r="A32" s="1" t="s">
        <v>103</v>
      </c>
      <c r="B32" s="3" t="s">
        <v>104</v>
      </c>
      <c r="C32" s="1" t="s">
        <v>16</v>
      </c>
      <c r="D32" s="1" t="s">
        <v>105</v>
      </c>
      <c r="E32" s="1" t="s">
        <v>67</v>
      </c>
      <c r="F32" s="1" t="str">
        <f>IFERROR(__xludf.DUMMYFUNCTION("SPLIT(E32,""&gt;"")"),"Memorychain")</f>
        <v>Memorychain</v>
      </c>
      <c r="G32" s="1" t="str">
        <f>IFERROR(__xludf.DUMMYFUNCTION("""COMPUTED_VALUE"""),"Series 1")</f>
        <v>Series 1</v>
      </c>
      <c r="H32" s="1" t="s">
        <v>105</v>
      </c>
      <c r="I32" s="1" t="s">
        <v>68</v>
      </c>
      <c r="J32" s="4">
        <v>42826.0</v>
      </c>
      <c r="K32" s="1">
        <v>100.0</v>
      </c>
      <c r="L32" s="1">
        <v>100.0</v>
      </c>
      <c r="M32" s="1">
        <v>15.0</v>
      </c>
    </row>
    <row r="33">
      <c r="A33" s="1" t="s">
        <v>106</v>
      </c>
      <c r="B33" s="3" t="s">
        <v>107</v>
      </c>
      <c r="C33" s="1" t="s">
        <v>16</v>
      </c>
      <c r="D33" s="1" t="s">
        <v>71</v>
      </c>
      <c r="E33" s="1" t="s">
        <v>108</v>
      </c>
      <c r="F33" s="1" t="str">
        <f>IFERROR(__xludf.DUMMYFUNCTION("SPLIT(E33,""&gt;"")"),"Memorychain")</f>
        <v>Memorychain</v>
      </c>
      <c r="G33" s="1" t="str">
        <f>IFERROR(__xludf.DUMMYFUNCTION("""COMPUTED_VALUE"""),"Series 2")</f>
        <v>Series 2</v>
      </c>
      <c r="H33" s="1" t="s">
        <v>71</v>
      </c>
      <c r="I33" s="1" t="s">
        <v>68</v>
      </c>
      <c r="J33" s="4">
        <v>42826.0</v>
      </c>
      <c r="K33" s="1">
        <v>100.0</v>
      </c>
      <c r="L33" s="1">
        <v>100.0</v>
      </c>
      <c r="M33" s="1">
        <v>16.0</v>
      </c>
    </row>
    <row r="34">
      <c r="A34" s="1" t="s">
        <v>109</v>
      </c>
      <c r="B34" s="3" t="s">
        <v>110</v>
      </c>
      <c r="C34" s="1" t="s">
        <v>16</v>
      </c>
      <c r="D34" s="1" t="s">
        <v>71</v>
      </c>
      <c r="E34" s="1" t="s">
        <v>108</v>
      </c>
      <c r="F34" s="1" t="str">
        <f>IFERROR(__xludf.DUMMYFUNCTION("SPLIT(E34,""&gt;"")"),"Memorychain")</f>
        <v>Memorychain</v>
      </c>
      <c r="G34" s="1" t="str">
        <f>IFERROR(__xludf.DUMMYFUNCTION("""COMPUTED_VALUE"""),"Series 2")</f>
        <v>Series 2</v>
      </c>
      <c r="H34" s="1" t="s">
        <v>71</v>
      </c>
      <c r="I34" s="1" t="s">
        <v>68</v>
      </c>
      <c r="J34" s="4">
        <v>42826.0</v>
      </c>
      <c r="K34" s="1">
        <v>100.0</v>
      </c>
      <c r="L34" s="1">
        <v>100.0</v>
      </c>
      <c r="M34" s="1">
        <v>17.0</v>
      </c>
    </row>
    <row r="35">
      <c r="A35" s="1" t="s">
        <v>111</v>
      </c>
      <c r="B35" s="3" t="s">
        <v>112</v>
      </c>
      <c r="C35" s="1" t="s">
        <v>16</v>
      </c>
      <c r="D35" s="1" t="s">
        <v>84</v>
      </c>
      <c r="E35" s="1" t="s">
        <v>108</v>
      </c>
      <c r="F35" s="1" t="str">
        <f>IFERROR(__xludf.DUMMYFUNCTION("SPLIT(E35,""&gt;"")"),"Memorychain")</f>
        <v>Memorychain</v>
      </c>
      <c r="G35" s="1" t="str">
        <f>IFERROR(__xludf.DUMMYFUNCTION("""COMPUTED_VALUE"""),"Series 2")</f>
        <v>Series 2</v>
      </c>
      <c r="H35" s="1" t="s">
        <v>84</v>
      </c>
      <c r="I35" s="1" t="s">
        <v>68</v>
      </c>
      <c r="J35" s="4">
        <v>42826.0</v>
      </c>
      <c r="K35" s="1">
        <v>1000.0</v>
      </c>
      <c r="L35" s="1">
        <v>1000.0</v>
      </c>
      <c r="M35" s="1">
        <v>18.0</v>
      </c>
    </row>
    <row r="36">
      <c r="A36" s="1" t="s">
        <v>113</v>
      </c>
      <c r="B36" s="3" t="s">
        <v>114</v>
      </c>
      <c r="C36" s="1" t="s">
        <v>16</v>
      </c>
      <c r="D36" s="1" t="s">
        <v>84</v>
      </c>
      <c r="E36" s="1" t="s">
        <v>108</v>
      </c>
      <c r="F36" s="1" t="str">
        <f>IFERROR(__xludf.DUMMYFUNCTION("SPLIT(E36,""&gt;"")"),"Memorychain")</f>
        <v>Memorychain</v>
      </c>
      <c r="G36" s="1" t="str">
        <f>IFERROR(__xludf.DUMMYFUNCTION("""COMPUTED_VALUE"""),"Series 2")</f>
        <v>Series 2</v>
      </c>
      <c r="H36" s="1" t="s">
        <v>84</v>
      </c>
      <c r="I36" s="1" t="s">
        <v>68</v>
      </c>
      <c r="J36" s="4">
        <v>42826.0</v>
      </c>
      <c r="K36" s="1">
        <v>1000.0</v>
      </c>
      <c r="L36" s="1">
        <v>1000.0</v>
      </c>
      <c r="M36" s="1">
        <v>19.0</v>
      </c>
    </row>
    <row r="37">
      <c r="A37" s="1" t="s">
        <v>115</v>
      </c>
      <c r="B37" s="3" t="s">
        <v>116</v>
      </c>
      <c r="C37" s="1" t="s">
        <v>16</v>
      </c>
      <c r="D37" s="1" t="s">
        <v>84</v>
      </c>
      <c r="E37" s="1" t="s">
        <v>108</v>
      </c>
      <c r="F37" s="1" t="str">
        <f>IFERROR(__xludf.DUMMYFUNCTION("SPLIT(E37,""&gt;"")"),"Memorychain")</f>
        <v>Memorychain</v>
      </c>
      <c r="G37" s="1" t="str">
        <f>IFERROR(__xludf.DUMMYFUNCTION("""COMPUTED_VALUE"""),"Series 2")</f>
        <v>Series 2</v>
      </c>
      <c r="H37" s="1" t="s">
        <v>84</v>
      </c>
      <c r="I37" s="1" t="s">
        <v>68</v>
      </c>
      <c r="J37" s="4">
        <v>42826.0</v>
      </c>
      <c r="K37" s="1">
        <v>1000.0</v>
      </c>
      <c r="L37" s="1">
        <v>1000.0</v>
      </c>
      <c r="M37" s="1">
        <v>20.0</v>
      </c>
    </row>
    <row r="38">
      <c r="A38" s="1" t="s">
        <v>117</v>
      </c>
      <c r="B38" s="3" t="s">
        <v>118</v>
      </c>
      <c r="C38" s="1" t="s">
        <v>16</v>
      </c>
      <c r="D38" s="1" t="s">
        <v>95</v>
      </c>
      <c r="E38" s="1" t="s">
        <v>108</v>
      </c>
      <c r="F38" s="1" t="str">
        <f>IFERROR(__xludf.DUMMYFUNCTION("SPLIT(E38,""&gt;"")"),"Memorychain")</f>
        <v>Memorychain</v>
      </c>
      <c r="G38" s="1" t="str">
        <f>IFERROR(__xludf.DUMMYFUNCTION("""COMPUTED_VALUE"""),"Series 2")</f>
        <v>Series 2</v>
      </c>
      <c r="H38" s="1" t="s">
        <v>95</v>
      </c>
      <c r="I38" s="1" t="s">
        <v>68</v>
      </c>
      <c r="J38" s="4">
        <v>42826.0</v>
      </c>
      <c r="K38" s="1">
        <v>100.0</v>
      </c>
      <c r="L38" s="1">
        <v>100.0</v>
      </c>
      <c r="M38" s="1">
        <v>21.0</v>
      </c>
    </row>
    <row r="39">
      <c r="A39" s="1" t="s">
        <v>119</v>
      </c>
      <c r="B39" s="3" t="s">
        <v>120</v>
      </c>
      <c r="C39" s="1" t="s">
        <v>16</v>
      </c>
      <c r="D39" s="1" t="s">
        <v>92</v>
      </c>
      <c r="E39" s="1" t="s">
        <v>108</v>
      </c>
      <c r="F39" s="1" t="str">
        <f>IFERROR(__xludf.DUMMYFUNCTION("SPLIT(E39,""&gt;"")"),"Memorychain")</f>
        <v>Memorychain</v>
      </c>
      <c r="G39" s="1" t="str">
        <f>IFERROR(__xludf.DUMMYFUNCTION("""COMPUTED_VALUE"""),"Series 2")</f>
        <v>Series 2</v>
      </c>
      <c r="H39" s="1" t="s">
        <v>92</v>
      </c>
      <c r="I39" s="1" t="s">
        <v>68</v>
      </c>
      <c r="J39" s="4">
        <v>42826.0</v>
      </c>
      <c r="K39" s="1">
        <v>700.0</v>
      </c>
      <c r="L39" s="1">
        <v>700.0</v>
      </c>
      <c r="M39" s="1">
        <v>22.0</v>
      </c>
    </row>
    <row r="40">
      <c r="A40" s="1" t="s">
        <v>121</v>
      </c>
      <c r="B40" s="3" t="s">
        <v>122</v>
      </c>
      <c r="C40" s="1" t="s">
        <v>16</v>
      </c>
      <c r="D40" s="1" t="s">
        <v>123</v>
      </c>
      <c r="E40" s="1" t="s">
        <v>108</v>
      </c>
      <c r="F40" s="1" t="str">
        <f>IFERROR(__xludf.DUMMYFUNCTION("SPLIT(E40,""&gt;"")"),"Memorychain")</f>
        <v>Memorychain</v>
      </c>
      <c r="G40" s="1" t="str">
        <f>IFERROR(__xludf.DUMMYFUNCTION("""COMPUTED_VALUE"""),"Series 2")</f>
        <v>Series 2</v>
      </c>
      <c r="H40" s="1" t="s">
        <v>123</v>
      </c>
      <c r="I40" s="1" t="s">
        <v>68</v>
      </c>
      <c r="J40" s="4">
        <v>42826.0</v>
      </c>
      <c r="K40" s="1">
        <v>150.0</v>
      </c>
      <c r="L40" s="1">
        <v>149.0</v>
      </c>
      <c r="M40" s="1">
        <v>23.0</v>
      </c>
    </row>
    <row r="41">
      <c r="A41" s="1" t="s">
        <v>124</v>
      </c>
      <c r="B41" s="3" t="s">
        <v>125</v>
      </c>
      <c r="C41" s="1" t="s">
        <v>16</v>
      </c>
      <c r="D41" s="1" t="s">
        <v>79</v>
      </c>
      <c r="E41" s="1" t="s">
        <v>108</v>
      </c>
      <c r="F41" s="1" t="str">
        <f>IFERROR(__xludf.DUMMYFUNCTION("SPLIT(E41,""&gt;"")"),"Memorychain")</f>
        <v>Memorychain</v>
      </c>
      <c r="G41" s="1" t="str">
        <f>IFERROR(__xludf.DUMMYFUNCTION("""COMPUTED_VALUE"""),"Series 2")</f>
        <v>Series 2</v>
      </c>
      <c r="H41" s="1" t="s">
        <v>79</v>
      </c>
      <c r="I41" s="1" t="s">
        <v>68</v>
      </c>
      <c r="J41" s="4">
        <v>42826.0</v>
      </c>
      <c r="K41" s="1">
        <v>100.0</v>
      </c>
      <c r="L41" s="1">
        <v>100.0</v>
      </c>
      <c r="M41" s="1">
        <v>24.0</v>
      </c>
    </row>
    <row r="42">
      <c r="A42" s="1" t="s">
        <v>126</v>
      </c>
      <c r="B42" s="3" t="s">
        <v>127</v>
      </c>
      <c r="C42" s="1" t="s">
        <v>16</v>
      </c>
      <c r="D42" s="1" t="s">
        <v>128</v>
      </c>
      <c r="E42" s="1" t="s">
        <v>108</v>
      </c>
      <c r="F42" s="1" t="str">
        <f>IFERROR(__xludf.DUMMYFUNCTION("SPLIT(E42,""&gt;"")"),"Memorychain")</f>
        <v>Memorychain</v>
      </c>
      <c r="G42" s="1" t="str">
        <f>IFERROR(__xludf.DUMMYFUNCTION("""COMPUTED_VALUE"""),"Series 2")</f>
        <v>Series 2</v>
      </c>
      <c r="H42" s="1" t="s">
        <v>128</v>
      </c>
      <c r="I42" s="1" t="s">
        <v>68</v>
      </c>
      <c r="J42" s="4">
        <v>42826.0</v>
      </c>
      <c r="K42" s="1">
        <v>500.0</v>
      </c>
      <c r="L42" s="1">
        <v>499.0</v>
      </c>
      <c r="M42" s="1">
        <v>25.0</v>
      </c>
    </row>
    <row r="43">
      <c r="A43" s="1" t="s">
        <v>129</v>
      </c>
      <c r="B43" s="3" t="s">
        <v>130</v>
      </c>
      <c r="C43" s="1" t="s">
        <v>16</v>
      </c>
      <c r="D43" s="1" t="s">
        <v>23</v>
      </c>
      <c r="E43" s="1" t="s">
        <v>131</v>
      </c>
      <c r="F43" s="1" t="str">
        <f>IFERROR(__xludf.DUMMYFUNCTION("SPLIT(E43,""&gt;"")"),"Memorychain")</f>
        <v>Memorychain</v>
      </c>
      <c r="G43" s="1" t="str">
        <f>IFERROR(__xludf.DUMMYFUNCTION("""COMPUTED_VALUE"""),"Series 3")</f>
        <v>Series 3</v>
      </c>
      <c r="H43" s="1" t="s">
        <v>23</v>
      </c>
      <c r="I43" s="1" t="s">
        <v>132</v>
      </c>
      <c r="J43" s="4">
        <v>42856.0</v>
      </c>
      <c r="K43" s="1">
        <v>500.0</v>
      </c>
      <c r="L43" s="1">
        <v>500.0</v>
      </c>
      <c r="M43" s="1">
        <v>26.0</v>
      </c>
    </row>
    <row r="44">
      <c r="A44" s="1" t="s">
        <v>133</v>
      </c>
      <c r="B44" s="3" t="s">
        <v>134</v>
      </c>
      <c r="C44" s="1" t="s">
        <v>16</v>
      </c>
      <c r="D44" s="1" t="s">
        <v>135</v>
      </c>
      <c r="E44" s="1" t="s">
        <v>131</v>
      </c>
      <c r="F44" s="1" t="str">
        <f>IFERROR(__xludf.DUMMYFUNCTION("SPLIT(E44,""&gt;"")"),"Memorychain")</f>
        <v>Memorychain</v>
      </c>
      <c r="G44" s="1" t="str">
        <f>IFERROR(__xludf.DUMMYFUNCTION("""COMPUTED_VALUE"""),"Series 3")</f>
        <v>Series 3</v>
      </c>
      <c r="H44" s="1" t="s">
        <v>135</v>
      </c>
      <c r="I44" s="1" t="s">
        <v>132</v>
      </c>
      <c r="J44" s="4">
        <v>42856.0</v>
      </c>
      <c r="K44" s="1">
        <v>108.0</v>
      </c>
      <c r="L44" s="1">
        <v>108.0</v>
      </c>
      <c r="M44" s="1">
        <v>27.0</v>
      </c>
    </row>
    <row r="45">
      <c r="A45" s="1" t="s">
        <v>136</v>
      </c>
      <c r="B45" s="3" t="s">
        <v>137</v>
      </c>
      <c r="C45" s="1" t="s">
        <v>16</v>
      </c>
      <c r="D45" s="1" t="s">
        <v>76</v>
      </c>
      <c r="E45" s="1" t="s">
        <v>131</v>
      </c>
      <c r="F45" s="1" t="str">
        <f>IFERROR(__xludf.DUMMYFUNCTION("SPLIT(E45,""&gt;"")"),"Memorychain")</f>
        <v>Memorychain</v>
      </c>
      <c r="G45" s="1" t="str">
        <f>IFERROR(__xludf.DUMMYFUNCTION("""COMPUTED_VALUE"""),"Series 3")</f>
        <v>Series 3</v>
      </c>
      <c r="H45" s="1" t="s">
        <v>76</v>
      </c>
      <c r="I45" s="1" t="s">
        <v>132</v>
      </c>
      <c r="J45" s="4">
        <v>42856.0</v>
      </c>
      <c r="K45" s="1">
        <v>500.0</v>
      </c>
      <c r="L45" s="1">
        <v>500.0</v>
      </c>
      <c r="M45" s="1">
        <v>28.0</v>
      </c>
    </row>
    <row r="46">
      <c r="A46" s="1" t="s">
        <v>138</v>
      </c>
      <c r="B46" s="3" t="s">
        <v>139</v>
      </c>
      <c r="C46" s="1" t="s">
        <v>16</v>
      </c>
      <c r="D46" s="1" t="s">
        <v>76</v>
      </c>
      <c r="E46" s="1" t="s">
        <v>131</v>
      </c>
      <c r="F46" s="1" t="str">
        <f>IFERROR(__xludf.DUMMYFUNCTION("SPLIT(E46,""&gt;"")"),"Memorychain")</f>
        <v>Memorychain</v>
      </c>
      <c r="G46" s="1" t="str">
        <f>IFERROR(__xludf.DUMMYFUNCTION("""COMPUTED_VALUE"""),"Series 3")</f>
        <v>Series 3</v>
      </c>
      <c r="H46" s="1" t="s">
        <v>76</v>
      </c>
      <c r="I46" s="1" t="s">
        <v>132</v>
      </c>
      <c r="J46" s="4">
        <v>42856.0</v>
      </c>
      <c r="K46" s="1">
        <v>500.0</v>
      </c>
      <c r="L46" s="1">
        <v>500.0</v>
      </c>
      <c r="M46" s="1">
        <v>29.0</v>
      </c>
    </row>
    <row r="47">
      <c r="A47" s="1" t="s">
        <v>140</v>
      </c>
      <c r="B47" s="3" t="s">
        <v>141</v>
      </c>
      <c r="C47" s="1" t="s">
        <v>16</v>
      </c>
      <c r="D47" s="1" t="s">
        <v>89</v>
      </c>
      <c r="E47" s="1" t="s">
        <v>131</v>
      </c>
      <c r="F47" s="1" t="str">
        <f>IFERROR(__xludf.DUMMYFUNCTION("SPLIT(E47,""&gt;"")"),"Memorychain")</f>
        <v>Memorychain</v>
      </c>
      <c r="G47" s="1" t="str">
        <f>IFERROR(__xludf.DUMMYFUNCTION("""COMPUTED_VALUE"""),"Series 3")</f>
        <v>Series 3</v>
      </c>
      <c r="H47" s="1" t="s">
        <v>89</v>
      </c>
      <c r="I47" s="1" t="s">
        <v>132</v>
      </c>
      <c r="J47" s="4">
        <v>42856.0</v>
      </c>
      <c r="K47" s="1">
        <v>100.0</v>
      </c>
      <c r="L47" s="1">
        <v>100.0</v>
      </c>
      <c r="M47" s="1">
        <v>30.0</v>
      </c>
    </row>
    <row r="48">
      <c r="A48" s="1" t="s">
        <v>142</v>
      </c>
      <c r="B48" s="3" t="s">
        <v>143</v>
      </c>
      <c r="C48" s="1" t="s">
        <v>16</v>
      </c>
      <c r="D48" s="1" t="s">
        <v>123</v>
      </c>
      <c r="E48" s="1" t="s">
        <v>131</v>
      </c>
      <c r="F48" s="1" t="str">
        <f>IFERROR(__xludf.DUMMYFUNCTION("SPLIT(E48,""&gt;"")"),"Memorychain")</f>
        <v>Memorychain</v>
      </c>
      <c r="G48" s="1" t="str">
        <f>IFERROR(__xludf.DUMMYFUNCTION("""COMPUTED_VALUE"""),"Series 3")</f>
        <v>Series 3</v>
      </c>
      <c r="H48" s="1" t="s">
        <v>123</v>
      </c>
      <c r="I48" s="1" t="s">
        <v>132</v>
      </c>
      <c r="J48" s="4">
        <v>42856.0</v>
      </c>
      <c r="K48" s="1">
        <v>108.0</v>
      </c>
      <c r="L48" s="1">
        <v>108.0</v>
      </c>
      <c r="M48" s="1">
        <v>31.0</v>
      </c>
    </row>
    <row r="49">
      <c r="A49" s="1" t="s">
        <v>144</v>
      </c>
      <c r="B49" s="3" t="s">
        <v>145</v>
      </c>
      <c r="C49" s="1" t="s">
        <v>16</v>
      </c>
      <c r="D49" s="1" t="s">
        <v>146</v>
      </c>
      <c r="E49" s="1" t="s">
        <v>131</v>
      </c>
      <c r="F49" s="1" t="str">
        <f>IFERROR(__xludf.DUMMYFUNCTION("SPLIT(E49,""&gt;"")"),"Memorychain")</f>
        <v>Memorychain</v>
      </c>
      <c r="G49" s="1" t="str">
        <f>IFERROR(__xludf.DUMMYFUNCTION("""COMPUTED_VALUE"""),"Series 3")</f>
        <v>Series 3</v>
      </c>
      <c r="H49" s="1" t="s">
        <v>146</v>
      </c>
      <c r="I49" s="1" t="s">
        <v>132</v>
      </c>
      <c r="J49" s="4">
        <v>42856.0</v>
      </c>
      <c r="K49" s="1">
        <v>1000.0</v>
      </c>
      <c r="L49" s="1">
        <v>1000.0</v>
      </c>
      <c r="M49" s="1">
        <v>32.0</v>
      </c>
    </row>
    <row r="50">
      <c r="A50" s="1" t="s">
        <v>147</v>
      </c>
      <c r="B50" s="3" t="s">
        <v>148</v>
      </c>
      <c r="C50" s="1" t="s">
        <v>16</v>
      </c>
      <c r="D50" s="1" t="s">
        <v>84</v>
      </c>
      <c r="E50" s="1" t="s">
        <v>131</v>
      </c>
      <c r="F50" s="1" t="str">
        <f>IFERROR(__xludf.DUMMYFUNCTION("SPLIT(E50,""&gt;"")"),"Memorychain")</f>
        <v>Memorychain</v>
      </c>
      <c r="G50" s="1" t="str">
        <f>IFERROR(__xludf.DUMMYFUNCTION("""COMPUTED_VALUE"""),"Series 3")</f>
        <v>Series 3</v>
      </c>
      <c r="H50" s="1" t="s">
        <v>84</v>
      </c>
      <c r="I50" s="1" t="s">
        <v>132</v>
      </c>
      <c r="J50" s="4">
        <v>42856.0</v>
      </c>
      <c r="K50" s="1">
        <v>1000.0</v>
      </c>
      <c r="L50" s="1">
        <v>1000.0</v>
      </c>
      <c r="M50" s="1">
        <v>33.0</v>
      </c>
    </row>
    <row r="51">
      <c r="A51" s="1" t="s">
        <v>149</v>
      </c>
      <c r="B51" s="3" t="s">
        <v>150</v>
      </c>
      <c r="C51" s="1" t="s">
        <v>16</v>
      </c>
      <c r="D51" s="1" t="s">
        <v>84</v>
      </c>
      <c r="E51" s="1" t="s">
        <v>131</v>
      </c>
      <c r="F51" s="1" t="str">
        <f>IFERROR(__xludf.DUMMYFUNCTION("SPLIT(E51,""&gt;"")"),"Memorychain")</f>
        <v>Memorychain</v>
      </c>
      <c r="G51" s="1" t="str">
        <f>IFERROR(__xludf.DUMMYFUNCTION("""COMPUTED_VALUE"""),"Series 3")</f>
        <v>Series 3</v>
      </c>
      <c r="H51" s="1" t="s">
        <v>84</v>
      </c>
      <c r="I51" s="1" t="s">
        <v>132</v>
      </c>
      <c r="J51" s="4">
        <v>42856.0</v>
      </c>
      <c r="K51" s="1">
        <v>1000.0</v>
      </c>
      <c r="L51" s="1">
        <v>1000.0</v>
      </c>
      <c r="M51" s="1">
        <v>34.0</v>
      </c>
    </row>
    <row r="52">
      <c r="A52" s="1" t="s">
        <v>151</v>
      </c>
      <c r="B52" s="3" t="s">
        <v>152</v>
      </c>
      <c r="C52" s="1" t="s">
        <v>16</v>
      </c>
      <c r="D52" s="1" t="s">
        <v>79</v>
      </c>
      <c r="E52" s="1" t="s">
        <v>131</v>
      </c>
      <c r="F52" s="1" t="str">
        <f>IFERROR(__xludf.DUMMYFUNCTION("SPLIT(E52,""&gt;"")"),"Memorychain")</f>
        <v>Memorychain</v>
      </c>
      <c r="G52" s="1" t="str">
        <f>IFERROR(__xludf.DUMMYFUNCTION("""COMPUTED_VALUE"""),"Series 3")</f>
        <v>Series 3</v>
      </c>
      <c r="H52" s="1" t="s">
        <v>79</v>
      </c>
      <c r="I52" s="1" t="s">
        <v>132</v>
      </c>
      <c r="J52" s="4">
        <v>42856.0</v>
      </c>
      <c r="K52" s="1">
        <v>100.0</v>
      </c>
      <c r="L52" s="1">
        <v>100.0</v>
      </c>
      <c r="M52" s="1">
        <v>35.0</v>
      </c>
    </row>
    <row r="53">
      <c r="A53" s="1" t="s">
        <v>153</v>
      </c>
      <c r="B53" s="3" t="s">
        <v>154</v>
      </c>
      <c r="C53" s="1" t="s">
        <v>16</v>
      </c>
      <c r="D53" s="1" t="s">
        <v>79</v>
      </c>
      <c r="E53" s="1" t="s">
        <v>131</v>
      </c>
      <c r="F53" s="1" t="str">
        <f>IFERROR(__xludf.DUMMYFUNCTION("SPLIT(E53,""&gt;"")"),"Memorychain")</f>
        <v>Memorychain</v>
      </c>
      <c r="G53" s="1" t="str">
        <f>IFERROR(__xludf.DUMMYFUNCTION("""COMPUTED_VALUE"""),"Series 3")</f>
        <v>Series 3</v>
      </c>
      <c r="H53" s="1" t="s">
        <v>79</v>
      </c>
      <c r="I53" s="1" t="s">
        <v>132</v>
      </c>
      <c r="J53" s="4">
        <v>42856.0</v>
      </c>
      <c r="K53" s="1">
        <v>100.0</v>
      </c>
      <c r="L53" s="1">
        <v>100.0</v>
      </c>
      <c r="M53" s="1">
        <v>36.0</v>
      </c>
    </row>
    <row r="54">
      <c r="A54" s="1" t="s">
        <v>155</v>
      </c>
      <c r="B54" s="3" t="s">
        <v>156</v>
      </c>
      <c r="C54" s="1" t="s">
        <v>16</v>
      </c>
      <c r="D54" s="1" t="s">
        <v>79</v>
      </c>
      <c r="E54" s="1" t="s">
        <v>131</v>
      </c>
      <c r="F54" s="1" t="str">
        <f>IFERROR(__xludf.DUMMYFUNCTION("SPLIT(E54,""&gt;"")"),"Memorychain")</f>
        <v>Memorychain</v>
      </c>
      <c r="G54" s="1" t="str">
        <f>IFERROR(__xludf.DUMMYFUNCTION("""COMPUTED_VALUE"""),"Series 3")</f>
        <v>Series 3</v>
      </c>
      <c r="H54" s="1" t="s">
        <v>79</v>
      </c>
      <c r="I54" s="1" t="s">
        <v>132</v>
      </c>
      <c r="J54" s="4">
        <v>42856.0</v>
      </c>
      <c r="K54" s="1">
        <v>100.0</v>
      </c>
      <c r="L54" s="1">
        <v>100.0</v>
      </c>
      <c r="M54" s="1">
        <v>37.0</v>
      </c>
    </row>
    <row r="55">
      <c r="A55" s="1" t="s">
        <v>157</v>
      </c>
      <c r="B55" s="3" t="s">
        <v>158</v>
      </c>
      <c r="C55" s="1" t="s">
        <v>16</v>
      </c>
      <c r="D55" s="1" t="s">
        <v>159</v>
      </c>
      <c r="E55" s="1" t="s">
        <v>131</v>
      </c>
      <c r="F55" s="1" t="str">
        <f>IFERROR(__xludf.DUMMYFUNCTION("SPLIT(E55,""&gt;"")"),"Memorychain")</f>
        <v>Memorychain</v>
      </c>
      <c r="G55" s="1" t="str">
        <f>IFERROR(__xludf.DUMMYFUNCTION("""COMPUTED_VALUE"""),"Series 3")</f>
        <v>Series 3</v>
      </c>
      <c r="H55" s="1" t="s">
        <v>159</v>
      </c>
      <c r="I55" s="1" t="s">
        <v>132</v>
      </c>
      <c r="J55" s="4">
        <v>42856.0</v>
      </c>
      <c r="K55" s="1">
        <v>200.0</v>
      </c>
      <c r="L55" s="1">
        <v>199.0</v>
      </c>
      <c r="M55" s="1">
        <v>38.0</v>
      </c>
    </row>
    <row r="56">
      <c r="A56" s="1" t="s">
        <v>160</v>
      </c>
      <c r="B56" s="3" t="s">
        <v>161</v>
      </c>
      <c r="C56" s="1" t="s">
        <v>16</v>
      </c>
      <c r="D56" s="1" t="s">
        <v>162</v>
      </c>
      <c r="E56" s="1" t="s">
        <v>163</v>
      </c>
      <c r="F56" s="1" t="str">
        <f>IFERROR(__xludf.DUMMYFUNCTION("SPLIT(E56,""&gt;"")"),"Memorychain")</f>
        <v>Memorychain</v>
      </c>
      <c r="G56" s="1" t="str">
        <f>IFERROR(__xludf.DUMMYFUNCTION("""COMPUTED_VALUE"""),"Series 4")</f>
        <v>Series 4</v>
      </c>
      <c r="H56" s="1" t="s">
        <v>162</v>
      </c>
      <c r="I56" s="1" t="s">
        <v>132</v>
      </c>
      <c r="J56" s="4">
        <v>42856.0</v>
      </c>
      <c r="K56" s="1">
        <v>1000.0</v>
      </c>
      <c r="L56" s="1">
        <v>1000.0</v>
      </c>
      <c r="M56" s="1">
        <v>39.0</v>
      </c>
    </row>
    <row r="57">
      <c r="A57" s="1" t="s">
        <v>164</v>
      </c>
      <c r="B57" s="3" t="s">
        <v>165</v>
      </c>
      <c r="C57" s="1" t="s">
        <v>16</v>
      </c>
      <c r="D57" s="1" t="s">
        <v>146</v>
      </c>
      <c r="E57" s="1" t="s">
        <v>163</v>
      </c>
      <c r="F57" s="1" t="str">
        <f>IFERROR(__xludf.DUMMYFUNCTION("SPLIT(E57,""&gt;"")"),"Memorychain")</f>
        <v>Memorychain</v>
      </c>
      <c r="G57" s="1" t="str">
        <f>IFERROR(__xludf.DUMMYFUNCTION("""COMPUTED_VALUE"""),"Series 4")</f>
        <v>Series 4</v>
      </c>
      <c r="H57" s="1" t="s">
        <v>146</v>
      </c>
      <c r="I57" s="1" t="s">
        <v>132</v>
      </c>
      <c r="J57" s="4">
        <v>42856.0</v>
      </c>
      <c r="K57" s="1">
        <v>1000.0</v>
      </c>
      <c r="L57" s="1">
        <v>1000.0</v>
      </c>
      <c r="M57" s="1">
        <v>40.0</v>
      </c>
    </row>
    <row r="58">
      <c r="A58" s="1" t="s">
        <v>166</v>
      </c>
      <c r="B58" s="3" t="s">
        <v>167</v>
      </c>
      <c r="C58" s="1" t="s">
        <v>16</v>
      </c>
      <c r="D58" s="1" t="s">
        <v>168</v>
      </c>
      <c r="E58" s="1" t="s">
        <v>163</v>
      </c>
      <c r="F58" s="1" t="str">
        <f>IFERROR(__xludf.DUMMYFUNCTION("SPLIT(E58,""&gt;"")"),"Memorychain")</f>
        <v>Memorychain</v>
      </c>
      <c r="G58" s="1" t="str">
        <f>IFERROR(__xludf.DUMMYFUNCTION("""COMPUTED_VALUE"""),"Series 4")</f>
        <v>Series 4</v>
      </c>
      <c r="H58" s="1" t="s">
        <v>168</v>
      </c>
      <c r="I58" s="1" t="s">
        <v>132</v>
      </c>
      <c r="J58" s="4">
        <v>42856.0</v>
      </c>
      <c r="K58" s="1">
        <v>300.0</v>
      </c>
      <c r="L58" s="1">
        <v>150.0</v>
      </c>
      <c r="M58" s="1">
        <v>41.0</v>
      </c>
    </row>
    <row r="59">
      <c r="A59" s="1" t="s">
        <v>169</v>
      </c>
      <c r="B59" s="3" t="s">
        <v>170</v>
      </c>
      <c r="C59" s="1" t="s">
        <v>16</v>
      </c>
      <c r="D59" s="1" t="s">
        <v>128</v>
      </c>
      <c r="E59" s="1" t="s">
        <v>163</v>
      </c>
      <c r="F59" s="1" t="str">
        <f>IFERROR(__xludf.DUMMYFUNCTION("SPLIT(E59,""&gt;"")"),"Memorychain")</f>
        <v>Memorychain</v>
      </c>
      <c r="G59" s="1" t="str">
        <f>IFERROR(__xludf.DUMMYFUNCTION("""COMPUTED_VALUE"""),"Series 4")</f>
        <v>Series 4</v>
      </c>
      <c r="H59" s="1" t="s">
        <v>128</v>
      </c>
      <c r="I59" s="1" t="s">
        <v>132</v>
      </c>
      <c r="J59" s="4">
        <v>42856.0</v>
      </c>
      <c r="K59" s="1">
        <v>500.0</v>
      </c>
      <c r="L59" s="1">
        <v>500.0</v>
      </c>
      <c r="M59" s="1">
        <v>42.0</v>
      </c>
    </row>
    <row r="60">
      <c r="A60" s="1" t="s">
        <v>171</v>
      </c>
      <c r="B60" s="3" t="s">
        <v>172</v>
      </c>
      <c r="C60" s="1" t="s">
        <v>16</v>
      </c>
      <c r="D60" s="1" t="s">
        <v>79</v>
      </c>
      <c r="E60" s="1" t="s">
        <v>163</v>
      </c>
      <c r="F60" s="1" t="str">
        <f>IFERROR(__xludf.DUMMYFUNCTION("SPLIT(E60,""&gt;"")"),"Memorychain")</f>
        <v>Memorychain</v>
      </c>
      <c r="G60" s="1" t="str">
        <f>IFERROR(__xludf.DUMMYFUNCTION("""COMPUTED_VALUE"""),"Series 4")</f>
        <v>Series 4</v>
      </c>
      <c r="H60" s="1" t="s">
        <v>79</v>
      </c>
      <c r="I60" s="1" t="s">
        <v>132</v>
      </c>
      <c r="J60" s="4">
        <v>42856.0</v>
      </c>
      <c r="K60" s="1">
        <v>100.0</v>
      </c>
      <c r="L60" s="1">
        <v>100.0</v>
      </c>
      <c r="M60" s="1">
        <v>43.0</v>
      </c>
    </row>
    <row r="61">
      <c r="A61" s="1" t="s">
        <v>173</v>
      </c>
      <c r="B61" s="3" t="s">
        <v>174</v>
      </c>
      <c r="C61" s="1" t="s">
        <v>16</v>
      </c>
      <c r="D61" s="1" t="s">
        <v>79</v>
      </c>
      <c r="E61" s="1" t="s">
        <v>163</v>
      </c>
      <c r="F61" s="1" t="str">
        <f>IFERROR(__xludf.DUMMYFUNCTION("SPLIT(E61,""&gt;"")"),"Memorychain")</f>
        <v>Memorychain</v>
      </c>
      <c r="G61" s="1" t="str">
        <f>IFERROR(__xludf.DUMMYFUNCTION("""COMPUTED_VALUE"""),"Series 4")</f>
        <v>Series 4</v>
      </c>
      <c r="H61" s="1" t="s">
        <v>79</v>
      </c>
      <c r="I61" s="1" t="s">
        <v>132</v>
      </c>
      <c r="J61" s="4">
        <v>42856.0</v>
      </c>
      <c r="K61" s="1">
        <v>100.0</v>
      </c>
      <c r="L61" s="1">
        <v>100.0</v>
      </c>
      <c r="M61" s="1">
        <v>44.0</v>
      </c>
    </row>
    <row r="62">
      <c r="A62" s="1" t="s">
        <v>175</v>
      </c>
      <c r="B62" s="3" t="s">
        <v>176</v>
      </c>
      <c r="C62" s="1" t="s">
        <v>16</v>
      </c>
      <c r="D62" s="1" t="s">
        <v>79</v>
      </c>
      <c r="E62" s="1" t="s">
        <v>163</v>
      </c>
      <c r="F62" s="1" t="str">
        <f>IFERROR(__xludf.DUMMYFUNCTION("SPLIT(E62,""&gt;"")"),"Memorychain")</f>
        <v>Memorychain</v>
      </c>
      <c r="G62" s="1" t="str">
        <f>IFERROR(__xludf.DUMMYFUNCTION("""COMPUTED_VALUE"""),"Series 4")</f>
        <v>Series 4</v>
      </c>
      <c r="H62" s="1" t="s">
        <v>79</v>
      </c>
      <c r="I62" s="1" t="s">
        <v>132</v>
      </c>
      <c r="J62" s="4">
        <v>42856.0</v>
      </c>
      <c r="K62" s="1">
        <v>100.0</v>
      </c>
      <c r="L62" s="1">
        <v>100.0</v>
      </c>
      <c r="M62" s="1">
        <v>45.0</v>
      </c>
    </row>
    <row r="63">
      <c r="A63" s="1" t="s">
        <v>177</v>
      </c>
      <c r="B63" s="3" t="s">
        <v>178</v>
      </c>
      <c r="C63" s="1" t="s">
        <v>16</v>
      </c>
      <c r="D63" s="1" t="s">
        <v>179</v>
      </c>
      <c r="E63" s="1" t="s">
        <v>163</v>
      </c>
      <c r="F63" s="1" t="str">
        <f>IFERROR(__xludf.DUMMYFUNCTION("SPLIT(E63,""&gt;"")"),"Memorychain")</f>
        <v>Memorychain</v>
      </c>
      <c r="G63" s="1" t="str">
        <f>IFERROR(__xludf.DUMMYFUNCTION("""COMPUTED_VALUE"""),"Series 4")</f>
        <v>Series 4</v>
      </c>
      <c r="H63" s="1" t="s">
        <v>179</v>
      </c>
      <c r="I63" s="1" t="s">
        <v>132</v>
      </c>
      <c r="J63" s="4">
        <v>42856.0</v>
      </c>
      <c r="K63" s="1">
        <v>10000.0</v>
      </c>
      <c r="L63" s="1">
        <v>10000.0</v>
      </c>
      <c r="M63" s="1">
        <v>46.0</v>
      </c>
    </row>
    <row r="64">
      <c r="A64" s="1" t="s">
        <v>180</v>
      </c>
      <c r="B64" s="3" t="s">
        <v>181</v>
      </c>
      <c r="C64" s="1" t="s">
        <v>16</v>
      </c>
      <c r="D64" s="1" t="s">
        <v>71</v>
      </c>
      <c r="E64" s="1" t="s">
        <v>163</v>
      </c>
      <c r="F64" s="1" t="str">
        <f>IFERROR(__xludf.DUMMYFUNCTION("SPLIT(E64,""&gt;"")"),"Memorychain")</f>
        <v>Memorychain</v>
      </c>
      <c r="G64" s="1" t="str">
        <f>IFERROR(__xludf.DUMMYFUNCTION("""COMPUTED_VALUE"""),"Series 4")</f>
        <v>Series 4</v>
      </c>
      <c r="H64" s="1" t="s">
        <v>71</v>
      </c>
      <c r="I64" s="1" t="s">
        <v>132</v>
      </c>
      <c r="J64" s="4">
        <v>42856.0</v>
      </c>
      <c r="K64" s="1">
        <v>100.0</v>
      </c>
      <c r="L64" s="1">
        <v>100.0</v>
      </c>
      <c r="M64" s="1">
        <v>47.0</v>
      </c>
    </row>
    <row r="65">
      <c r="A65" s="1" t="s">
        <v>182</v>
      </c>
      <c r="B65" s="3" t="s">
        <v>183</v>
      </c>
      <c r="C65" s="1" t="s">
        <v>16</v>
      </c>
      <c r="D65" s="1" t="s">
        <v>76</v>
      </c>
      <c r="E65" s="1" t="s">
        <v>163</v>
      </c>
      <c r="F65" s="1" t="str">
        <f>IFERROR(__xludf.DUMMYFUNCTION("SPLIT(E65,""&gt;"")"),"Memorychain")</f>
        <v>Memorychain</v>
      </c>
      <c r="G65" s="1" t="str">
        <f>IFERROR(__xludf.DUMMYFUNCTION("""COMPUTED_VALUE"""),"Series 4")</f>
        <v>Series 4</v>
      </c>
      <c r="H65" s="1" t="s">
        <v>76</v>
      </c>
      <c r="I65" s="1" t="s">
        <v>132</v>
      </c>
      <c r="J65" s="4">
        <v>42856.0</v>
      </c>
      <c r="K65" s="1">
        <v>555.0</v>
      </c>
      <c r="L65" s="1">
        <v>555.0</v>
      </c>
      <c r="M65" s="1">
        <v>48.0</v>
      </c>
    </row>
    <row r="66">
      <c r="A66" s="1" t="s">
        <v>184</v>
      </c>
      <c r="B66" s="3" t="s">
        <v>185</v>
      </c>
      <c r="C66" s="1" t="s">
        <v>16</v>
      </c>
      <c r="D66" s="1" t="s">
        <v>186</v>
      </c>
      <c r="E66" s="1" t="s">
        <v>163</v>
      </c>
      <c r="F66" s="1" t="str">
        <f>IFERROR(__xludf.DUMMYFUNCTION("SPLIT(E66,""&gt;"")"),"Memorychain")</f>
        <v>Memorychain</v>
      </c>
      <c r="G66" s="1" t="str">
        <f>IFERROR(__xludf.DUMMYFUNCTION("""COMPUTED_VALUE"""),"Series 4")</f>
        <v>Series 4</v>
      </c>
      <c r="H66" s="1" t="s">
        <v>186</v>
      </c>
      <c r="I66" s="1" t="s">
        <v>132</v>
      </c>
      <c r="J66" s="4">
        <v>42856.0</v>
      </c>
      <c r="K66" s="1">
        <v>500.0</v>
      </c>
      <c r="L66" s="1">
        <v>500.0</v>
      </c>
      <c r="M66" s="1">
        <v>49.0</v>
      </c>
    </row>
    <row r="67">
      <c r="A67" s="1" t="s">
        <v>187</v>
      </c>
      <c r="B67" s="3" t="s">
        <v>188</v>
      </c>
      <c r="C67" s="1" t="s">
        <v>16</v>
      </c>
      <c r="D67" s="1" t="s">
        <v>189</v>
      </c>
      <c r="E67" s="1" t="s">
        <v>163</v>
      </c>
      <c r="F67" s="1" t="str">
        <f>IFERROR(__xludf.DUMMYFUNCTION("SPLIT(E67,""&gt;"")"),"Memorychain")</f>
        <v>Memorychain</v>
      </c>
      <c r="G67" s="1" t="str">
        <f>IFERROR(__xludf.DUMMYFUNCTION("""COMPUTED_VALUE"""),"Series 4")</f>
        <v>Series 4</v>
      </c>
      <c r="H67" s="1" t="s">
        <v>189</v>
      </c>
      <c r="I67" s="1" t="s">
        <v>132</v>
      </c>
      <c r="J67" s="4">
        <v>42856.0</v>
      </c>
      <c r="K67" s="1">
        <v>1300.0</v>
      </c>
      <c r="L67" s="1">
        <v>1300.0</v>
      </c>
      <c r="M67" s="1">
        <v>50.0</v>
      </c>
    </row>
    <row r="68">
      <c r="A68" s="1" t="s">
        <v>190</v>
      </c>
      <c r="B68" s="3" t="s">
        <v>191</v>
      </c>
      <c r="C68" s="1" t="s">
        <v>16</v>
      </c>
      <c r="D68" s="1" t="s">
        <v>123</v>
      </c>
      <c r="E68" s="1" t="s">
        <v>163</v>
      </c>
      <c r="F68" s="1" t="str">
        <f>IFERROR(__xludf.DUMMYFUNCTION("SPLIT(E68,""&gt;"")"),"Memorychain")</f>
        <v>Memorychain</v>
      </c>
      <c r="G68" s="1" t="str">
        <f>IFERROR(__xludf.DUMMYFUNCTION("""COMPUTED_VALUE"""),"Series 4")</f>
        <v>Series 4</v>
      </c>
      <c r="H68" s="1" t="s">
        <v>123</v>
      </c>
      <c r="I68" s="1" t="s">
        <v>132</v>
      </c>
      <c r="J68" s="4">
        <v>42856.0</v>
      </c>
      <c r="K68" s="1">
        <v>100.0</v>
      </c>
      <c r="L68" s="1">
        <v>100.0</v>
      </c>
      <c r="M68" s="1">
        <v>51.0</v>
      </c>
    </row>
    <row r="69">
      <c r="A69" s="1" t="s">
        <v>192</v>
      </c>
      <c r="B69" s="3" t="s">
        <v>193</v>
      </c>
      <c r="C69" s="1" t="s">
        <v>16</v>
      </c>
      <c r="D69" s="1" t="s">
        <v>66</v>
      </c>
      <c r="E69" s="1" t="s">
        <v>163</v>
      </c>
      <c r="F69" s="1" t="str">
        <f>IFERROR(__xludf.DUMMYFUNCTION("SPLIT(E69,""&gt;"")"),"Memorychain")</f>
        <v>Memorychain</v>
      </c>
      <c r="G69" s="1" t="str">
        <f>IFERROR(__xludf.DUMMYFUNCTION("""COMPUTED_VALUE"""),"Series 4")</f>
        <v>Series 4</v>
      </c>
      <c r="H69" s="1" t="s">
        <v>66</v>
      </c>
      <c r="I69" s="1" t="s">
        <v>132</v>
      </c>
      <c r="J69" s="4">
        <v>42856.0</v>
      </c>
      <c r="K69" s="1">
        <v>2014.0</v>
      </c>
      <c r="L69" s="1">
        <v>2014.0</v>
      </c>
      <c r="M69" s="1">
        <v>52.0</v>
      </c>
    </row>
    <row r="70">
      <c r="A70" s="1" t="s">
        <v>194</v>
      </c>
      <c r="B70" s="3" t="s">
        <v>195</v>
      </c>
      <c r="C70" s="1" t="s">
        <v>16</v>
      </c>
      <c r="D70" s="1" t="s">
        <v>84</v>
      </c>
      <c r="E70" s="1" t="s">
        <v>163</v>
      </c>
      <c r="F70" s="1" t="str">
        <f>IFERROR(__xludf.DUMMYFUNCTION("SPLIT(E70,""&gt;"")"),"Memorychain")</f>
        <v>Memorychain</v>
      </c>
      <c r="G70" s="1" t="str">
        <f>IFERROR(__xludf.DUMMYFUNCTION("""COMPUTED_VALUE"""),"Series 4")</f>
        <v>Series 4</v>
      </c>
      <c r="H70" s="1" t="s">
        <v>84</v>
      </c>
      <c r="I70" s="1" t="s">
        <v>132</v>
      </c>
      <c r="J70" s="4">
        <v>42856.0</v>
      </c>
      <c r="K70" s="1">
        <v>1000.0</v>
      </c>
      <c r="L70" s="1">
        <v>1000.0</v>
      </c>
      <c r="M70" s="1">
        <v>53.0</v>
      </c>
    </row>
    <row r="71">
      <c r="A71" s="1" t="s">
        <v>196</v>
      </c>
      <c r="B71" s="3" t="s">
        <v>197</v>
      </c>
      <c r="C71" s="1" t="s">
        <v>16</v>
      </c>
      <c r="D71" s="1" t="s">
        <v>123</v>
      </c>
      <c r="E71" s="1" t="s">
        <v>198</v>
      </c>
      <c r="F71" s="1" t="str">
        <f>IFERROR(__xludf.DUMMYFUNCTION("SPLIT(E71,""&gt;"")"),"Memorychain")</f>
        <v>Memorychain</v>
      </c>
      <c r="G71" s="1" t="str">
        <f>IFERROR(__xludf.DUMMYFUNCTION("""COMPUTED_VALUE"""),"Series 5")</f>
        <v>Series 5</v>
      </c>
      <c r="H71" s="1" t="s">
        <v>123</v>
      </c>
      <c r="I71" s="1" t="s">
        <v>199</v>
      </c>
      <c r="J71" s="4">
        <v>42887.0</v>
      </c>
      <c r="K71" s="1">
        <v>100.0</v>
      </c>
      <c r="L71" s="1">
        <v>100.0</v>
      </c>
      <c r="M71" s="1">
        <v>54.0</v>
      </c>
    </row>
    <row r="72">
      <c r="A72" s="1" t="s">
        <v>200</v>
      </c>
      <c r="B72" s="3" t="s">
        <v>201</v>
      </c>
      <c r="C72" s="1" t="s">
        <v>16</v>
      </c>
      <c r="D72" s="1" t="s">
        <v>123</v>
      </c>
      <c r="E72" s="1" t="s">
        <v>198</v>
      </c>
      <c r="F72" s="1" t="str">
        <f>IFERROR(__xludf.DUMMYFUNCTION("SPLIT(E72,""&gt;"")"),"Memorychain")</f>
        <v>Memorychain</v>
      </c>
      <c r="G72" s="1" t="str">
        <f>IFERROR(__xludf.DUMMYFUNCTION("""COMPUTED_VALUE"""),"Series 5")</f>
        <v>Series 5</v>
      </c>
      <c r="H72" s="1" t="s">
        <v>123</v>
      </c>
      <c r="I72" s="1" t="s">
        <v>199</v>
      </c>
      <c r="J72" s="4">
        <v>42887.0</v>
      </c>
      <c r="K72" s="1">
        <v>100.0</v>
      </c>
      <c r="L72" s="1">
        <v>100.0</v>
      </c>
      <c r="M72" s="1">
        <v>55.0</v>
      </c>
    </row>
    <row r="73">
      <c r="A73" s="1" t="s">
        <v>202</v>
      </c>
      <c r="B73" s="3" t="s">
        <v>203</v>
      </c>
      <c r="C73" s="1" t="s">
        <v>16</v>
      </c>
      <c r="D73" s="1" t="s">
        <v>204</v>
      </c>
      <c r="E73" s="1" t="s">
        <v>198</v>
      </c>
      <c r="F73" s="1" t="str">
        <f>IFERROR(__xludf.DUMMYFUNCTION("SPLIT(E73,""&gt;"")"),"Memorychain")</f>
        <v>Memorychain</v>
      </c>
      <c r="G73" s="1" t="str">
        <f>IFERROR(__xludf.DUMMYFUNCTION("""COMPUTED_VALUE"""),"Series 5")</f>
        <v>Series 5</v>
      </c>
      <c r="H73" s="1" t="s">
        <v>204</v>
      </c>
      <c r="I73" s="1" t="s">
        <v>199</v>
      </c>
      <c r="J73" s="4">
        <v>42887.0</v>
      </c>
      <c r="K73" s="1">
        <v>1000.0</v>
      </c>
      <c r="L73" s="1">
        <v>1000.0</v>
      </c>
      <c r="M73" s="1">
        <v>56.0</v>
      </c>
    </row>
    <row r="74">
      <c r="A74" s="1" t="s">
        <v>205</v>
      </c>
      <c r="B74" s="3" t="s">
        <v>206</v>
      </c>
      <c r="C74" s="1" t="s">
        <v>16</v>
      </c>
      <c r="D74" s="1" t="s">
        <v>95</v>
      </c>
      <c r="E74" s="1" t="s">
        <v>198</v>
      </c>
      <c r="F74" s="1" t="str">
        <f>IFERROR(__xludf.DUMMYFUNCTION("SPLIT(E74,""&gt;"")"),"Memorychain")</f>
        <v>Memorychain</v>
      </c>
      <c r="G74" s="1" t="str">
        <f>IFERROR(__xludf.DUMMYFUNCTION("""COMPUTED_VALUE"""),"Series 5")</f>
        <v>Series 5</v>
      </c>
      <c r="H74" s="1" t="s">
        <v>95</v>
      </c>
      <c r="I74" s="1" t="s">
        <v>199</v>
      </c>
      <c r="J74" s="4">
        <v>42887.0</v>
      </c>
      <c r="K74" s="1">
        <v>100.0</v>
      </c>
      <c r="L74" s="1">
        <v>100.0</v>
      </c>
      <c r="M74" s="1">
        <v>57.0</v>
      </c>
    </row>
    <row r="75">
      <c r="A75" s="1" t="s">
        <v>207</v>
      </c>
      <c r="B75" s="3" t="s">
        <v>208</v>
      </c>
      <c r="C75" s="1" t="s">
        <v>16</v>
      </c>
      <c r="D75" s="1" t="s">
        <v>84</v>
      </c>
      <c r="E75" s="1" t="s">
        <v>198</v>
      </c>
      <c r="F75" s="1" t="str">
        <f>IFERROR(__xludf.DUMMYFUNCTION("SPLIT(E75,""&gt;"")"),"Memorychain")</f>
        <v>Memorychain</v>
      </c>
      <c r="G75" s="1" t="str">
        <f>IFERROR(__xludf.DUMMYFUNCTION("""COMPUTED_VALUE"""),"Series 5")</f>
        <v>Series 5</v>
      </c>
      <c r="H75" s="1" t="s">
        <v>84</v>
      </c>
      <c r="I75" s="1" t="s">
        <v>199</v>
      </c>
      <c r="J75" s="4">
        <v>42887.0</v>
      </c>
      <c r="K75" s="1">
        <v>1000.0</v>
      </c>
      <c r="L75" s="1">
        <v>1000.0</v>
      </c>
      <c r="M75" s="1">
        <v>58.0</v>
      </c>
    </row>
    <row r="76">
      <c r="A76" s="1" t="s">
        <v>209</v>
      </c>
      <c r="B76" s="3" t="s">
        <v>210</v>
      </c>
      <c r="C76" s="1" t="s">
        <v>16</v>
      </c>
      <c r="D76" s="1" t="s">
        <v>84</v>
      </c>
      <c r="E76" s="1" t="s">
        <v>198</v>
      </c>
      <c r="F76" s="1" t="str">
        <f>IFERROR(__xludf.DUMMYFUNCTION("SPLIT(E76,""&gt;"")"),"Memorychain")</f>
        <v>Memorychain</v>
      </c>
      <c r="G76" s="1" t="str">
        <f>IFERROR(__xludf.DUMMYFUNCTION("""COMPUTED_VALUE"""),"Series 5")</f>
        <v>Series 5</v>
      </c>
      <c r="H76" s="1" t="s">
        <v>84</v>
      </c>
      <c r="I76" s="1" t="s">
        <v>199</v>
      </c>
      <c r="J76" s="4">
        <v>42887.0</v>
      </c>
      <c r="K76" s="1">
        <v>1000.0</v>
      </c>
      <c r="L76" s="1">
        <v>1000.0</v>
      </c>
      <c r="M76" s="1">
        <v>59.0</v>
      </c>
    </row>
    <row r="77">
      <c r="A77" s="1" t="s">
        <v>211</v>
      </c>
      <c r="B77" s="3" t="s">
        <v>212</v>
      </c>
      <c r="C77" s="1" t="s">
        <v>16</v>
      </c>
      <c r="D77" s="1" t="s">
        <v>53</v>
      </c>
      <c r="E77" s="1" t="s">
        <v>198</v>
      </c>
      <c r="F77" s="1" t="str">
        <f>IFERROR(__xludf.DUMMYFUNCTION("SPLIT(E77,""&gt;"")"),"Memorychain")</f>
        <v>Memorychain</v>
      </c>
      <c r="G77" s="1" t="str">
        <f>IFERROR(__xludf.DUMMYFUNCTION("""COMPUTED_VALUE"""),"Series 5")</f>
        <v>Series 5</v>
      </c>
      <c r="H77" s="1" t="s">
        <v>53</v>
      </c>
      <c r="I77" s="1" t="s">
        <v>199</v>
      </c>
      <c r="J77" s="4">
        <v>42887.0</v>
      </c>
      <c r="K77" s="1">
        <v>150.0</v>
      </c>
      <c r="L77" s="1">
        <v>150.0</v>
      </c>
      <c r="M77" s="1">
        <v>60.0</v>
      </c>
    </row>
    <row r="78">
      <c r="A78" s="1" t="s">
        <v>213</v>
      </c>
      <c r="B78" s="3" t="s">
        <v>214</v>
      </c>
      <c r="C78" s="1" t="s">
        <v>16</v>
      </c>
      <c r="D78" s="1" t="s">
        <v>168</v>
      </c>
      <c r="E78" s="1" t="s">
        <v>198</v>
      </c>
      <c r="F78" s="1" t="str">
        <f>IFERROR(__xludf.DUMMYFUNCTION("SPLIT(E78,""&gt;"")"),"Memorychain")</f>
        <v>Memorychain</v>
      </c>
      <c r="G78" s="1" t="str">
        <f>IFERROR(__xludf.DUMMYFUNCTION("""COMPUTED_VALUE"""),"Series 5")</f>
        <v>Series 5</v>
      </c>
      <c r="H78" s="1" t="s">
        <v>168</v>
      </c>
      <c r="I78" s="1" t="s">
        <v>199</v>
      </c>
      <c r="J78" s="4">
        <v>42887.0</v>
      </c>
      <c r="K78" s="1">
        <v>300.0</v>
      </c>
      <c r="L78" s="1">
        <v>100.0</v>
      </c>
      <c r="M78" s="1">
        <v>61.0</v>
      </c>
    </row>
    <row r="79">
      <c r="A79" s="1" t="s">
        <v>215</v>
      </c>
      <c r="B79" s="3" t="s">
        <v>216</v>
      </c>
      <c r="C79" s="1" t="s">
        <v>16</v>
      </c>
      <c r="D79" s="1" t="s">
        <v>168</v>
      </c>
      <c r="E79" s="1" t="s">
        <v>198</v>
      </c>
      <c r="F79" s="1" t="str">
        <f>IFERROR(__xludf.DUMMYFUNCTION("SPLIT(E79,""&gt;"")"),"Memorychain")</f>
        <v>Memorychain</v>
      </c>
      <c r="G79" s="1" t="str">
        <f>IFERROR(__xludf.DUMMYFUNCTION("""COMPUTED_VALUE"""),"Series 5")</f>
        <v>Series 5</v>
      </c>
      <c r="H79" s="1" t="s">
        <v>168</v>
      </c>
      <c r="I79" s="1" t="s">
        <v>199</v>
      </c>
      <c r="J79" s="4">
        <v>42887.0</v>
      </c>
      <c r="K79" s="1">
        <v>300.0</v>
      </c>
      <c r="L79" s="1">
        <v>100.0</v>
      </c>
      <c r="M79" s="1">
        <v>62.0</v>
      </c>
    </row>
    <row r="80">
      <c r="A80" s="1" t="s">
        <v>217</v>
      </c>
      <c r="B80" s="3" t="s">
        <v>218</v>
      </c>
      <c r="C80" s="1" t="s">
        <v>16</v>
      </c>
      <c r="D80" s="1" t="s">
        <v>95</v>
      </c>
      <c r="E80" s="1" t="s">
        <v>198</v>
      </c>
      <c r="F80" s="1" t="str">
        <f>IFERROR(__xludf.DUMMYFUNCTION("SPLIT(E80,""&gt;"")"),"Memorychain")</f>
        <v>Memorychain</v>
      </c>
      <c r="G80" s="1" t="str">
        <f>IFERROR(__xludf.DUMMYFUNCTION("""COMPUTED_VALUE"""),"Series 5")</f>
        <v>Series 5</v>
      </c>
      <c r="H80" s="1" t="s">
        <v>95</v>
      </c>
      <c r="I80" s="1" t="s">
        <v>199</v>
      </c>
      <c r="J80" s="4">
        <v>42887.0</v>
      </c>
      <c r="K80" s="1">
        <v>100.0</v>
      </c>
      <c r="L80" s="1">
        <v>100.0</v>
      </c>
      <c r="M80" s="1">
        <v>63.0</v>
      </c>
    </row>
    <row r="81">
      <c r="A81" s="1" t="s">
        <v>219</v>
      </c>
      <c r="B81" s="3" t="s">
        <v>220</v>
      </c>
      <c r="C81" s="1" t="s">
        <v>16</v>
      </c>
      <c r="D81" s="1" t="s">
        <v>79</v>
      </c>
      <c r="E81" s="1" t="s">
        <v>198</v>
      </c>
      <c r="F81" s="1" t="str">
        <f>IFERROR(__xludf.DUMMYFUNCTION("SPLIT(E81,""&gt;"")"),"Memorychain")</f>
        <v>Memorychain</v>
      </c>
      <c r="G81" s="1" t="str">
        <f>IFERROR(__xludf.DUMMYFUNCTION("""COMPUTED_VALUE"""),"Series 5")</f>
        <v>Series 5</v>
      </c>
      <c r="H81" s="1" t="s">
        <v>79</v>
      </c>
      <c r="I81" s="1" t="s">
        <v>199</v>
      </c>
      <c r="J81" s="4">
        <v>42887.0</v>
      </c>
      <c r="K81" s="1">
        <v>300.0</v>
      </c>
      <c r="L81" s="1">
        <v>300.0</v>
      </c>
      <c r="M81" s="1">
        <v>64.0</v>
      </c>
    </row>
    <row r="82">
      <c r="A82" s="1" t="s">
        <v>221</v>
      </c>
      <c r="B82" s="3" t="s">
        <v>222</v>
      </c>
      <c r="C82" s="1" t="s">
        <v>16</v>
      </c>
      <c r="D82" s="1" t="s">
        <v>79</v>
      </c>
      <c r="E82" s="1" t="s">
        <v>198</v>
      </c>
      <c r="F82" s="1" t="str">
        <f>IFERROR(__xludf.DUMMYFUNCTION("SPLIT(E82,""&gt;"")"),"Memorychain")</f>
        <v>Memorychain</v>
      </c>
      <c r="G82" s="1" t="str">
        <f>IFERROR(__xludf.DUMMYFUNCTION("""COMPUTED_VALUE"""),"Series 5")</f>
        <v>Series 5</v>
      </c>
      <c r="H82" s="1" t="s">
        <v>79</v>
      </c>
      <c r="I82" s="1" t="s">
        <v>199</v>
      </c>
      <c r="J82" s="4">
        <v>42887.0</v>
      </c>
      <c r="K82" s="1">
        <v>100.0</v>
      </c>
      <c r="L82" s="1">
        <v>100.0</v>
      </c>
      <c r="M82" s="1">
        <v>65.0</v>
      </c>
    </row>
    <row r="83">
      <c r="A83" s="1" t="s">
        <v>223</v>
      </c>
      <c r="B83" s="3" t="s">
        <v>224</v>
      </c>
      <c r="C83" s="1" t="s">
        <v>16</v>
      </c>
      <c r="D83" s="1" t="s">
        <v>79</v>
      </c>
      <c r="E83" s="1" t="s">
        <v>198</v>
      </c>
      <c r="F83" s="1" t="str">
        <f>IFERROR(__xludf.DUMMYFUNCTION("SPLIT(E83,""&gt;"")"),"Memorychain")</f>
        <v>Memorychain</v>
      </c>
      <c r="G83" s="1" t="str">
        <f>IFERROR(__xludf.DUMMYFUNCTION("""COMPUTED_VALUE"""),"Series 5")</f>
        <v>Series 5</v>
      </c>
      <c r="H83" s="1" t="s">
        <v>79</v>
      </c>
      <c r="I83" s="1" t="s">
        <v>199</v>
      </c>
      <c r="J83" s="4">
        <v>42887.0</v>
      </c>
      <c r="K83" s="1">
        <v>100.0</v>
      </c>
      <c r="L83" s="1">
        <v>100.0</v>
      </c>
      <c r="M83" s="1">
        <v>66.0</v>
      </c>
    </row>
    <row r="84">
      <c r="A84" s="1" t="s">
        <v>225</v>
      </c>
      <c r="B84" s="3" t="s">
        <v>226</v>
      </c>
      <c r="C84" s="1" t="s">
        <v>16</v>
      </c>
      <c r="D84" s="1" t="s">
        <v>227</v>
      </c>
      <c r="E84" s="1" t="s">
        <v>198</v>
      </c>
      <c r="F84" s="1" t="str">
        <f>IFERROR(__xludf.DUMMYFUNCTION("SPLIT(E84,""&gt;"")"),"Memorychain")</f>
        <v>Memorychain</v>
      </c>
      <c r="G84" s="1" t="str">
        <f>IFERROR(__xludf.DUMMYFUNCTION("""COMPUTED_VALUE"""),"Series 5")</f>
        <v>Series 5</v>
      </c>
      <c r="H84" s="1" t="s">
        <v>227</v>
      </c>
      <c r="I84" s="1" t="s">
        <v>199</v>
      </c>
      <c r="J84" s="4">
        <v>42887.0</v>
      </c>
      <c r="K84" s="1">
        <v>1000.0</v>
      </c>
      <c r="L84" s="1">
        <v>1000.0</v>
      </c>
      <c r="M84" s="1">
        <v>67.0</v>
      </c>
    </row>
    <row r="85">
      <c r="A85" s="1" t="s">
        <v>228</v>
      </c>
      <c r="B85" s="3" t="s">
        <v>229</v>
      </c>
      <c r="C85" s="1" t="s">
        <v>16</v>
      </c>
      <c r="D85" s="1" t="s">
        <v>146</v>
      </c>
      <c r="E85" s="1" t="s">
        <v>198</v>
      </c>
      <c r="F85" s="1" t="str">
        <f>IFERROR(__xludf.DUMMYFUNCTION("SPLIT(E85,""&gt;"")"),"Memorychain")</f>
        <v>Memorychain</v>
      </c>
      <c r="G85" s="1" t="str">
        <f>IFERROR(__xludf.DUMMYFUNCTION("""COMPUTED_VALUE"""),"Series 5")</f>
        <v>Series 5</v>
      </c>
      <c r="H85" s="1" t="s">
        <v>146</v>
      </c>
      <c r="I85" s="1" t="s">
        <v>199</v>
      </c>
      <c r="J85" s="4">
        <v>42887.0</v>
      </c>
      <c r="K85" s="1">
        <v>500.0</v>
      </c>
      <c r="L85" s="1">
        <v>500.0</v>
      </c>
      <c r="M85" s="1">
        <v>68.0</v>
      </c>
    </row>
    <row r="86">
      <c r="A86" s="1" t="s">
        <v>230</v>
      </c>
      <c r="B86" s="3" t="s">
        <v>231</v>
      </c>
      <c r="C86" s="1" t="s">
        <v>16</v>
      </c>
      <c r="D86" s="1" t="s">
        <v>71</v>
      </c>
      <c r="E86" s="1" t="s">
        <v>198</v>
      </c>
      <c r="F86" s="1" t="str">
        <f>IFERROR(__xludf.DUMMYFUNCTION("SPLIT(E86,""&gt;"")"),"Memorychain")</f>
        <v>Memorychain</v>
      </c>
      <c r="G86" s="1" t="str">
        <f>IFERROR(__xludf.DUMMYFUNCTION("""COMPUTED_VALUE"""),"Series 5")</f>
        <v>Series 5</v>
      </c>
      <c r="H86" s="1" t="s">
        <v>71</v>
      </c>
      <c r="I86" s="1" t="s">
        <v>199</v>
      </c>
      <c r="J86" s="4">
        <v>42887.0</v>
      </c>
      <c r="K86" s="1">
        <v>100.0</v>
      </c>
      <c r="L86" s="1">
        <v>100.0</v>
      </c>
      <c r="M86" s="1">
        <v>69.0</v>
      </c>
    </row>
    <row r="87">
      <c r="A87" s="1" t="s">
        <v>232</v>
      </c>
      <c r="B87" s="3" t="s">
        <v>233</v>
      </c>
      <c r="C87" s="1" t="s">
        <v>16</v>
      </c>
      <c r="D87" s="1" t="s">
        <v>234</v>
      </c>
      <c r="E87" s="1" t="s">
        <v>198</v>
      </c>
      <c r="F87" s="1" t="str">
        <f>IFERROR(__xludf.DUMMYFUNCTION("SPLIT(E87,""&gt;"")"),"Memorychain")</f>
        <v>Memorychain</v>
      </c>
      <c r="G87" s="1" t="str">
        <f>IFERROR(__xludf.DUMMYFUNCTION("""COMPUTED_VALUE"""),"Series 5")</f>
        <v>Series 5</v>
      </c>
      <c r="H87" s="1" t="s">
        <v>234</v>
      </c>
      <c r="I87" s="1" t="s">
        <v>199</v>
      </c>
      <c r="J87" s="4">
        <v>42887.0</v>
      </c>
      <c r="K87" s="1">
        <v>100.0</v>
      </c>
      <c r="L87" s="1">
        <v>100.0</v>
      </c>
      <c r="M87" s="1">
        <v>70.0</v>
      </c>
    </row>
    <row r="88">
      <c r="A88" s="1" t="s">
        <v>235</v>
      </c>
      <c r="B88" s="3" t="s">
        <v>236</v>
      </c>
      <c r="C88" s="1" t="s">
        <v>16</v>
      </c>
      <c r="D88" s="1" t="s">
        <v>237</v>
      </c>
      <c r="E88" s="1" t="s">
        <v>238</v>
      </c>
      <c r="F88" s="1" t="str">
        <f>IFERROR(__xludf.DUMMYFUNCTION("SPLIT(E88,""&gt;"")"),"Memorychain")</f>
        <v>Memorychain</v>
      </c>
      <c r="G88" s="1" t="str">
        <f>IFERROR(__xludf.DUMMYFUNCTION("""COMPUTED_VALUE"""),"Series 6")</f>
        <v>Series 6</v>
      </c>
      <c r="H88" s="1" t="s">
        <v>237</v>
      </c>
      <c r="I88" s="1" t="s">
        <v>199</v>
      </c>
      <c r="J88" s="4">
        <v>42887.0</v>
      </c>
      <c r="K88" s="1">
        <v>222.0</v>
      </c>
      <c r="L88" s="1">
        <v>222.0</v>
      </c>
      <c r="M88" s="1">
        <v>71.0</v>
      </c>
    </row>
    <row r="89">
      <c r="A89" s="1" t="s">
        <v>239</v>
      </c>
      <c r="B89" s="3" t="s">
        <v>240</v>
      </c>
      <c r="C89" s="1" t="s">
        <v>16</v>
      </c>
      <c r="D89" s="1" t="s">
        <v>76</v>
      </c>
      <c r="E89" s="1" t="s">
        <v>238</v>
      </c>
      <c r="F89" s="1" t="str">
        <f>IFERROR(__xludf.DUMMYFUNCTION("SPLIT(E89,""&gt;"")"),"Memorychain")</f>
        <v>Memorychain</v>
      </c>
      <c r="G89" s="1" t="str">
        <f>IFERROR(__xludf.DUMMYFUNCTION("""COMPUTED_VALUE"""),"Series 6")</f>
        <v>Series 6</v>
      </c>
      <c r="H89" s="1" t="s">
        <v>76</v>
      </c>
      <c r="I89" s="1" t="s">
        <v>199</v>
      </c>
      <c r="J89" s="4">
        <v>42887.0</v>
      </c>
      <c r="K89" s="1">
        <v>555.0</v>
      </c>
      <c r="L89" s="1">
        <v>555.0</v>
      </c>
      <c r="M89" s="1">
        <v>72.0</v>
      </c>
    </row>
    <row r="90">
      <c r="A90" s="1" t="s">
        <v>241</v>
      </c>
      <c r="B90" s="3" t="s">
        <v>242</v>
      </c>
      <c r="C90" s="1" t="s">
        <v>16</v>
      </c>
      <c r="D90" s="1" t="s">
        <v>76</v>
      </c>
      <c r="E90" s="1" t="s">
        <v>238</v>
      </c>
      <c r="F90" s="1" t="str">
        <f>IFERROR(__xludf.DUMMYFUNCTION("SPLIT(E90,""&gt;"")"),"Memorychain")</f>
        <v>Memorychain</v>
      </c>
      <c r="G90" s="1" t="str">
        <f>IFERROR(__xludf.DUMMYFUNCTION("""COMPUTED_VALUE"""),"Series 6")</f>
        <v>Series 6</v>
      </c>
      <c r="H90" s="1" t="s">
        <v>76</v>
      </c>
      <c r="I90" s="1" t="s">
        <v>199</v>
      </c>
      <c r="J90" s="4">
        <v>42887.0</v>
      </c>
      <c r="K90" s="1">
        <v>555.0</v>
      </c>
      <c r="L90" s="1">
        <v>555.0</v>
      </c>
      <c r="M90" s="1">
        <v>73.0</v>
      </c>
    </row>
    <row r="91">
      <c r="A91" s="1" t="s">
        <v>243</v>
      </c>
      <c r="B91" s="3" t="s">
        <v>244</v>
      </c>
      <c r="C91" s="1" t="s">
        <v>16</v>
      </c>
      <c r="D91" s="1" t="s">
        <v>168</v>
      </c>
      <c r="E91" s="1" t="s">
        <v>238</v>
      </c>
      <c r="F91" s="1" t="str">
        <f>IFERROR(__xludf.DUMMYFUNCTION("SPLIT(E91,""&gt;"")"),"Memorychain")</f>
        <v>Memorychain</v>
      </c>
      <c r="G91" s="1" t="str">
        <f>IFERROR(__xludf.DUMMYFUNCTION("""COMPUTED_VALUE"""),"Series 6")</f>
        <v>Series 6</v>
      </c>
      <c r="H91" s="1" t="s">
        <v>168</v>
      </c>
      <c r="I91" s="1" t="s">
        <v>199</v>
      </c>
      <c r="J91" s="4">
        <v>42887.0</v>
      </c>
      <c r="K91" s="1">
        <v>300.0</v>
      </c>
      <c r="L91" s="1">
        <v>100.0</v>
      </c>
      <c r="M91" s="1">
        <v>74.0</v>
      </c>
    </row>
    <row r="92">
      <c r="A92" s="1" t="s">
        <v>245</v>
      </c>
      <c r="B92" s="3" t="s">
        <v>246</v>
      </c>
      <c r="C92" s="1" t="s">
        <v>16</v>
      </c>
      <c r="D92" s="1" t="s">
        <v>247</v>
      </c>
      <c r="E92" s="1" t="s">
        <v>238</v>
      </c>
      <c r="F92" s="1" t="str">
        <f>IFERROR(__xludf.DUMMYFUNCTION("SPLIT(E92,""&gt;"")"),"Memorychain")</f>
        <v>Memorychain</v>
      </c>
      <c r="G92" s="1" t="str">
        <f>IFERROR(__xludf.DUMMYFUNCTION("""COMPUTED_VALUE"""),"Series 6")</f>
        <v>Series 6</v>
      </c>
      <c r="H92" s="1" t="s">
        <v>247</v>
      </c>
      <c r="I92" s="1" t="s">
        <v>199</v>
      </c>
      <c r="J92" s="4">
        <v>42887.0</v>
      </c>
      <c r="K92" s="1">
        <v>300.0</v>
      </c>
      <c r="L92" s="1">
        <v>300.0</v>
      </c>
      <c r="M92" s="1">
        <v>75.0</v>
      </c>
    </row>
    <row r="93">
      <c r="A93" s="1" t="s">
        <v>248</v>
      </c>
      <c r="B93" s="3" t="s">
        <v>249</v>
      </c>
      <c r="C93" s="1" t="s">
        <v>16</v>
      </c>
      <c r="D93" s="1" t="s">
        <v>17</v>
      </c>
      <c r="E93" s="1" t="s">
        <v>238</v>
      </c>
      <c r="F93" s="1" t="str">
        <f>IFERROR(__xludf.DUMMYFUNCTION("SPLIT(E93,""&gt;"")"),"Memorychain")</f>
        <v>Memorychain</v>
      </c>
      <c r="G93" s="1" t="str">
        <f>IFERROR(__xludf.DUMMYFUNCTION("""COMPUTED_VALUE"""),"Series 6")</f>
        <v>Series 6</v>
      </c>
      <c r="H93" s="1" t="s">
        <v>17</v>
      </c>
      <c r="I93" s="1" t="s">
        <v>199</v>
      </c>
      <c r="J93" s="4">
        <v>42887.0</v>
      </c>
      <c r="K93" s="1">
        <v>1000.0</v>
      </c>
      <c r="L93" s="1">
        <v>1000.0</v>
      </c>
      <c r="M93" s="1">
        <v>76.0</v>
      </c>
    </row>
    <row r="94">
      <c r="A94" s="1" t="s">
        <v>250</v>
      </c>
      <c r="B94" s="3" t="s">
        <v>251</v>
      </c>
      <c r="C94" s="1" t="s">
        <v>16</v>
      </c>
      <c r="D94" s="1" t="s">
        <v>252</v>
      </c>
      <c r="E94" s="1" t="s">
        <v>238</v>
      </c>
      <c r="F94" s="1" t="str">
        <f>IFERROR(__xludf.DUMMYFUNCTION("SPLIT(E94,""&gt;"")"),"Memorychain")</f>
        <v>Memorychain</v>
      </c>
      <c r="G94" s="1" t="str">
        <f>IFERROR(__xludf.DUMMYFUNCTION("""COMPUTED_VALUE"""),"Series 6")</f>
        <v>Series 6</v>
      </c>
      <c r="H94" s="1" t="s">
        <v>252</v>
      </c>
      <c r="I94" s="1" t="s">
        <v>199</v>
      </c>
      <c r="J94" s="4">
        <v>42887.0</v>
      </c>
      <c r="K94" s="1">
        <v>555.0</v>
      </c>
      <c r="L94" s="1">
        <v>555.0</v>
      </c>
      <c r="M94" s="1">
        <v>77.0</v>
      </c>
    </row>
    <row r="95">
      <c r="A95" s="1" t="s">
        <v>253</v>
      </c>
      <c r="B95" s="3" t="s">
        <v>254</v>
      </c>
      <c r="C95" s="1" t="s">
        <v>16</v>
      </c>
      <c r="D95" s="1" t="s">
        <v>255</v>
      </c>
      <c r="E95" s="1" t="s">
        <v>238</v>
      </c>
      <c r="F95" s="1" t="str">
        <f>IFERROR(__xludf.DUMMYFUNCTION("SPLIT(E95,""&gt;"")"),"Memorychain")</f>
        <v>Memorychain</v>
      </c>
      <c r="G95" s="1" t="str">
        <f>IFERROR(__xludf.DUMMYFUNCTION("""COMPUTED_VALUE"""),"Series 6")</f>
        <v>Series 6</v>
      </c>
      <c r="H95" s="1" t="s">
        <v>255</v>
      </c>
      <c r="I95" s="1" t="s">
        <v>199</v>
      </c>
      <c r="J95" s="4">
        <v>42887.0</v>
      </c>
      <c r="K95" s="1">
        <v>1000.0</v>
      </c>
      <c r="L95" s="1">
        <v>1000.0</v>
      </c>
      <c r="M95" s="1">
        <v>78.0</v>
      </c>
    </row>
    <row r="96">
      <c r="A96" s="1" t="s">
        <v>256</v>
      </c>
      <c r="B96" s="3" t="s">
        <v>257</v>
      </c>
      <c r="C96" s="1" t="s">
        <v>16</v>
      </c>
      <c r="D96" s="1" t="s">
        <v>17</v>
      </c>
      <c r="E96" s="1" t="s">
        <v>238</v>
      </c>
      <c r="F96" s="1" t="str">
        <f>IFERROR(__xludf.DUMMYFUNCTION("SPLIT(E96,""&gt;"")"),"Memorychain")</f>
        <v>Memorychain</v>
      </c>
      <c r="G96" s="1" t="str">
        <f>IFERROR(__xludf.DUMMYFUNCTION("""COMPUTED_VALUE"""),"Series 6")</f>
        <v>Series 6</v>
      </c>
      <c r="H96" s="1" t="s">
        <v>17</v>
      </c>
      <c r="I96" s="1" t="s">
        <v>199</v>
      </c>
      <c r="J96" s="4">
        <v>42887.0</v>
      </c>
      <c r="K96" s="1">
        <v>100.0</v>
      </c>
      <c r="L96" s="1">
        <v>100.0</v>
      </c>
      <c r="M96" s="1">
        <v>79.0</v>
      </c>
    </row>
    <row r="97">
      <c r="A97" s="1" t="s">
        <v>258</v>
      </c>
      <c r="B97" s="3" t="s">
        <v>259</v>
      </c>
      <c r="C97" s="1" t="s">
        <v>16</v>
      </c>
      <c r="D97" s="1" t="s">
        <v>53</v>
      </c>
      <c r="E97" s="1" t="s">
        <v>238</v>
      </c>
      <c r="F97" s="1" t="str">
        <f>IFERROR(__xludf.DUMMYFUNCTION("SPLIT(E97,""&gt;"")"),"Memorychain")</f>
        <v>Memorychain</v>
      </c>
      <c r="G97" s="1" t="str">
        <f>IFERROR(__xludf.DUMMYFUNCTION("""COMPUTED_VALUE"""),"Series 6")</f>
        <v>Series 6</v>
      </c>
      <c r="H97" s="1" t="s">
        <v>53</v>
      </c>
      <c r="I97" s="1" t="s">
        <v>199</v>
      </c>
      <c r="J97" s="4">
        <v>42887.0</v>
      </c>
      <c r="K97" s="1">
        <v>151.0</v>
      </c>
      <c r="L97" s="1">
        <v>151.0</v>
      </c>
      <c r="M97" s="1">
        <v>80.0</v>
      </c>
    </row>
    <row r="98">
      <c r="A98" s="1" t="s">
        <v>260</v>
      </c>
      <c r="B98" s="3" t="s">
        <v>261</v>
      </c>
      <c r="C98" s="1" t="s">
        <v>16</v>
      </c>
      <c r="D98" s="1" t="s">
        <v>262</v>
      </c>
      <c r="E98" s="1" t="s">
        <v>238</v>
      </c>
      <c r="F98" s="1" t="str">
        <f>IFERROR(__xludf.DUMMYFUNCTION("SPLIT(E98,""&gt;"")"),"Memorychain")</f>
        <v>Memorychain</v>
      </c>
      <c r="G98" s="1" t="str">
        <f>IFERROR(__xludf.DUMMYFUNCTION("""COMPUTED_VALUE"""),"Series 6")</f>
        <v>Series 6</v>
      </c>
      <c r="H98" s="1" t="s">
        <v>262</v>
      </c>
      <c r="I98" s="1" t="s">
        <v>199</v>
      </c>
      <c r="J98" s="4">
        <v>42887.0</v>
      </c>
      <c r="K98" s="1">
        <v>500.0</v>
      </c>
      <c r="L98" s="1">
        <v>500.0</v>
      </c>
      <c r="M98" s="1">
        <v>81.0</v>
      </c>
    </row>
    <row r="99">
      <c r="A99" s="1" t="s">
        <v>263</v>
      </c>
      <c r="B99" s="3" t="s">
        <v>264</v>
      </c>
      <c r="C99" s="1" t="s">
        <v>16</v>
      </c>
      <c r="D99" s="1" t="s">
        <v>79</v>
      </c>
      <c r="E99" s="1" t="s">
        <v>238</v>
      </c>
      <c r="F99" s="1" t="str">
        <f>IFERROR(__xludf.DUMMYFUNCTION("SPLIT(E99,""&gt;"")"),"Memorychain")</f>
        <v>Memorychain</v>
      </c>
      <c r="G99" s="1" t="str">
        <f>IFERROR(__xludf.DUMMYFUNCTION("""COMPUTED_VALUE"""),"Series 6")</f>
        <v>Series 6</v>
      </c>
      <c r="H99" s="1" t="s">
        <v>79</v>
      </c>
      <c r="I99" s="1" t="s">
        <v>199</v>
      </c>
      <c r="J99" s="4">
        <v>42887.0</v>
      </c>
      <c r="K99" s="1">
        <v>150.0</v>
      </c>
      <c r="L99" s="1">
        <v>150.0</v>
      </c>
      <c r="M99" s="1">
        <v>82.0</v>
      </c>
    </row>
    <row r="100">
      <c r="A100" s="1" t="s">
        <v>265</v>
      </c>
      <c r="B100" s="3" t="s">
        <v>266</v>
      </c>
      <c r="C100" s="1" t="s">
        <v>16</v>
      </c>
      <c r="D100" s="1" t="s">
        <v>79</v>
      </c>
      <c r="E100" s="1" t="s">
        <v>238</v>
      </c>
      <c r="F100" s="1" t="str">
        <f>IFERROR(__xludf.DUMMYFUNCTION("SPLIT(E100,""&gt;"")"),"Memorychain")</f>
        <v>Memorychain</v>
      </c>
      <c r="G100" s="1" t="str">
        <f>IFERROR(__xludf.DUMMYFUNCTION("""COMPUTED_VALUE"""),"Series 6")</f>
        <v>Series 6</v>
      </c>
      <c r="H100" s="1" t="s">
        <v>79</v>
      </c>
      <c r="I100" s="1" t="s">
        <v>199</v>
      </c>
      <c r="J100" s="4">
        <v>42887.0</v>
      </c>
      <c r="K100" s="1">
        <v>300.0</v>
      </c>
      <c r="L100" s="1">
        <v>300.0</v>
      </c>
      <c r="M100" s="1">
        <v>83.0</v>
      </c>
    </row>
    <row r="101">
      <c r="A101" s="1" t="s">
        <v>267</v>
      </c>
      <c r="B101" s="3" t="s">
        <v>268</v>
      </c>
      <c r="C101" s="1" t="s">
        <v>16</v>
      </c>
      <c r="D101" s="1" t="s">
        <v>227</v>
      </c>
      <c r="E101" s="1" t="s">
        <v>238</v>
      </c>
      <c r="F101" s="1" t="str">
        <f>IFERROR(__xludf.DUMMYFUNCTION("SPLIT(E101,""&gt;"")"),"Memorychain")</f>
        <v>Memorychain</v>
      </c>
      <c r="G101" s="1" t="str">
        <f>IFERROR(__xludf.DUMMYFUNCTION("""COMPUTED_VALUE"""),"Series 6")</f>
        <v>Series 6</v>
      </c>
      <c r="H101" s="1" t="s">
        <v>227</v>
      </c>
      <c r="I101" s="1" t="s">
        <v>199</v>
      </c>
      <c r="J101" s="4">
        <v>42887.0</v>
      </c>
      <c r="K101" s="1">
        <v>1000.0</v>
      </c>
      <c r="L101" s="1">
        <v>1000.0</v>
      </c>
      <c r="M101" s="1">
        <v>84.0</v>
      </c>
    </row>
    <row r="102">
      <c r="A102" s="1" t="s">
        <v>269</v>
      </c>
      <c r="B102" s="3" t="s">
        <v>270</v>
      </c>
      <c r="C102" s="1" t="s">
        <v>16</v>
      </c>
      <c r="D102" s="1" t="s">
        <v>271</v>
      </c>
      <c r="E102" s="1" t="s">
        <v>238</v>
      </c>
      <c r="F102" s="1" t="str">
        <f>IFERROR(__xludf.DUMMYFUNCTION("SPLIT(E102,""&gt;"")"),"Memorychain")</f>
        <v>Memorychain</v>
      </c>
      <c r="G102" s="1" t="str">
        <f>IFERROR(__xludf.DUMMYFUNCTION("""COMPUTED_VALUE"""),"Series 6")</f>
        <v>Series 6</v>
      </c>
      <c r="H102" s="1" t="s">
        <v>271</v>
      </c>
      <c r="I102" s="1" t="s">
        <v>199</v>
      </c>
      <c r="J102" s="4">
        <v>42887.0</v>
      </c>
      <c r="K102" s="1">
        <v>999.0</v>
      </c>
      <c r="L102" s="1">
        <v>999.0</v>
      </c>
      <c r="M102" s="1">
        <v>85.0</v>
      </c>
    </row>
    <row r="103">
      <c r="A103" s="1" t="s">
        <v>272</v>
      </c>
      <c r="B103" s="3" t="s">
        <v>273</v>
      </c>
      <c r="C103" s="1" t="s">
        <v>16</v>
      </c>
      <c r="D103" s="1" t="s">
        <v>23</v>
      </c>
      <c r="E103" s="1" t="s">
        <v>238</v>
      </c>
      <c r="F103" s="1" t="str">
        <f>IFERROR(__xludf.DUMMYFUNCTION("SPLIT(E103,""&gt;"")"),"Memorychain")</f>
        <v>Memorychain</v>
      </c>
      <c r="G103" s="1" t="str">
        <f>IFERROR(__xludf.DUMMYFUNCTION("""COMPUTED_VALUE"""),"Series 6")</f>
        <v>Series 6</v>
      </c>
      <c r="H103" s="1" t="s">
        <v>23</v>
      </c>
      <c r="I103" s="1" t="s">
        <v>199</v>
      </c>
      <c r="J103" s="4">
        <v>42887.0</v>
      </c>
      <c r="K103" s="1">
        <v>500.0</v>
      </c>
      <c r="L103" s="1">
        <v>500.0</v>
      </c>
      <c r="M103" s="1">
        <v>86.0</v>
      </c>
    </row>
    <row r="104">
      <c r="A104" s="1" t="s">
        <v>274</v>
      </c>
      <c r="B104" s="3" t="s">
        <v>275</v>
      </c>
      <c r="C104" s="1" t="s">
        <v>16</v>
      </c>
      <c r="D104" s="1" t="s">
        <v>276</v>
      </c>
      <c r="E104" s="1" t="s">
        <v>238</v>
      </c>
      <c r="F104" s="1" t="str">
        <f>IFERROR(__xludf.DUMMYFUNCTION("SPLIT(E104,""&gt;"")"),"Memorychain")</f>
        <v>Memorychain</v>
      </c>
      <c r="G104" s="1" t="str">
        <f>IFERROR(__xludf.DUMMYFUNCTION("""COMPUTED_VALUE"""),"Series 6")</f>
        <v>Series 6</v>
      </c>
      <c r="H104" s="1" t="s">
        <v>276</v>
      </c>
      <c r="I104" s="1" t="s">
        <v>199</v>
      </c>
      <c r="J104" s="4">
        <v>42887.0</v>
      </c>
      <c r="K104" s="1">
        <v>150.0</v>
      </c>
      <c r="L104" s="1">
        <v>150.0</v>
      </c>
      <c r="M104" s="1">
        <v>87.0</v>
      </c>
    </row>
    <row r="105">
      <c r="A105" s="1" t="s">
        <v>277</v>
      </c>
      <c r="B105" s="3" t="s">
        <v>278</v>
      </c>
      <c r="C105" s="1" t="s">
        <v>16</v>
      </c>
      <c r="D105" s="1" t="s">
        <v>89</v>
      </c>
      <c r="E105" s="1" t="s">
        <v>238</v>
      </c>
      <c r="F105" s="1" t="str">
        <f>IFERROR(__xludf.DUMMYFUNCTION("SPLIT(E105,""&gt;"")"),"Memorychain")</f>
        <v>Memorychain</v>
      </c>
      <c r="G105" s="1" t="str">
        <f>IFERROR(__xludf.DUMMYFUNCTION("""COMPUTED_VALUE"""),"Series 6")</f>
        <v>Series 6</v>
      </c>
      <c r="H105" s="1" t="s">
        <v>89</v>
      </c>
      <c r="I105" s="1" t="s">
        <v>199</v>
      </c>
      <c r="J105" s="4">
        <v>42887.0</v>
      </c>
      <c r="K105" s="1">
        <v>10000.0</v>
      </c>
      <c r="L105" s="1">
        <v>10000.0</v>
      </c>
      <c r="M105" s="1">
        <v>88.0</v>
      </c>
    </row>
    <row r="106">
      <c r="A106" s="1" t="s">
        <v>279</v>
      </c>
      <c r="B106" s="3" t="s">
        <v>280</v>
      </c>
      <c r="C106" s="1" t="s">
        <v>16</v>
      </c>
      <c r="D106" s="1" t="s">
        <v>61</v>
      </c>
      <c r="E106" s="1" t="s">
        <v>238</v>
      </c>
      <c r="F106" s="1" t="str">
        <f>IFERROR(__xludf.DUMMYFUNCTION("SPLIT(E106,""&gt;"")"),"Memorychain")</f>
        <v>Memorychain</v>
      </c>
      <c r="G106" s="1" t="str">
        <f>IFERROR(__xludf.DUMMYFUNCTION("""COMPUTED_VALUE"""),"Series 6")</f>
        <v>Series 6</v>
      </c>
      <c r="H106" s="1" t="s">
        <v>61</v>
      </c>
      <c r="I106" s="1" t="s">
        <v>199</v>
      </c>
      <c r="J106" s="4">
        <v>42887.0</v>
      </c>
      <c r="K106" s="1">
        <v>1000.0</v>
      </c>
      <c r="L106" s="1">
        <v>1000.0</v>
      </c>
      <c r="M106" s="1">
        <v>89.0</v>
      </c>
    </row>
    <row r="107">
      <c r="A107" s="1" t="s">
        <v>281</v>
      </c>
      <c r="B107" s="3" t="s">
        <v>282</v>
      </c>
      <c r="C107" s="1" t="s">
        <v>16</v>
      </c>
      <c r="D107" s="1" t="s">
        <v>283</v>
      </c>
      <c r="E107" s="1" t="s">
        <v>238</v>
      </c>
      <c r="F107" s="1" t="str">
        <f>IFERROR(__xludf.DUMMYFUNCTION("SPLIT(E107,""&gt;"")"),"Memorychain")</f>
        <v>Memorychain</v>
      </c>
      <c r="G107" s="1" t="str">
        <f>IFERROR(__xludf.DUMMYFUNCTION("""COMPUTED_VALUE"""),"Series 6")</f>
        <v>Series 6</v>
      </c>
      <c r="H107" s="1" t="s">
        <v>283</v>
      </c>
      <c r="I107" s="1" t="s">
        <v>199</v>
      </c>
      <c r="J107" s="4">
        <v>42887.0</v>
      </c>
      <c r="K107" s="1">
        <v>400.0</v>
      </c>
      <c r="L107" s="1">
        <v>400.0</v>
      </c>
      <c r="M107" s="1">
        <v>90.0</v>
      </c>
    </row>
    <row r="108">
      <c r="A108" s="1" t="s">
        <v>284</v>
      </c>
      <c r="B108" s="3" t="s">
        <v>285</v>
      </c>
      <c r="C108" s="1" t="s">
        <v>16</v>
      </c>
      <c r="D108" s="1" t="s">
        <v>286</v>
      </c>
      <c r="E108" s="1" t="s">
        <v>287</v>
      </c>
      <c r="F108" s="1" t="str">
        <f>IFERROR(__xludf.DUMMYFUNCTION("SPLIT(E108,""&gt;"")"),"Memorychain")</f>
        <v>Memorychain</v>
      </c>
      <c r="G108" s="1" t="str">
        <f>IFERROR(__xludf.DUMMYFUNCTION("""COMPUTED_VALUE"""),"Series 7")</f>
        <v>Series 7</v>
      </c>
      <c r="H108" s="1" t="s">
        <v>286</v>
      </c>
      <c r="I108" s="1" t="s">
        <v>288</v>
      </c>
      <c r="J108" s="4">
        <v>42917.0</v>
      </c>
      <c r="K108" s="1">
        <v>10000.0</v>
      </c>
      <c r="L108" s="1">
        <v>10000.0</v>
      </c>
      <c r="M108" s="1">
        <v>91.0</v>
      </c>
    </row>
    <row r="109">
      <c r="A109" s="1" t="s">
        <v>289</v>
      </c>
      <c r="B109" s="3" t="s">
        <v>290</v>
      </c>
      <c r="C109" s="1" t="s">
        <v>16</v>
      </c>
      <c r="D109" s="1" t="s">
        <v>23</v>
      </c>
      <c r="E109" s="1" t="s">
        <v>287</v>
      </c>
      <c r="F109" s="1" t="str">
        <f>IFERROR(__xludf.DUMMYFUNCTION("SPLIT(E109,""&gt;"")"),"Memorychain")</f>
        <v>Memorychain</v>
      </c>
      <c r="G109" s="1" t="str">
        <f>IFERROR(__xludf.DUMMYFUNCTION("""COMPUTED_VALUE"""),"Series 7")</f>
        <v>Series 7</v>
      </c>
      <c r="H109" s="1" t="s">
        <v>23</v>
      </c>
      <c r="I109" s="1" t="s">
        <v>288</v>
      </c>
      <c r="J109" s="4">
        <v>42917.0</v>
      </c>
      <c r="K109" s="1">
        <v>10000.0</v>
      </c>
      <c r="L109" s="1">
        <v>10000.0</v>
      </c>
      <c r="M109" s="1">
        <v>92.0</v>
      </c>
    </row>
    <row r="110">
      <c r="A110" s="1" t="s">
        <v>291</v>
      </c>
      <c r="B110" s="3" t="s">
        <v>292</v>
      </c>
      <c r="C110" s="1" t="s">
        <v>16</v>
      </c>
      <c r="D110" s="1" t="s">
        <v>293</v>
      </c>
      <c r="E110" s="1" t="s">
        <v>287</v>
      </c>
      <c r="F110" s="1" t="str">
        <f>IFERROR(__xludf.DUMMYFUNCTION("SPLIT(E110,""&gt;"")"),"Memorychain")</f>
        <v>Memorychain</v>
      </c>
      <c r="G110" s="1" t="str">
        <f>IFERROR(__xludf.DUMMYFUNCTION("""COMPUTED_VALUE"""),"Series 7")</f>
        <v>Series 7</v>
      </c>
      <c r="H110" s="1" t="s">
        <v>293</v>
      </c>
      <c r="I110" s="1" t="s">
        <v>288</v>
      </c>
      <c r="J110" s="4">
        <v>42917.0</v>
      </c>
      <c r="K110" s="1">
        <v>10000.0</v>
      </c>
      <c r="L110" s="1">
        <v>10000.0</v>
      </c>
      <c r="M110" s="1">
        <v>93.0</v>
      </c>
    </row>
    <row r="111">
      <c r="A111" s="1" t="s">
        <v>294</v>
      </c>
      <c r="B111" s="3" t="s">
        <v>295</v>
      </c>
      <c r="C111" s="1" t="s">
        <v>16</v>
      </c>
      <c r="D111" s="1" t="s">
        <v>252</v>
      </c>
      <c r="E111" s="1" t="s">
        <v>287</v>
      </c>
      <c r="F111" s="1" t="str">
        <f>IFERROR(__xludf.DUMMYFUNCTION("SPLIT(E111,""&gt;"")"),"Memorychain")</f>
        <v>Memorychain</v>
      </c>
      <c r="G111" s="1" t="str">
        <f>IFERROR(__xludf.DUMMYFUNCTION("""COMPUTED_VALUE"""),"Series 7")</f>
        <v>Series 7</v>
      </c>
      <c r="H111" s="1" t="s">
        <v>252</v>
      </c>
      <c r="I111" s="1" t="s">
        <v>288</v>
      </c>
      <c r="J111" s="4">
        <v>42917.0</v>
      </c>
      <c r="K111" s="1">
        <v>10000.0</v>
      </c>
      <c r="L111" s="1">
        <v>10000.0</v>
      </c>
      <c r="M111" s="1">
        <v>94.0</v>
      </c>
    </row>
    <row r="112">
      <c r="A112" s="1" t="s">
        <v>296</v>
      </c>
      <c r="B112" s="3" t="s">
        <v>297</v>
      </c>
      <c r="C112" s="1" t="s">
        <v>16</v>
      </c>
      <c r="D112" s="1" t="s">
        <v>252</v>
      </c>
      <c r="E112" s="1" t="s">
        <v>287</v>
      </c>
      <c r="F112" s="1" t="str">
        <f>IFERROR(__xludf.DUMMYFUNCTION("SPLIT(E112,""&gt;"")"),"Memorychain")</f>
        <v>Memorychain</v>
      </c>
      <c r="G112" s="1" t="str">
        <f>IFERROR(__xludf.DUMMYFUNCTION("""COMPUTED_VALUE"""),"Series 7")</f>
        <v>Series 7</v>
      </c>
      <c r="H112" s="1" t="s">
        <v>252</v>
      </c>
      <c r="I112" s="1" t="s">
        <v>288</v>
      </c>
      <c r="J112" s="4">
        <v>42917.0</v>
      </c>
      <c r="K112" s="1">
        <v>10000.0</v>
      </c>
      <c r="L112" s="1">
        <v>10000.0</v>
      </c>
      <c r="M112" s="1">
        <v>95.0</v>
      </c>
    </row>
    <row r="113">
      <c r="A113" s="1" t="s">
        <v>298</v>
      </c>
      <c r="B113" s="3" t="s">
        <v>299</v>
      </c>
      <c r="C113" s="1" t="s">
        <v>16</v>
      </c>
      <c r="D113" s="1" t="s">
        <v>135</v>
      </c>
      <c r="E113" s="1" t="s">
        <v>287</v>
      </c>
      <c r="F113" s="1" t="str">
        <f>IFERROR(__xludf.DUMMYFUNCTION("SPLIT(E113,""&gt;"")"),"Memorychain")</f>
        <v>Memorychain</v>
      </c>
      <c r="G113" s="1" t="str">
        <f>IFERROR(__xludf.DUMMYFUNCTION("""COMPUTED_VALUE"""),"Series 7")</f>
        <v>Series 7</v>
      </c>
      <c r="H113" s="1" t="s">
        <v>135</v>
      </c>
      <c r="I113" s="1" t="s">
        <v>288</v>
      </c>
      <c r="J113" s="4">
        <v>42917.0</v>
      </c>
      <c r="K113" s="1">
        <v>10000.0</v>
      </c>
      <c r="L113" s="1">
        <v>10000.0</v>
      </c>
      <c r="M113" s="1">
        <v>96.0</v>
      </c>
    </row>
    <row r="114">
      <c r="A114" s="1" t="s">
        <v>300</v>
      </c>
      <c r="B114" s="3" t="s">
        <v>301</v>
      </c>
      <c r="C114" s="1" t="s">
        <v>16</v>
      </c>
      <c r="D114" s="1" t="s">
        <v>44</v>
      </c>
      <c r="E114" s="1" t="s">
        <v>287</v>
      </c>
      <c r="F114" s="1" t="str">
        <f>IFERROR(__xludf.DUMMYFUNCTION("SPLIT(E114,""&gt;"")"),"Memorychain")</f>
        <v>Memorychain</v>
      </c>
      <c r="G114" s="1" t="str">
        <f>IFERROR(__xludf.DUMMYFUNCTION("""COMPUTED_VALUE"""),"Series 7")</f>
        <v>Series 7</v>
      </c>
      <c r="H114" s="1" t="s">
        <v>44</v>
      </c>
      <c r="I114" s="1" t="s">
        <v>288</v>
      </c>
      <c r="J114" s="4">
        <v>42917.0</v>
      </c>
      <c r="K114" s="1">
        <v>10000.0</v>
      </c>
      <c r="L114" s="1">
        <v>10000.0</v>
      </c>
      <c r="M114" s="1">
        <v>97.0</v>
      </c>
    </row>
    <row r="115">
      <c r="A115" s="1" t="s">
        <v>302</v>
      </c>
      <c r="B115" s="3" t="s">
        <v>303</v>
      </c>
      <c r="C115" s="1" t="s">
        <v>16</v>
      </c>
      <c r="D115" s="1" t="s">
        <v>44</v>
      </c>
      <c r="E115" s="1" t="s">
        <v>287</v>
      </c>
      <c r="F115" s="1" t="str">
        <f>IFERROR(__xludf.DUMMYFUNCTION("SPLIT(E115,""&gt;"")"),"Memorychain")</f>
        <v>Memorychain</v>
      </c>
      <c r="G115" s="1" t="str">
        <f>IFERROR(__xludf.DUMMYFUNCTION("""COMPUTED_VALUE"""),"Series 7")</f>
        <v>Series 7</v>
      </c>
      <c r="H115" s="1" t="s">
        <v>44</v>
      </c>
      <c r="I115" s="1" t="s">
        <v>288</v>
      </c>
      <c r="J115" s="4">
        <v>42917.0</v>
      </c>
      <c r="K115" s="1">
        <v>10000.0</v>
      </c>
      <c r="L115" s="1">
        <v>10000.0</v>
      </c>
      <c r="M115" s="1">
        <v>98.0</v>
      </c>
    </row>
    <row r="116">
      <c r="A116" s="1" t="s">
        <v>304</v>
      </c>
      <c r="B116" s="3" t="s">
        <v>305</v>
      </c>
      <c r="C116" s="1" t="s">
        <v>16</v>
      </c>
      <c r="D116" s="1" t="s">
        <v>168</v>
      </c>
      <c r="E116" s="1" t="s">
        <v>287</v>
      </c>
      <c r="F116" s="1" t="str">
        <f>IFERROR(__xludf.DUMMYFUNCTION("SPLIT(E116,""&gt;"")"),"Memorychain")</f>
        <v>Memorychain</v>
      </c>
      <c r="G116" s="1" t="str">
        <f>IFERROR(__xludf.DUMMYFUNCTION("""COMPUTED_VALUE"""),"Series 7")</f>
        <v>Series 7</v>
      </c>
      <c r="H116" s="1" t="s">
        <v>168</v>
      </c>
      <c r="I116" s="1" t="s">
        <v>288</v>
      </c>
      <c r="J116" s="4">
        <v>42917.0</v>
      </c>
      <c r="K116" s="1">
        <v>10000.0</v>
      </c>
      <c r="L116" s="1">
        <v>1500.0</v>
      </c>
      <c r="M116" s="1">
        <v>99.0</v>
      </c>
    </row>
    <row r="117">
      <c r="A117" s="1" t="s">
        <v>306</v>
      </c>
      <c r="B117" s="3" t="s">
        <v>307</v>
      </c>
      <c r="C117" s="1" t="s">
        <v>16</v>
      </c>
      <c r="D117" s="1" t="s">
        <v>252</v>
      </c>
      <c r="E117" s="1" t="s">
        <v>287</v>
      </c>
      <c r="F117" s="1" t="str">
        <f>IFERROR(__xludf.DUMMYFUNCTION("SPLIT(E117,""&gt;"")"),"Memorychain")</f>
        <v>Memorychain</v>
      </c>
      <c r="G117" s="1" t="str">
        <f>IFERROR(__xludf.DUMMYFUNCTION("""COMPUTED_VALUE"""),"Series 7")</f>
        <v>Series 7</v>
      </c>
      <c r="H117" s="1" t="s">
        <v>252</v>
      </c>
      <c r="I117" s="1" t="s">
        <v>288</v>
      </c>
      <c r="J117" s="4">
        <v>42917.0</v>
      </c>
      <c r="K117" s="1">
        <v>10000.0</v>
      </c>
      <c r="L117" s="1">
        <v>10000.0</v>
      </c>
      <c r="M117" s="1">
        <v>100.0</v>
      </c>
    </row>
    <row r="118">
      <c r="A118" s="1" t="s">
        <v>308</v>
      </c>
      <c r="B118" s="3" t="s">
        <v>309</v>
      </c>
      <c r="C118" s="1" t="s">
        <v>16</v>
      </c>
      <c r="D118" s="1" t="s">
        <v>89</v>
      </c>
      <c r="E118" s="1" t="s">
        <v>287</v>
      </c>
      <c r="F118" s="1" t="str">
        <f>IFERROR(__xludf.DUMMYFUNCTION("SPLIT(E118,""&gt;"")"),"Memorychain")</f>
        <v>Memorychain</v>
      </c>
      <c r="G118" s="1" t="str">
        <f>IFERROR(__xludf.DUMMYFUNCTION("""COMPUTED_VALUE"""),"Series 7")</f>
        <v>Series 7</v>
      </c>
      <c r="H118" s="1" t="s">
        <v>89</v>
      </c>
      <c r="I118" s="1" t="s">
        <v>288</v>
      </c>
      <c r="J118" s="4">
        <v>42917.0</v>
      </c>
      <c r="K118" s="1">
        <v>10000.0</v>
      </c>
      <c r="L118" s="1">
        <v>10000.0</v>
      </c>
      <c r="M118" s="1">
        <v>102.0</v>
      </c>
    </row>
    <row r="119">
      <c r="A119" s="1" t="s">
        <v>310</v>
      </c>
      <c r="B119" s="3" t="s">
        <v>311</v>
      </c>
      <c r="C119" s="1" t="s">
        <v>16</v>
      </c>
      <c r="D119" s="1" t="s">
        <v>312</v>
      </c>
      <c r="E119" s="1" t="s">
        <v>287</v>
      </c>
      <c r="F119" s="1" t="str">
        <f>IFERROR(__xludf.DUMMYFUNCTION("SPLIT(E119,""&gt;"")"),"Memorychain")</f>
        <v>Memorychain</v>
      </c>
      <c r="G119" s="1" t="str">
        <f>IFERROR(__xludf.DUMMYFUNCTION("""COMPUTED_VALUE"""),"Series 7")</f>
        <v>Series 7</v>
      </c>
      <c r="H119" s="1" t="s">
        <v>312</v>
      </c>
      <c r="I119" s="1" t="s">
        <v>288</v>
      </c>
      <c r="J119" s="4">
        <v>42917.0</v>
      </c>
      <c r="K119" s="1">
        <v>10000.0</v>
      </c>
      <c r="L119" s="1">
        <v>10000.0</v>
      </c>
      <c r="M119" s="1">
        <v>103.0</v>
      </c>
    </row>
    <row r="120">
      <c r="A120" s="1" t="s">
        <v>313</v>
      </c>
      <c r="B120" s="3" t="s">
        <v>314</v>
      </c>
      <c r="C120" s="1" t="s">
        <v>16</v>
      </c>
      <c r="D120" s="1" t="s">
        <v>146</v>
      </c>
      <c r="E120" s="1" t="s">
        <v>287</v>
      </c>
      <c r="F120" s="1" t="str">
        <f>IFERROR(__xludf.DUMMYFUNCTION("SPLIT(E120,""&gt;"")"),"Memorychain")</f>
        <v>Memorychain</v>
      </c>
      <c r="G120" s="1" t="str">
        <f>IFERROR(__xludf.DUMMYFUNCTION("""COMPUTED_VALUE"""),"Series 7")</f>
        <v>Series 7</v>
      </c>
      <c r="H120" s="1" t="s">
        <v>146</v>
      </c>
      <c r="I120" s="1" t="s">
        <v>288</v>
      </c>
      <c r="J120" s="4">
        <v>42917.0</v>
      </c>
      <c r="K120" s="1">
        <v>10000.0</v>
      </c>
      <c r="L120" s="1">
        <v>10000.0</v>
      </c>
      <c r="M120" s="1">
        <v>104.0</v>
      </c>
    </row>
    <row r="121">
      <c r="A121" s="1" t="s">
        <v>315</v>
      </c>
      <c r="B121" s="3" t="s">
        <v>316</v>
      </c>
      <c r="C121" s="1" t="s">
        <v>16</v>
      </c>
      <c r="D121" s="1" t="s">
        <v>317</v>
      </c>
      <c r="E121" s="1" t="s">
        <v>287</v>
      </c>
      <c r="F121" s="1" t="str">
        <f>IFERROR(__xludf.DUMMYFUNCTION("SPLIT(E121,""&gt;"")"),"Memorychain")</f>
        <v>Memorychain</v>
      </c>
      <c r="G121" s="1" t="str">
        <f>IFERROR(__xludf.DUMMYFUNCTION("""COMPUTED_VALUE"""),"Series 7")</f>
        <v>Series 7</v>
      </c>
      <c r="H121" s="1" t="s">
        <v>317</v>
      </c>
      <c r="I121" s="1" t="s">
        <v>288</v>
      </c>
      <c r="J121" s="4">
        <v>42917.0</v>
      </c>
      <c r="K121" s="1">
        <v>10000.0</v>
      </c>
      <c r="L121" s="1">
        <v>10000.0</v>
      </c>
      <c r="M121" s="1">
        <v>105.0</v>
      </c>
    </row>
    <row r="122">
      <c r="A122" s="1" t="s">
        <v>318</v>
      </c>
      <c r="B122" s="3" t="s">
        <v>319</v>
      </c>
      <c r="C122" s="1" t="s">
        <v>16</v>
      </c>
      <c r="D122" s="1" t="s">
        <v>61</v>
      </c>
      <c r="E122" s="1" t="s">
        <v>287</v>
      </c>
      <c r="F122" s="1" t="str">
        <f>IFERROR(__xludf.DUMMYFUNCTION("SPLIT(E122,""&gt;"")"),"Memorychain")</f>
        <v>Memorychain</v>
      </c>
      <c r="G122" s="1" t="str">
        <f>IFERROR(__xludf.DUMMYFUNCTION("""COMPUTED_VALUE"""),"Series 7")</f>
        <v>Series 7</v>
      </c>
      <c r="H122" s="1" t="s">
        <v>61</v>
      </c>
      <c r="I122" s="1" t="s">
        <v>288</v>
      </c>
      <c r="J122" s="4">
        <v>42917.0</v>
      </c>
      <c r="K122" s="1">
        <v>10000.0</v>
      </c>
      <c r="L122" s="1">
        <v>500.0</v>
      </c>
      <c r="M122" s="1">
        <v>106.0</v>
      </c>
    </row>
    <row r="123">
      <c r="A123" s="1" t="s">
        <v>320</v>
      </c>
      <c r="B123" s="3" t="s">
        <v>321</v>
      </c>
      <c r="C123" s="1" t="s">
        <v>16</v>
      </c>
      <c r="D123" s="1" t="s">
        <v>71</v>
      </c>
      <c r="E123" s="1" t="s">
        <v>287</v>
      </c>
      <c r="F123" s="1" t="str">
        <f>IFERROR(__xludf.DUMMYFUNCTION("SPLIT(E123,""&gt;"")"),"Memorychain")</f>
        <v>Memorychain</v>
      </c>
      <c r="G123" s="1" t="str">
        <f>IFERROR(__xludf.DUMMYFUNCTION("""COMPUTED_VALUE"""),"Series 7")</f>
        <v>Series 7</v>
      </c>
      <c r="H123" s="1" t="s">
        <v>71</v>
      </c>
      <c r="I123" s="1" t="s">
        <v>288</v>
      </c>
      <c r="J123" s="4">
        <v>42917.0</v>
      </c>
      <c r="K123" s="1">
        <v>10000.0</v>
      </c>
      <c r="L123" s="1">
        <v>10000.0</v>
      </c>
      <c r="M123" s="1">
        <v>107.0</v>
      </c>
    </row>
    <row r="124">
      <c r="A124" s="1" t="s">
        <v>322</v>
      </c>
      <c r="B124" s="3" t="s">
        <v>323</v>
      </c>
      <c r="C124" s="1" t="s">
        <v>16</v>
      </c>
      <c r="D124" s="1" t="s">
        <v>128</v>
      </c>
      <c r="E124" s="1" t="s">
        <v>287</v>
      </c>
      <c r="F124" s="1" t="str">
        <f>IFERROR(__xludf.DUMMYFUNCTION("SPLIT(E124,""&gt;"")"),"Memorychain")</f>
        <v>Memorychain</v>
      </c>
      <c r="G124" s="1" t="str">
        <f>IFERROR(__xludf.DUMMYFUNCTION("""COMPUTED_VALUE"""),"Series 7")</f>
        <v>Series 7</v>
      </c>
      <c r="H124" s="1" t="s">
        <v>128</v>
      </c>
      <c r="I124" s="1" t="s">
        <v>288</v>
      </c>
      <c r="J124" s="4">
        <v>42917.0</v>
      </c>
      <c r="K124" s="1">
        <v>10000.0</v>
      </c>
      <c r="L124" s="1">
        <v>10000.0</v>
      </c>
      <c r="M124" s="1">
        <v>108.0</v>
      </c>
    </row>
    <row r="125">
      <c r="A125" s="1" t="s">
        <v>324</v>
      </c>
      <c r="B125" s="3" t="s">
        <v>325</v>
      </c>
      <c r="C125" s="1" t="s">
        <v>16</v>
      </c>
      <c r="D125" s="1" t="s">
        <v>92</v>
      </c>
      <c r="E125" s="1" t="s">
        <v>287</v>
      </c>
      <c r="F125" s="1" t="str">
        <f>IFERROR(__xludf.DUMMYFUNCTION("SPLIT(E125,""&gt;"")"),"Memorychain")</f>
        <v>Memorychain</v>
      </c>
      <c r="G125" s="1" t="str">
        <f>IFERROR(__xludf.DUMMYFUNCTION("""COMPUTED_VALUE"""),"Series 7")</f>
        <v>Series 7</v>
      </c>
      <c r="H125" s="1" t="s">
        <v>92</v>
      </c>
      <c r="I125" s="1" t="s">
        <v>288</v>
      </c>
      <c r="J125" s="4">
        <v>42917.0</v>
      </c>
      <c r="K125" s="1">
        <v>10000.0</v>
      </c>
      <c r="L125" s="1">
        <v>10000.0</v>
      </c>
      <c r="M125" s="1">
        <v>109.0</v>
      </c>
    </row>
    <row r="126">
      <c r="A126" s="1" t="s">
        <v>326</v>
      </c>
      <c r="B126" s="3" t="s">
        <v>327</v>
      </c>
      <c r="C126" s="1" t="s">
        <v>16</v>
      </c>
      <c r="D126" s="1" t="s">
        <v>79</v>
      </c>
      <c r="E126" s="1" t="s">
        <v>287</v>
      </c>
      <c r="F126" s="1" t="str">
        <f>IFERROR(__xludf.DUMMYFUNCTION("SPLIT(E126,""&gt;"")"),"Memorychain")</f>
        <v>Memorychain</v>
      </c>
      <c r="G126" s="1" t="str">
        <f>IFERROR(__xludf.DUMMYFUNCTION("""COMPUTED_VALUE"""),"Series 7")</f>
        <v>Series 7</v>
      </c>
      <c r="H126" s="1" t="s">
        <v>79</v>
      </c>
      <c r="I126" s="1" t="s">
        <v>288</v>
      </c>
      <c r="J126" s="4">
        <v>42917.0</v>
      </c>
      <c r="K126" s="1">
        <v>10000.0</v>
      </c>
      <c r="L126" s="1">
        <v>10000.0</v>
      </c>
      <c r="M126" s="1">
        <v>110.0</v>
      </c>
    </row>
    <row r="127">
      <c r="A127" s="1" t="s">
        <v>328</v>
      </c>
      <c r="B127" s="3" t="s">
        <v>329</v>
      </c>
      <c r="C127" s="1" t="s">
        <v>16</v>
      </c>
      <c r="D127" s="1" t="s">
        <v>330</v>
      </c>
      <c r="E127" s="1" t="s">
        <v>287</v>
      </c>
      <c r="F127" s="1" t="str">
        <f>IFERROR(__xludf.DUMMYFUNCTION("SPLIT(E127,""&gt;"")"),"Memorychain")</f>
        <v>Memorychain</v>
      </c>
      <c r="G127" s="1" t="str">
        <f>IFERROR(__xludf.DUMMYFUNCTION("""COMPUTED_VALUE"""),"Series 7")</f>
        <v>Series 7</v>
      </c>
      <c r="H127" s="1" t="s">
        <v>330</v>
      </c>
      <c r="I127" s="1" t="s">
        <v>288</v>
      </c>
      <c r="J127" s="4">
        <v>42917.0</v>
      </c>
      <c r="K127" s="1">
        <v>10000.0</v>
      </c>
      <c r="L127" s="1">
        <v>10000.0</v>
      </c>
      <c r="M127" s="1">
        <v>111.0</v>
      </c>
    </row>
    <row r="128">
      <c r="A128" s="1" t="s">
        <v>331</v>
      </c>
      <c r="B128" s="3" t="s">
        <v>332</v>
      </c>
      <c r="C128" s="1" t="s">
        <v>16</v>
      </c>
      <c r="D128" s="1" t="s">
        <v>234</v>
      </c>
      <c r="E128" s="1" t="s">
        <v>287</v>
      </c>
      <c r="F128" s="1" t="str">
        <f>IFERROR(__xludf.DUMMYFUNCTION("SPLIT(E128,""&gt;"")"),"Memorychain")</f>
        <v>Memorychain</v>
      </c>
      <c r="G128" s="1" t="str">
        <f>IFERROR(__xludf.DUMMYFUNCTION("""COMPUTED_VALUE"""),"Series 7")</f>
        <v>Series 7</v>
      </c>
      <c r="H128" s="1" t="s">
        <v>234</v>
      </c>
      <c r="I128" s="1" t="s">
        <v>288</v>
      </c>
      <c r="J128" s="4">
        <v>42917.0</v>
      </c>
      <c r="K128" s="1">
        <v>10000.0</v>
      </c>
      <c r="L128" s="1">
        <v>10000.0</v>
      </c>
      <c r="M128" s="1">
        <v>112.0</v>
      </c>
    </row>
    <row r="129">
      <c r="A129" s="1" t="s">
        <v>333</v>
      </c>
      <c r="B129" s="3" t="s">
        <v>334</v>
      </c>
      <c r="C129" s="1" t="s">
        <v>16</v>
      </c>
      <c r="D129" s="1" t="s">
        <v>95</v>
      </c>
      <c r="E129" s="1" t="s">
        <v>287</v>
      </c>
      <c r="F129" s="1" t="str">
        <f>IFERROR(__xludf.DUMMYFUNCTION("SPLIT(E129,""&gt;"")"),"Memorychain")</f>
        <v>Memorychain</v>
      </c>
      <c r="G129" s="1" t="str">
        <f>IFERROR(__xludf.DUMMYFUNCTION("""COMPUTED_VALUE"""),"Series 7")</f>
        <v>Series 7</v>
      </c>
      <c r="H129" s="1" t="s">
        <v>95</v>
      </c>
      <c r="I129" s="1" t="s">
        <v>288</v>
      </c>
      <c r="J129" s="4">
        <v>42917.0</v>
      </c>
      <c r="K129" s="1">
        <v>10000.0</v>
      </c>
      <c r="L129" s="1">
        <v>10000.0</v>
      </c>
      <c r="M129" s="1">
        <v>113.0</v>
      </c>
    </row>
    <row r="130">
      <c r="A130" s="1" t="s">
        <v>335</v>
      </c>
      <c r="B130" s="3" t="s">
        <v>336</v>
      </c>
      <c r="C130" s="1" t="s">
        <v>16</v>
      </c>
      <c r="D130" s="1" t="s">
        <v>17</v>
      </c>
      <c r="E130" s="1" t="s">
        <v>287</v>
      </c>
      <c r="F130" s="1" t="str">
        <f>IFERROR(__xludf.DUMMYFUNCTION("SPLIT(E130,""&gt;"")"),"Memorychain")</f>
        <v>Memorychain</v>
      </c>
      <c r="G130" s="1" t="str">
        <f>IFERROR(__xludf.DUMMYFUNCTION("""COMPUTED_VALUE"""),"Series 7")</f>
        <v>Series 7</v>
      </c>
      <c r="H130" s="1" t="s">
        <v>17</v>
      </c>
      <c r="I130" s="1" t="s">
        <v>288</v>
      </c>
      <c r="J130" s="4">
        <v>42917.0</v>
      </c>
      <c r="K130" s="1">
        <v>10000.0</v>
      </c>
      <c r="L130" s="1">
        <v>10000.0</v>
      </c>
      <c r="M130" s="1">
        <v>114.0</v>
      </c>
    </row>
    <row r="131">
      <c r="A131" s="1" t="s">
        <v>337</v>
      </c>
      <c r="B131" s="3" t="s">
        <v>338</v>
      </c>
      <c r="C131" s="1" t="s">
        <v>16</v>
      </c>
      <c r="D131" s="1" t="s">
        <v>53</v>
      </c>
      <c r="E131" s="1" t="s">
        <v>287</v>
      </c>
      <c r="F131" s="1" t="str">
        <f>IFERROR(__xludf.DUMMYFUNCTION("SPLIT(E131,""&gt;"")"),"Memorychain")</f>
        <v>Memorychain</v>
      </c>
      <c r="G131" s="1" t="str">
        <f>IFERROR(__xludf.DUMMYFUNCTION("""COMPUTED_VALUE"""),"Series 7")</f>
        <v>Series 7</v>
      </c>
      <c r="H131" s="1" t="s">
        <v>53</v>
      </c>
      <c r="I131" s="1" t="s">
        <v>288</v>
      </c>
      <c r="J131" s="4">
        <v>42917.0</v>
      </c>
      <c r="K131" s="1">
        <v>10000.0</v>
      </c>
      <c r="L131" s="1">
        <v>10000.0</v>
      </c>
      <c r="M131" s="1">
        <v>115.0</v>
      </c>
    </row>
    <row r="132">
      <c r="A132" s="1" t="s">
        <v>339</v>
      </c>
      <c r="B132" s="3" t="s">
        <v>340</v>
      </c>
      <c r="C132" s="1" t="s">
        <v>16</v>
      </c>
      <c r="D132" s="1" t="s">
        <v>17</v>
      </c>
      <c r="E132" s="1" t="s">
        <v>287</v>
      </c>
      <c r="F132" s="1" t="str">
        <f>IFERROR(__xludf.DUMMYFUNCTION("SPLIT(E132,""&gt;"")"),"Memorychain")</f>
        <v>Memorychain</v>
      </c>
      <c r="G132" s="1" t="str">
        <f>IFERROR(__xludf.DUMMYFUNCTION("""COMPUTED_VALUE"""),"Series 7")</f>
        <v>Series 7</v>
      </c>
      <c r="H132" s="1" t="s">
        <v>17</v>
      </c>
      <c r="I132" s="1" t="s">
        <v>288</v>
      </c>
      <c r="J132" s="4">
        <v>42917.0</v>
      </c>
      <c r="K132" s="1">
        <v>10000.0</v>
      </c>
      <c r="L132" s="1">
        <v>10000.0</v>
      </c>
      <c r="M132" s="1">
        <v>116.0</v>
      </c>
    </row>
    <row r="133">
      <c r="A133" s="1" t="s">
        <v>341</v>
      </c>
      <c r="B133" s="3" t="s">
        <v>342</v>
      </c>
      <c r="C133" s="1" t="s">
        <v>16</v>
      </c>
      <c r="D133" s="1" t="s">
        <v>95</v>
      </c>
      <c r="E133" s="1" t="s">
        <v>287</v>
      </c>
      <c r="F133" s="1" t="str">
        <f>IFERROR(__xludf.DUMMYFUNCTION("SPLIT(E133,""&gt;"")"),"Memorychain")</f>
        <v>Memorychain</v>
      </c>
      <c r="G133" s="1" t="str">
        <f>IFERROR(__xludf.DUMMYFUNCTION("""COMPUTED_VALUE"""),"Series 7")</f>
        <v>Series 7</v>
      </c>
      <c r="H133" s="1" t="s">
        <v>95</v>
      </c>
      <c r="I133" s="1" t="s">
        <v>288</v>
      </c>
      <c r="J133" s="4">
        <v>42917.0</v>
      </c>
      <c r="K133" s="1">
        <v>10000.0</v>
      </c>
      <c r="L133" s="1">
        <v>10000.0</v>
      </c>
      <c r="M133" s="1">
        <v>117.0</v>
      </c>
    </row>
    <row r="134">
      <c r="A134" s="1" t="s">
        <v>343</v>
      </c>
      <c r="B134" s="3" t="s">
        <v>344</v>
      </c>
      <c r="C134" s="1" t="s">
        <v>16</v>
      </c>
      <c r="D134" s="1" t="s">
        <v>159</v>
      </c>
      <c r="E134" s="1" t="s">
        <v>287</v>
      </c>
      <c r="F134" s="1" t="str">
        <f>IFERROR(__xludf.DUMMYFUNCTION("SPLIT(E134,""&gt;"")"),"Memorychain")</f>
        <v>Memorychain</v>
      </c>
      <c r="G134" s="1" t="str">
        <f>IFERROR(__xludf.DUMMYFUNCTION("""COMPUTED_VALUE"""),"Series 7")</f>
        <v>Series 7</v>
      </c>
      <c r="H134" s="1" t="s">
        <v>159</v>
      </c>
      <c r="I134" s="1" t="s">
        <v>288</v>
      </c>
      <c r="J134" s="4">
        <v>42917.0</v>
      </c>
      <c r="K134" s="1">
        <v>10000.0</v>
      </c>
      <c r="L134" s="1">
        <v>1999.0</v>
      </c>
      <c r="M134" s="1">
        <v>118.0</v>
      </c>
    </row>
    <row r="135">
      <c r="A135" s="1" t="s">
        <v>345</v>
      </c>
      <c r="B135" s="3" t="s">
        <v>346</v>
      </c>
      <c r="C135" s="1" t="s">
        <v>16</v>
      </c>
      <c r="D135" s="1" t="s">
        <v>66</v>
      </c>
      <c r="E135" s="1" t="s">
        <v>287</v>
      </c>
      <c r="F135" s="1" t="str">
        <f>IFERROR(__xludf.DUMMYFUNCTION("SPLIT(E135,""&gt;"")"),"Memorychain")</f>
        <v>Memorychain</v>
      </c>
      <c r="G135" s="1" t="str">
        <f>IFERROR(__xludf.DUMMYFUNCTION("""COMPUTED_VALUE"""),"Series 7")</f>
        <v>Series 7</v>
      </c>
      <c r="H135" s="1" t="s">
        <v>66</v>
      </c>
      <c r="I135" s="1" t="s">
        <v>288</v>
      </c>
      <c r="J135" s="4">
        <v>42917.0</v>
      </c>
      <c r="K135" s="1">
        <v>10000.0</v>
      </c>
      <c r="L135" s="1">
        <v>10000.0</v>
      </c>
      <c r="M135" s="1">
        <v>119.0</v>
      </c>
    </row>
    <row r="136">
      <c r="A136" s="1" t="s">
        <v>347</v>
      </c>
      <c r="B136" s="3" t="s">
        <v>348</v>
      </c>
      <c r="C136" s="1" t="s">
        <v>16</v>
      </c>
      <c r="D136" s="1" t="s">
        <v>349</v>
      </c>
      <c r="E136" s="1" t="s">
        <v>287</v>
      </c>
      <c r="F136" s="1" t="str">
        <f>IFERROR(__xludf.DUMMYFUNCTION("SPLIT(E136,""&gt;"")"),"Memorychain")</f>
        <v>Memorychain</v>
      </c>
      <c r="G136" s="1" t="str">
        <f>IFERROR(__xludf.DUMMYFUNCTION("""COMPUTED_VALUE"""),"Series 7")</f>
        <v>Series 7</v>
      </c>
      <c r="H136" s="1" t="s">
        <v>349</v>
      </c>
      <c r="I136" s="1" t="s">
        <v>288</v>
      </c>
      <c r="J136" s="4">
        <v>42917.0</v>
      </c>
      <c r="K136" s="1">
        <v>10000.0</v>
      </c>
      <c r="L136" s="1">
        <v>10000.0</v>
      </c>
      <c r="M136" s="1">
        <v>101.0</v>
      </c>
    </row>
    <row r="137">
      <c r="A137" s="1" t="s">
        <v>350</v>
      </c>
      <c r="B137" s="3" t="s">
        <v>351</v>
      </c>
      <c r="C137" s="1" t="s">
        <v>16</v>
      </c>
      <c r="D137" s="1" t="s">
        <v>352</v>
      </c>
      <c r="E137" s="1" t="s">
        <v>353</v>
      </c>
      <c r="F137" s="1" t="str">
        <f>IFERROR(__xludf.DUMMYFUNCTION("SPLIT(E137,""&gt;"")"),"Memorychain")</f>
        <v>Memorychain</v>
      </c>
      <c r="G137" s="1" t="str">
        <f>IFERROR(__xludf.DUMMYFUNCTION("""COMPUTED_VALUE"""),"Series 8")</f>
        <v>Series 8</v>
      </c>
      <c r="H137" s="1" t="s">
        <v>352</v>
      </c>
      <c r="I137" s="1" t="s">
        <v>288</v>
      </c>
      <c r="J137" s="4">
        <v>42917.0</v>
      </c>
      <c r="K137" s="1">
        <v>300.0</v>
      </c>
      <c r="L137" s="1">
        <v>300.0</v>
      </c>
      <c r="M137" s="1">
        <v>120.0</v>
      </c>
    </row>
    <row r="138">
      <c r="A138" s="1" t="s">
        <v>354</v>
      </c>
      <c r="B138" s="3" t="s">
        <v>355</v>
      </c>
      <c r="C138" s="1" t="s">
        <v>16</v>
      </c>
      <c r="D138" s="1" t="s">
        <v>123</v>
      </c>
      <c r="E138" s="1" t="s">
        <v>353</v>
      </c>
      <c r="F138" s="1" t="str">
        <f>IFERROR(__xludf.DUMMYFUNCTION("SPLIT(E138,""&gt;"")"),"Memorychain")</f>
        <v>Memorychain</v>
      </c>
      <c r="G138" s="1" t="str">
        <f>IFERROR(__xludf.DUMMYFUNCTION("""COMPUTED_VALUE"""),"Series 8")</f>
        <v>Series 8</v>
      </c>
      <c r="H138" s="1" t="s">
        <v>123</v>
      </c>
      <c r="I138" s="1" t="s">
        <v>288</v>
      </c>
      <c r="J138" s="4">
        <v>42917.0</v>
      </c>
      <c r="K138" s="1">
        <v>100.0</v>
      </c>
      <c r="L138" s="1">
        <v>100.0</v>
      </c>
      <c r="M138" s="1">
        <v>121.0</v>
      </c>
    </row>
    <row r="139">
      <c r="A139" s="1" t="s">
        <v>356</v>
      </c>
      <c r="B139" s="3" t="s">
        <v>357</v>
      </c>
      <c r="C139" s="1" t="s">
        <v>16</v>
      </c>
      <c r="D139" s="1" t="s">
        <v>227</v>
      </c>
      <c r="E139" s="1" t="s">
        <v>353</v>
      </c>
      <c r="F139" s="1" t="str">
        <f>IFERROR(__xludf.DUMMYFUNCTION("SPLIT(E139,""&gt;"")"),"Memorychain")</f>
        <v>Memorychain</v>
      </c>
      <c r="G139" s="1" t="str">
        <f>IFERROR(__xludf.DUMMYFUNCTION("""COMPUTED_VALUE"""),"Series 8")</f>
        <v>Series 8</v>
      </c>
      <c r="H139" s="1" t="s">
        <v>227</v>
      </c>
      <c r="I139" s="1" t="s">
        <v>288</v>
      </c>
      <c r="J139" s="4">
        <v>42917.0</v>
      </c>
      <c r="K139" s="1">
        <v>100.0</v>
      </c>
      <c r="L139" s="1">
        <v>100.0</v>
      </c>
      <c r="M139" s="1">
        <v>122.0</v>
      </c>
    </row>
    <row r="140">
      <c r="A140" s="1" t="s">
        <v>358</v>
      </c>
      <c r="B140" s="3" t="s">
        <v>359</v>
      </c>
      <c r="C140" s="1" t="s">
        <v>16</v>
      </c>
      <c r="D140" s="1" t="s">
        <v>79</v>
      </c>
      <c r="E140" s="1" t="s">
        <v>353</v>
      </c>
      <c r="F140" s="1" t="str">
        <f>IFERROR(__xludf.DUMMYFUNCTION("SPLIT(E140,""&gt;"")"),"Memorychain")</f>
        <v>Memorychain</v>
      </c>
      <c r="G140" s="1" t="str">
        <f>IFERROR(__xludf.DUMMYFUNCTION("""COMPUTED_VALUE"""),"Series 8")</f>
        <v>Series 8</v>
      </c>
      <c r="H140" s="1" t="s">
        <v>79</v>
      </c>
      <c r="I140" s="1" t="s">
        <v>288</v>
      </c>
      <c r="J140" s="4">
        <v>42917.0</v>
      </c>
      <c r="K140" s="1">
        <v>200.0</v>
      </c>
      <c r="L140" s="1">
        <v>200.0</v>
      </c>
      <c r="M140" s="1">
        <v>123.0</v>
      </c>
    </row>
    <row r="141">
      <c r="A141" s="1" t="s">
        <v>360</v>
      </c>
      <c r="B141" s="3" t="s">
        <v>361</v>
      </c>
      <c r="C141" s="1" t="s">
        <v>16</v>
      </c>
      <c r="D141" s="1" t="s">
        <v>128</v>
      </c>
      <c r="E141" s="1" t="s">
        <v>353</v>
      </c>
      <c r="F141" s="1" t="str">
        <f>IFERROR(__xludf.DUMMYFUNCTION("SPLIT(E141,""&gt;"")"),"Memorychain")</f>
        <v>Memorychain</v>
      </c>
      <c r="G141" s="1" t="str">
        <f>IFERROR(__xludf.DUMMYFUNCTION("""COMPUTED_VALUE"""),"Series 8")</f>
        <v>Series 8</v>
      </c>
      <c r="H141" s="1" t="s">
        <v>128</v>
      </c>
      <c r="I141" s="1" t="s">
        <v>288</v>
      </c>
      <c r="J141" s="4">
        <v>42917.0</v>
      </c>
      <c r="K141" s="1">
        <v>500.0</v>
      </c>
      <c r="L141" s="1">
        <v>500.0</v>
      </c>
      <c r="M141" s="1">
        <v>124.0</v>
      </c>
    </row>
    <row r="142">
      <c r="A142" s="1" t="s">
        <v>362</v>
      </c>
      <c r="B142" s="3" t="s">
        <v>363</v>
      </c>
      <c r="C142" s="1" t="s">
        <v>16</v>
      </c>
      <c r="D142" s="1" t="s">
        <v>330</v>
      </c>
      <c r="E142" s="1" t="s">
        <v>353</v>
      </c>
      <c r="F142" s="1" t="str">
        <f>IFERROR(__xludf.DUMMYFUNCTION("SPLIT(E142,""&gt;"")"),"Memorychain")</f>
        <v>Memorychain</v>
      </c>
      <c r="G142" s="1" t="str">
        <f>IFERROR(__xludf.DUMMYFUNCTION("""COMPUTED_VALUE"""),"Series 8")</f>
        <v>Series 8</v>
      </c>
      <c r="H142" s="1" t="s">
        <v>330</v>
      </c>
      <c r="I142" s="1" t="s">
        <v>288</v>
      </c>
      <c r="J142" s="4">
        <v>42917.0</v>
      </c>
      <c r="K142" s="1">
        <v>100.0</v>
      </c>
      <c r="L142" s="1">
        <v>100.0</v>
      </c>
      <c r="M142" s="1">
        <v>125.0</v>
      </c>
    </row>
    <row r="143">
      <c r="A143" s="1" t="s">
        <v>364</v>
      </c>
      <c r="B143" s="3" t="s">
        <v>365</v>
      </c>
      <c r="C143" s="1" t="s">
        <v>16</v>
      </c>
      <c r="D143" s="1" t="s">
        <v>366</v>
      </c>
      <c r="E143" s="1" t="s">
        <v>353</v>
      </c>
      <c r="F143" s="1" t="str">
        <f>IFERROR(__xludf.DUMMYFUNCTION("SPLIT(E143,""&gt;"")"),"Memorychain")</f>
        <v>Memorychain</v>
      </c>
      <c r="G143" s="1" t="str">
        <f>IFERROR(__xludf.DUMMYFUNCTION("""COMPUTED_VALUE"""),"Series 8")</f>
        <v>Series 8</v>
      </c>
      <c r="H143" s="1" t="s">
        <v>366</v>
      </c>
      <c r="I143" s="1" t="s">
        <v>288</v>
      </c>
      <c r="J143" s="4">
        <v>42917.0</v>
      </c>
      <c r="K143" s="1">
        <v>10000.0</v>
      </c>
      <c r="L143" s="1">
        <v>10000.0</v>
      </c>
      <c r="M143" s="1">
        <v>126.0</v>
      </c>
    </row>
    <row r="144">
      <c r="A144" s="1" t="s">
        <v>367</v>
      </c>
      <c r="B144" s="3" t="s">
        <v>368</v>
      </c>
      <c r="C144" s="1" t="s">
        <v>16</v>
      </c>
      <c r="D144" s="1" t="s">
        <v>44</v>
      </c>
      <c r="E144" s="1" t="s">
        <v>353</v>
      </c>
      <c r="F144" s="1" t="str">
        <f>IFERROR(__xludf.DUMMYFUNCTION("SPLIT(E144,""&gt;"")"),"Memorychain")</f>
        <v>Memorychain</v>
      </c>
      <c r="G144" s="1" t="str">
        <f>IFERROR(__xludf.DUMMYFUNCTION("""COMPUTED_VALUE"""),"Series 8")</f>
        <v>Series 8</v>
      </c>
      <c r="H144" s="1" t="s">
        <v>44</v>
      </c>
      <c r="I144" s="1" t="s">
        <v>288</v>
      </c>
      <c r="J144" s="4">
        <v>42917.0</v>
      </c>
      <c r="K144" s="1">
        <v>999.0</v>
      </c>
      <c r="L144" s="1">
        <v>999.0</v>
      </c>
      <c r="M144" s="1">
        <v>127.0</v>
      </c>
    </row>
    <row r="145">
      <c r="A145" s="1" t="s">
        <v>369</v>
      </c>
      <c r="B145" s="3" t="s">
        <v>370</v>
      </c>
      <c r="C145" s="1" t="s">
        <v>16</v>
      </c>
      <c r="D145" s="1" t="s">
        <v>371</v>
      </c>
      <c r="E145" s="1" t="s">
        <v>353</v>
      </c>
      <c r="F145" s="1" t="str">
        <f>IFERROR(__xludf.DUMMYFUNCTION("SPLIT(E145,""&gt;"")"),"Memorychain")</f>
        <v>Memorychain</v>
      </c>
      <c r="G145" s="1" t="str">
        <f>IFERROR(__xludf.DUMMYFUNCTION("""COMPUTED_VALUE"""),"Series 8")</f>
        <v>Series 8</v>
      </c>
      <c r="H145" s="1" t="s">
        <v>371</v>
      </c>
      <c r="I145" s="1" t="s">
        <v>288</v>
      </c>
      <c r="J145" s="4">
        <v>42917.0</v>
      </c>
      <c r="K145" s="1">
        <v>200.0</v>
      </c>
      <c r="L145" s="1">
        <v>200.0</v>
      </c>
      <c r="M145" s="1">
        <v>128.0</v>
      </c>
    </row>
    <row r="146">
      <c r="A146" s="1" t="s">
        <v>372</v>
      </c>
      <c r="B146" s="3" t="s">
        <v>373</v>
      </c>
      <c r="C146" s="1" t="s">
        <v>16</v>
      </c>
      <c r="D146" s="1" t="s">
        <v>44</v>
      </c>
      <c r="E146" s="1" t="s">
        <v>353</v>
      </c>
      <c r="F146" s="1" t="str">
        <f>IFERROR(__xludf.DUMMYFUNCTION("SPLIT(E146,""&gt;"")"),"Memorychain")</f>
        <v>Memorychain</v>
      </c>
      <c r="G146" s="1" t="str">
        <f>IFERROR(__xludf.DUMMYFUNCTION("""COMPUTED_VALUE"""),"Series 8")</f>
        <v>Series 8</v>
      </c>
      <c r="H146" s="1" t="s">
        <v>44</v>
      </c>
      <c r="I146" s="1" t="s">
        <v>288</v>
      </c>
      <c r="J146" s="4">
        <v>42917.0</v>
      </c>
      <c r="K146" s="1">
        <v>150.0</v>
      </c>
      <c r="L146" s="1">
        <v>150.0</v>
      </c>
      <c r="M146" s="1">
        <v>129.0</v>
      </c>
    </row>
    <row r="147">
      <c r="A147" s="1" t="s">
        <v>374</v>
      </c>
      <c r="B147" s="3" t="s">
        <v>375</v>
      </c>
      <c r="C147" s="1" t="s">
        <v>16</v>
      </c>
      <c r="D147" s="1" t="s">
        <v>376</v>
      </c>
      <c r="E147" s="1" t="s">
        <v>353</v>
      </c>
      <c r="F147" s="1" t="str">
        <f>IFERROR(__xludf.DUMMYFUNCTION("SPLIT(E147,""&gt;"")"),"Memorychain")</f>
        <v>Memorychain</v>
      </c>
      <c r="G147" s="1" t="str">
        <f>IFERROR(__xludf.DUMMYFUNCTION("""COMPUTED_VALUE"""),"Series 8")</f>
        <v>Series 8</v>
      </c>
      <c r="H147" s="1" t="s">
        <v>376</v>
      </c>
      <c r="I147" s="1" t="s">
        <v>288</v>
      </c>
      <c r="J147" s="4">
        <v>42917.0</v>
      </c>
      <c r="K147" s="1">
        <v>200.0</v>
      </c>
      <c r="L147" s="1">
        <v>200.0</v>
      </c>
      <c r="M147" s="1">
        <v>130.0</v>
      </c>
    </row>
    <row r="148">
      <c r="A148" s="1" t="s">
        <v>377</v>
      </c>
      <c r="B148" s="3" t="s">
        <v>378</v>
      </c>
      <c r="C148" s="1" t="s">
        <v>16</v>
      </c>
      <c r="D148" s="1" t="s">
        <v>79</v>
      </c>
      <c r="E148" s="1" t="s">
        <v>353</v>
      </c>
      <c r="F148" s="1" t="str">
        <f>IFERROR(__xludf.DUMMYFUNCTION("SPLIT(E148,""&gt;"")"),"Memorychain")</f>
        <v>Memorychain</v>
      </c>
      <c r="G148" s="1" t="str">
        <f>IFERROR(__xludf.DUMMYFUNCTION("""COMPUTED_VALUE"""),"Series 8")</f>
        <v>Series 8</v>
      </c>
      <c r="H148" s="1" t="s">
        <v>79</v>
      </c>
      <c r="I148" s="1" t="s">
        <v>288</v>
      </c>
      <c r="J148" s="4">
        <v>42917.0</v>
      </c>
      <c r="K148" s="1">
        <v>200.0</v>
      </c>
      <c r="L148" s="1">
        <v>200.0</v>
      </c>
      <c r="M148" s="1">
        <v>131.0</v>
      </c>
    </row>
    <row r="149">
      <c r="A149" s="1" t="s">
        <v>379</v>
      </c>
      <c r="B149" s="3" t="s">
        <v>380</v>
      </c>
      <c r="C149" s="1" t="s">
        <v>16</v>
      </c>
      <c r="D149" s="1" t="s">
        <v>123</v>
      </c>
      <c r="E149" s="1" t="s">
        <v>353</v>
      </c>
      <c r="F149" s="1" t="str">
        <f>IFERROR(__xludf.DUMMYFUNCTION("SPLIT(E149,""&gt;"")"),"Memorychain")</f>
        <v>Memorychain</v>
      </c>
      <c r="G149" s="1" t="str">
        <f>IFERROR(__xludf.DUMMYFUNCTION("""COMPUTED_VALUE"""),"Series 8")</f>
        <v>Series 8</v>
      </c>
      <c r="H149" s="1" t="s">
        <v>123</v>
      </c>
      <c r="I149" s="1" t="s">
        <v>288</v>
      </c>
      <c r="J149" s="4">
        <v>42917.0</v>
      </c>
      <c r="K149" s="1">
        <v>100.0</v>
      </c>
      <c r="L149" s="1">
        <v>100.0</v>
      </c>
      <c r="M149" s="1">
        <v>132.0</v>
      </c>
    </row>
    <row r="150">
      <c r="A150" s="1" t="s">
        <v>381</v>
      </c>
      <c r="B150" s="3" t="s">
        <v>382</v>
      </c>
      <c r="C150" s="1" t="s">
        <v>16</v>
      </c>
      <c r="D150" s="1" t="s">
        <v>89</v>
      </c>
      <c r="E150" s="1" t="s">
        <v>353</v>
      </c>
      <c r="F150" s="1" t="str">
        <f>IFERROR(__xludf.DUMMYFUNCTION("SPLIT(E150,""&gt;"")"),"Memorychain")</f>
        <v>Memorychain</v>
      </c>
      <c r="G150" s="1" t="str">
        <f>IFERROR(__xludf.DUMMYFUNCTION("""COMPUTED_VALUE"""),"Series 8")</f>
        <v>Series 8</v>
      </c>
      <c r="H150" s="1" t="s">
        <v>89</v>
      </c>
      <c r="I150" s="1" t="s">
        <v>288</v>
      </c>
      <c r="J150" s="4">
        <v>42917.0</v>
      </c>
      <c r="K150" s="1">
        <v>100.0</v>
      </c>
      <c r="L150" s="1">
        <v>100.0</v>
      </c>
      <c r="M150" s="1">
        <v>133.0</v>
      </c>
    </row>
    <row r="151">
      <c r="A151" s="1" t="s">
        <v>383</v>
      </c>
      <c r="B151" s="3" t="s">
        <v>384</v>
      </c>
      <c r="C151" s="1" t="s">
        <v>16</v>
      </c>
      <c r="D151" s="1" t="s">
        <v>186</v>
      </c>
      <c r="E151" s="1" t="s">
        <v>353</v>
      </c>
      <c r="F151" s="1" t="str">
        <f>IFERROR(__xludf.DUMMYFUNCTION("SPLIT(E151,""&gt;"")"),"Memorychain")</f>
        <v>Memorychain</v>
      </c>
      <c r="G151" s="1" t="str">
        <f>IFERROR(__xludf.DUMMYFUNCTION("""COMPUTED_VALUE"""),"Series 8")</f>
        <v>Series 8</v>
      </c>
      <c r="H151" s="1" t="s">
        <v>186</v>
      </c>
      <c r="I151" s="1" t="s">
        <v>288</v>
      </c>
      <c r="J151" s="4">
        <v>42917.0</v>
      </c>
      <c r="K151" s="1">
        <v>500.0</v>
      </c>
      <c r="L151" s="1">
        <v>500.0</v>
      </c>
      <c r="M151" s="1">
        <v>134.0</v>
      </c>
    </row>
    <row r="152">
      <c r="A152" s="1" t="s">
        <v>385</v>
      </c>
      <c r="B152" s="3" t="s">
        <v>386</v>
      </c>
      <c r="C152" s="1" t="s">
        <v>16</v>
      </c>
      <c r="D152" s="1" t="s">
        <v>330</v>
      </c>
      <c r="E152" s="1" t="s">
        <v>353</v>
      </c>
      <c r="F152" s="1" t="str">
        <f>IFERROR(__xludf.DUMMYFUNCTION("SPLIT(E152,""&gt;"")"),"Memorychain")</f>
        <v>Memorychain</v>
      </c>
      <c r="G152" s="1" t="str">
        <f>IFERROR(__xludf.DUMMYFUNCTION("""COMPUTED_VALUE"""),"Series 8")</f>
        <v>Series 8</v>
      </c>
      <c r="H152" s="1" t="s">
        <v>330</v>
      </c>
      <c r="I152" s="1" t="s">
        <v>288</v>
      </c>
      <c r="J152" s="4">
        <v>42917.0</v>
      </c>
      <c r="K152" s="1">
        <v>100.0</v>
      </c>
      <c r="L152" s="1">
        <v>100.0</v>
      </c>
      <c r="M152" s="1">
        <v>135.0</v>
      </c>
    </row>
    <row r="153">
      <c r="A153" s="1" t="s">
        <v>387</v>
      </c>
      <c r="B153" s="3" t="s">
        <v>388</v>
      </c>
      <c r="C153" s="1" t="s">
        <v>16</v>
      </c>
      <c r="D153" s="1" t="s">
        <v>234</v>
      </c>
      <c r="E153" s="1" t="s">
        <v>353</v>
      </c>
      <c r="F153" s="1" t="str">
        <f>IFERROR(__xludf.DUMMYFUNCTION("SPLIT(E153,""&gt;"")"),"Memorychain")</f>
        <v>Memorychain</v>
      </c>
      <c r="G153" s="1" t="str">
        <f>IFERROR(__xludf.DUMMYFUNCTION("""COMPUTED_VALUE"""),"Series 8")</f>
        <v>Series 8</v>
      </c>
      <c r="H153" s="1" t="s">
        <v>234</v>
      </c>
      <c r="I153" s="1" t="s">
        <v>288</v>
      </c>
      <c r="J153" s="4">
        <v>42917.0</v>
      </c>
      <c r="K153" s="1">
        <v>841.0</v>
      </c>
      <c r="L153" s="1">
        <v>841.0</v>
      </c>
      <c r="M153" s="1">
        <v>136.0</v>
      </c>
    </row>
    <row r="154">
      <c r="A154" s="1" t="s">
        <v>389</v>
      </c>
      <c r="B154" s="3" t="s">
        <v>390</v>
      </c>
      <c r="C154" s="1" t="s">
        <v>16</v>
      </c>
      <c r="D154" s="1" t="s">
        <v>95</v>
      </c>
      <c r="E154" s="1" t="s">
        <v>353</v>
      </c>
      <c r="F154" s="1" t="str">
        <f>IFERROR(__xludf.DUMMYFUNCTION("SPLIT(E154,""&gt;"")"),"Memorychain")</f>
        <v>Memorychain</v>
      </c>
      <c r="G154" s="1" t="str">
        <f>IFERROR(__xludf.DUMMYFUNCTION("""COMPUTED_VALUE"""),"Series 8")</f>
        <v>Series 8</v>
      </c>
      <c r="H154" s="1" t="s">
        <v>95</v>
      </c>
      <c r="I154" s="1" t="s">
        <v>288</v>
      </c>
      <c r="J154" s="4">
        <v>42917.0</v>
      </c>
      <c r="K154" s="1">
        <v>2000.0</v>
      </c>
      <c r="L154" s="1">
        <v>2000.0</v>
      </c>
      <c r="M154" s="1">
        <v>137.0</v>
      </c>
    </row>
    <row r="155">
      <c r="A155" s="1" t="s">
        <v>391</v>
      </c>
      <c r="B155" s="3" t="s">
        <v>392</v>
      </c>
      <c r="C155" s="1" t="s">
        <v>16</v>
      </c>
      <c r="D155" s="1" t="s">
        <v>393</v>
      </c>
      <c r="E155" s="1" t="s">
        <v>394</v>
      </c>
      <c r="F155" s="1" t="str">
        <f>IFERROR(__xludf.DUMMYFUNCTION("SPLIT(E155,""&gt;"")"),"Memorychain")</f>
        <v>Memorychain</v>
      </c>
      <c r="G155" s="1" t="str">
        <f>IFERROR(__xludf.DUMMYFUNCTION("""COMPUTED_VALUE"""),"Series 9")</f>
        <v>Series 9</v>
      </c>
      <c r="H155" s="1" t="s">
        <v>393</v>
      </c>
      <c r="I155" s="1" t="s">
        <v>395</v>
      </c>
      <c r="J155" s="4">
        <v>42948.0</v>
      </c>
      <c r="K155" s="1">
        <v>200.0</v>
      </c>
      <c r="L155" s="1">
        <v>200.0</v>
      </c>
      <c r="M155" s="1">
        <v>138.0</v>
      </c>
    </row>
    <row r="156">
      <c r="A156" s="1" t="s">
        <v>396</v>
      </c>
      <c r="B156" s="3" t="s">
        <v>397</v>
      </c>
      <c r="C156" s="1" t="s">
        <v>16</v>
      </c>
      <c r="D156" s="1" t="s">
        <v>330</v>
      </c>
      <c r="E156" s="1" t="s">
        <v>394</v>
      </c>
      <c r="F156" s="1" t="str">
        <f>IFERROR(__xludf.DUMMYFUNCTION("SPLIT(E156,""&gt;"")"),"Memorychain")</f>
        <v>Memorychain</v>
      </c>
      <c r="G156" s="1" t="str">
        <f>IFERROR(__xludf.DUMMYFUNCTION("""COMPUTED_VALUE"""),"Series 9")</f>
        <v>Series 9</v>
      </c>
      <c r="H156" s="1" t="s">
        <v>330</v>
      </c>
      <c r="I156" s="1" t="s">
        <v>395</v>
      </c>
      <c r="J156" s="4">
        <v>42948.0</v>
      </c>
      <c r="K156" s="1">
        <v>300.0</v>
      </c>
      <c r="L156" s="1">
        <v>300.0</v>
      </c>
      <c r="M156" s="1">
        <v>139.0</v>
      </c>
    </row>
    <row r="157">
      <c r="A157" s="1" t="s">
        <v>398</v>
      </c>
      <c r="B157" s="3" t="s">
        <v>399</v>
      </c>
      <c r="C157" s="1" t="s">
        <v>16</v>
      </c>
      <c r="D157" s="1" t="s">
        <v>330</v>
      </c>
      <c r="E157" s="1" t="s">
        <v>394</v>
      </c>
      <c r="F157" s="1" t="str">
        <f>IFERROR(__xludf.DUMMYFUNCTION("SPLIT(E157,""&gt;"")"),"Memorychain")</f>
        <v>Memorychain</v>
      </c>
      <c r="G157" s="1" t="str">
        <f>IFERROR(__xludf.DUMMYFUNCTION("""COMPUTED_VALUE"""),"Series 9")</f>
        <v>Series 9</v>
      </c>
      <c r="H157" s="1" t="s">
        <v>330</v>
      </c>
      <c r="I157" s="1" t="s">
        <v>395</v>
      </c>
      <c r="J157" s="4">
        <v>42948.0</v>
      </c>
      <c r="K157" s="1">
        <v>200.0</v>
      </c>
      <c r="L157" s="1">
        <v>200.0</v>
      </c>
      <c r="M157" s="1">
        <v>140.0</v>
      </c>
    </row>
    <row r="158">
      <c r="A158" s="1" t="s">
        <v>400</v>
      </c>
      <c r="B158" s="3" t="s">
        <v>401</v>
      </c>
      <c r="C158" s="1" t="s">
        <v>16</v>
      </c>
      <c r="D158" s="1" t="s">
        <v>330</v>
      </c>
      <c r="E158" s="1" t="s">
        <v>394</v>
      </c>
      <c r="F158" s="1" t="str">
        <f>IFERROR(__xludf.DUMMYFUNCTION("SPLIT(E158,""&gt;"")"),"Memorychain")</f>
        <v>Memorychain</v>
      </c>
      <c r="G158" s="1" t="str">
        <f>IFERROR(__xludf.DUMMYFUNCTION("""COMPUTED_VALUE"""),"Series 9")</f>
        <v>Series 9</v>
      </c>
      <c r="H158" s="1" t="s">
        <v>330</v>
      </c>
      <c r="I158" s="1" t="s">
        <v>395</v>
      </c>
      <c r="J158" s="4">
        <v>42948.0</v>
      </c>
      <c r="K158" s="1">
        <v>100.0</v>
      </c>
      <c r="L158" s="1">
        <v>100.0</v>
      </c>
      <c r="M158" s="1">
        <v>141.0</v>
      </c>
    </row>
    <row r="159">
      <c r="A159" s="1" t="s">
        <v>402</v>
      </c>
      <c r="B159" s="3" t="s">
        <v>403</v>
      </c>
      <c r="C159" s="1" t="s">
        <v>16</v>
      </c>
      <c r="D159" s="1" t="s">
        <v>330</v>
      </c>
      <c r="E159" s="1" t="s">
        <v>394</v>
      </c>
      <c r="F159" s="1" t="str">
        <f>IFERROR(__xludf.DUMMYFUNCTION("SPLIT(E159,""&gt;"")"),"Memorychain")</f>
        <v>Memorychain</v>
      </c>
      <c r="G159" s="1" t="str">
        <f>IFERROR(__xludf.DUMMYFUNCTION("""COMPUTED_VALUE"""),"Series 9")</f>
        <v>Series 9</v>
      </c>
      <c r="H159" s="1" t="s">
        <v>330</v>
      </c>
      <c r="I159" s="1" t="s">
        <v>395</v>
      </c>
      <c r="J159" s="4">
        <v>42948.0</v>
      </c>
      <c r="K159" s="1">
        <v>100.0</v>
      </c>
      <c r="L159" s="1">
        <v>100.0</v>
      </c>
      <c r="M159" s="1">
        <v>142.0</v>
      </c>
    </row>
    <row r="160">
      <c r="A160" s="1" t="s">
        <v>404</v>
      </c>
      <c r="B160" s="3" t="s">
        <v>405</v>
      </c>
      <c r="C160" s="1" t="s">
        <v>16</v>
      </c>
      <c r="D160" s="1" t="s">
        <v>366</v>
      </c>
      <c r="E160" s="1" t="s">
        <v>394</v>
      </c>
      <c r="F160" s="1" t="str">
        <f>IFERROR(__xludf.DUMMYFUNCTION("SPLIT(E160,""&gt;"")"),"Memorychain")</f>
        <v>Memorychain</v>
      </c>
      <c r="G160" s="1" t="str">
        <f>IFERROR(__xludf.DUMMYFUNCTION("""COMPUTED_VALUE"""),"Series 9")</f>
        <v>Series 9</v>
      </c>
      <c r="H160" s="1" t="s">
        <v>366</v>
      </c>
      <c r="I160" s="1" t="s">
        <v>395</v>
      </c>
      <c r="J160" s="4">
        <v>42948.0</v>
      </c>
      <c r="K160" s="1">
        <v>300.0</v>
      </c>
      <c r="L160" s="1">
        <v>300.0</v>
      </c>
      <c r="M160" s="1">
        <v>143.0</v>
      </c>
    </row>
    <row r="161">
      <c r="A161" s="1" t="s">
        <v>406</v>
      </c>
      <c r="B161" s="3" t="s">
        <v>407</v>
      </c>
      <c r="C161" s="1" t="s">
        <v>16</v>
      </c>
      <c r="D161" s="1" t="s">
        <v>79</v>
      </c>
      <c r="E161" s="1" t="s">
        <v>394</v>
      </c>
      <c r="F161" s="1" t="str">
        <f>IFERROR(__xludf.DUMMYFUNCTION("SPLIT(E161,""&gt;"")"),"Memorychain")</f>
        <v>Memorychain</v>
      </c>
      <c r="G161" s="1" t="str">
        <f>IFERROR(__xludf.DUMMYFUNCTION("""COMPUTED_VALUE"""),"Series 9")</f>
        <v>Series 9</v>
      </c>
      <c r="H161" s="1" t="s">
        <v>79</v>
      </c>
      <c r="I161" s="1" t="s">
        <v>395</v>
      </c>
      <c r="J161" s="4">
        <v>42948.0</v>
      </c>
      <c r="K161" s="1">
        <v>200.0</v>
      </c>
      <c r="L161" s="1">
        <v>200.0</v>
      </c>
      <c r="M161" s="1">
        <v>144.0</v>
      </c>
    </row>
    <row r="162">
      <c r="A162" s="1" t="s">
        <v>408</v>
      </c>
      <c r="B162" s="3" t="s">
        <v>409</v>
      </c>
      <c r="C162" s="1" t="s">
        <v>16</v>
      </c>
      <c r="D162" s="1" t="s">
        <v>79</v>
      </c>
      <c r="E162" s="1" t="s">
        <v>394</v>
      </c>
      <c r="F162" s="1" t="str">
        <f>IFERROR(__xludf.DUMMYFUNCTION("SPLIT(E162,""&gt;"")"),"Memorychain")</f>
        <v>Memorychain</v>
      </c>
      <c r="G162" s="1" t="str">
        <f>IFERROR(__xludf.DUMMYFUNCTION("""COMPUTED_VALUE"""),"Series 9")</f>
        <v>Series 9</v>
      </c>
      <c r="H162" s="1" t="s">
        <v>79</v>
      </c>
      <c r="I162" s="1" t="s">
        <v>395</v>
      </c>
      <c r="J162" s="4">
        <v>42948.0</v>
      </c>
      <c r="K162" s="1">
        <v>200.0</v>
      </c>
      <c r="L162" s="1">
        <v>200.0</v>
      </c>
      <c r="M162" s="1">
        <v>145.0</v>
      </c>
    </row>
    <row r="163">
      <c r="A163" s="1" t="s">
        <v>410</v>
      </c>
      <c r="B163" s="3" t="s">
        <v>411</v>
      </c>
      <c r="C163" s="1" t="s">
        <v>16</v>
      </c>
      <c r="D163" s="1" t="s">
        <v>79</v>
      </c>
      <c r="E163" s="1" t="s">
        <v>394</v>
      </c>
      <c r="F163" s="1" t="str">
        <f>IFERROR(__xludf.DUMMYFUNCTION("SPLIT(E163,""&gt;"")"),"Memorychain")</f>
        <v>Memorychain</v>
      </c>
      <c r="G163" s="1" t="str">
        <f>IFERROR(__xludf.DUMMYFUNCTION("""COMPUTED_VALUE"""),"Series 9")</f>
        <v>Series 9</v>
      </c>
      <c r="H163" s="1" t="s">
        <v>79</v>
      </c>
      <c r="I163" s="1" t="s">
        <v>395</v>
      </c>
      <c r="J163" s="4">
        <v>42948.0</v>
      </c>
      <c r="K163" s="1">
        <v>100.0</v>
      </c>
      <c r="L163" s="1">
        <v>100.0</v>
      </c>
      <c r="M163" s="1">
        <v>146.0</v>
      </c>
    </row>
    <row r="164">
      <c r="A164" s="1" t="s">
        <v>412</v>
      </c>
      <c r="B164" s="3" t="s">
        <v>413</v>
      </c>
      <c r="C164" s="1" t="s">
        <v>16</v>
      </c>
      <c r="D164" s="1" t="s">
        <v>61</v>
      </c>
      <c r="E164" s="1" t="s">
        <v>394</v>
      </c>
      <c r="F164" s="1" t="str">
        <f>IFERROR(__xludf.DUMMYFUNCTION("SPLIT(E164,""&gt;"")"),"Memorychain")</f>
        <v>Memorychain</v>
      </c>
      <c r="G164" s="1" t="str">
        <f>IFERROR(__xludf.DUMMYFUNCTION("""COMPUTED_VALUE"""),"Series 9")</f>
        <v>Series 9</v>
      </c>
      <c r="H164" s="1" t="s">
        <v>61</v>
      </c>
      <c r="I164" s="1" t="s">
        <v>395</v>
      </c>
      <c r="J164" s="4">
        <v>42948.0</v>
      </c>
      <c r="K164" s="1">
        <v>5000.0</v>
      </c>
      <c r="L164" s="1">
        <v>5000.0</v>
      </c>
      <c r="M164" s="1">
        <v>147.0</v>
      </c>
    </row>
    <row r="165">
      <c r="A165" s="1" t="s">
        <v>414</v>
      </c>
      <c r="B165" s="3" t="s">
        <v>415</v>
      </c>
      <c r="C165" s="1" t="s">
        <v>16</v>
      </c>
      <c r="D165" s="1" t="s">
        <v>89</v>
      </c>
      <c r="E165" s="1" t="s">
        <v>394</v>
      </c>
      <c r="F165" s="1" t="str">
        <f>IFERROR(__xludf.DUMMYFUNCTION("SPLIT(E165,""&gt;"")"),"Memorychain")</f>
        <v>Memorychain</v>
      </c>
      <c r="G165" s="1" t="str">
        <f>IFERROR(__xludf.DUMMYFUNCTION("""COMPUTED_VALUE"""),"Series 9")</f>
        <v>Series 9</v>
      </c>
      <c r="H165" s="1" t="s">
        <v>89</v>
      </c>
      <c r="I165" s="1" t="s">
        <v>395</v>
      </c>
      <c r="J165" s="4">
        <v>42948.0</v>
      </c>
      <c r="K165" s="1">
        <v>100.0</v>
      </c>
      <c r="L165" s="1">
        <v>100.0</v>
      </c>
      <c r="M165" s="1">
        <v>148.0</v>
      </c>
    </row>
    <row r="166">
      <c r="A166" s="1" t="s">
        <v>416</v>
      </c>
      <c r="B166" s="3" t="s">
        <v>417</v>
      </c>
      <c r="C166" s="1" t="s">
        <v>16</v>
      </c>
      <c r="D166" s="1" t="s">
        <v>44</v>
      </c>
      <c r="E166" s="1" t="s">
        <v>394</v>
      </c>
      <c r="F166" s="1" t="str">
        <f>IFERROR(__xludf.DUMMYFUNCTION("SPLIT(E166,""&gt;"")"),"Memorychain")</f>
        <v>Memorychain</v>
      </c>
      <c r="G166" s="1" t="str">
        <f>IFERROR(__xludf.DUMMYFUNCTION("""COMPUTED_VALUE"""),"Series 9")</f>
        <v>Series 9</v>
      </c>
      <c r="H166" s="1" t="s">
        <v>44</v>
      </c>
      <c r="I166" s="1" t="s">
        <v>395</v>
      </c>
      <c r="J166" s="4">
        <v>42948.0</v>
      </c>
      <c r="K166" s="1">
        <v>300.0</v>
      </c>
      <c r="L166" s="1">
        <v>300.0</v>
      </c>
      <c r="M166" s="1">
        <v>149.0</v>
      </c>
    </row>
    <row r="167">
      <c r="A167" s="1" t="s">
        <v>418</v>
      </c>
      <c r="B167" s="3" t="s">
        <v>419</v>
      </c>
      <c r="C167" s="1" t="s">
        <v>16</v>
      </c>
      <c r="D167" s="1" t="s">
        <v>252</v>
      </c>
      <c r="E167" s="1" t="s">
        <v>394</v>
      </c>
      <c r="F167" s="1" t="str">
        <f>IFERROR(__xludf.DUMMYFUNCTION("SPLIT(E167,""&gt;"")"),"Memorychain")</f>
        <v>Memorychain</v>
      </c>
      <c r="G167" s="1" t="str">
        <f>IFERROR(__xludf.DUMMYFUNCTION("""COMPUTED_VALUE"""),"Series 9")</f>
        <v>Series 9</v>
      </c>
      <c r="H167" s="1" t="s">
        <v>252</v>
      </c>
      <c r="I167" s="1" t="s">
        <v>395</v>
      </c>
      <c r="J167" s="4">
        <v>42948.0</v>
      </c>
      <c r="K167" s="1">
        <v>100.0</v>
      </c>
      <c r="L167" s="1">
        <v>100.0</v>
      </c>
      <c r="M167" s="1">
        <v>150.0</v>
      </c>
    </row>
    <row r="168">
      <c r="A168" s="1" t="s">
        <v>420</v>
      </c>
      <c r="B168" s="3" t="s">
        <v>421</v>
      </c>
      <c r="C168" s="1" t="s">
        <v>16</v>
      </c>
      <c r="D168" s="1" t="s">
        <v>422</v>
      </c>
      <c r="E168" s="1" t="s">
        <v>394</v>
      </c>
      <c r="F168" s="1" t="str">
        <f>IFERROR(__xludf.DUMMYFUNCTION("SPLIT(E168,""&gt;"")"),"Memorychain")</f>
        <v>Memorychain</v>
      </c>
      <c r="G168" s="1" t="str">
        <f>IFERROR(__xludf.DUMMYFUNCTION("""COMPUTED_VALUE"""),"Series 9")</f>
        <v>Series 9</v>
      </c>
      <c r="H168" s="1" t="s">
        <v>423</v>
      </c>
      <c r="I168" s="1" t="s">
        <v>395</v>
      </c>
      <c r="J168" s="4">
        <v>42948.0</v>
      </c>
      <c r="K168" s="1">
        <v>100.0</v>
      </c>
      <c r="L168" s="1">
        <v>100.0</v>
      </c>
      <c r="M168" s="1">
        <v>151.0</v>
      </c>
    </row>
    <row r="169">
      <c r="A169" s="1" t="s">
        <v>424</v>
      </c>
      <c r="B169" s="3" t="s">
        <v>425</v>
      </c>
      <c r="C169" s="1" t="s">
        <v>16</v>
      </c>
      <c r="D169" s="1" t="s">
        <v>95</v>
      </c>
      <c r="E169" s="1" t="s">
        <v>394</v>
      </c>
      <c r="F169" s="1" t="str">
        <f>IFERROR(__xludf.DUMMYFUNCTION("SPLIT(E169,""&gt;"")"),"Memorychain")</f>
        <v>Memorychain</v>
      </c>
      <c r="G169" s="1" t="str">
        <f>IFERROR(__xludf.DUMMYFUNCTION("""COMPUTED_VALUE"""),"Series 9")</f>
        <v>Series 9</v>
      </c>
      <c r="H169" s="1" t="s">
        <v>95</v>
      </c>
      <c r="I169" s="1" t="s">
        <v>395</v>
      </c>
      <c r="J169" s="4">
        <v>42948.0</v>
      </c>
      <c r="K169" s="1">
        <v>300.0</v>
      </c>
      <c r="L169" s="1">
        <v>300.0</v>
      </c>
      <c r="M169" s="1">
        <v>152.0</v>
      </c>
    </row>
    <row r="170">
      <c r="A170" s="1" t="s">
        <v>426</v>
      </c>
      <c r="B170" s="3" t="s">
        <v>427</v>
      </c>
      <c r="C170" s="1" t="s">
        <v>16</v>
      </c>
      <c r="D170" s="1" t="s">
        <v>84</v>
      </c>
      <c r="E170" s="1" t="s">
        <v>428</v>
      </c>
      <c r="F170" s="1" t="str">
        <f>IFERROR(__xludf.DUMMYFUNCTION("SPLIT(E170,""&gt;"")"),"Oasis Mining")</f>
        <v>Oasis Mining</v>
      </c>
      <c r="G170" s="1" t="str">
        <f>IFERROR(__xludf.DUMMYFUNCTION("""COMPUTED_VALUE"""),"Series 1")</f>
        <v>Series 1</v>
      </c>
      <c r="H170" s="1" t="s">
        <v>84</v>
      </c>
      <c r="I170" s="1" t="s">
        <v>288</v>
      </c>
      <c r="J170" s="4">
        <v>42917.0</v>
      </c>
      <c r="K170" s="1">
        <v>500.0</v>
      </c>
      <c r="L170" s="1">
        <v>500.0</v>
      </c>
      <c r="M170" s="1">
        <v>1.0</v>
      </c>
    </row>
    <row r="171">
      <c r="A171" s="1" t="s">
        <v>429</v>
      </c>
      <c r="B171" s="3" t="s">
        <v>430</v>
      </c>
      <c r="C171" s="1" t="s">
        <v>16</v>
      </c>
      <c r="D171" s="1" t="s">
        <v>431</v>
      </c>
      <c r="E171" s="1" t="s">
        <v>428</v>
      </c>
      <c r="F171" s="1" t="str">
        <f>IFERROR(__xludf.DUMMYFUNCTION("SPLIT(E171,""&gt;"")"),"Oasis Mining")</f>
        <v>Oasis Mining</v>
      </c>
      <c r="G171" s="1" t="str">
        <f>IFERROR(__xludf.DUMMYFUNCTION("""COMPUTED_VALUE"""),"Series 1")</f>
        <v>Series 1</v>
      </c>
      <c r="H171" s="1" t="s">
        <v>431</v>
      </c>
      <c r="I171" s="1" t="s">
        <v>288</v>
      </c>
      <c r="J171" s="4">
        <v>42917.0</v>
      </c>
      <c r="K171" s="1">
        <v>300.0</v>
      </c>
      <c r="L171" s="1">
        <v>300.0</v>
      </c>
      <c r="M171" s="1">
        <v>2.0</v>
      </c>
    </row>
    <row r="172">
      <c r="A172" s="1" t="s">
        <v>432</v>
      </c>
      <c r="B172" s="3" t="s">
        <v>433</v>
      </c>
      <c r="C172" s="1" t="s">
        <v>16</v>
      </c>
      <c r="D172" s="1" t="s">
        <v>44</v>
      </c>
      <c r="E172" s="1" t="s">
        <v>428</v>
      </c>
      <c r="F172" s="1" t="str">
        <f>IFERROR(__xludf.DUMMYFUNCTION("SPLIT(E172,""&gt;"")"),"Oasis Mining")</f>
        <v>Oasis Mining</v>
      </c>
      <c r="G172" s="1" t="str">
        <f>IFERROR(__xludf.DUMMYFUNCTION("""COMPUTED_VALUE"""),"Series 1")</f>
        <v>Series 1</v>
      </c>
      <c r="H172" s="1" t="s">
        <v>44</v>
      </c>
      <c r="I172" s="1" t="s">
        <v>288</v>
      </c>
      <c r="J172" s="4">
        <v>42917.0</v>
      </c>
      <c r="K172" s="1">
        <v>100.0</v>
      </c>
      <c r="L172" s="1">
        <v>100.0</v>
      </c>
      <c r="M172" s="1">
        <v>3.0</v>
      </c>
    </row>
    <row r="173">
      <c r="A173" s="1" t="s">
        <v>434</v>
      </c>
      <c r="B173" s="3" t="s">
        <v>435</v>
      </c>
      <c r="C173" s="1" t="s">
        <v>16</v>
      </c>
      <c r="D173" s="1" t="s">
        <v>436</v>
      </c>
      <c r="E173" s="1" t="s">
        <v>428</v>
      </c>
      <c r="F173" s="1" t="str">
        <f>IFERROR(__xludf.DUMMYFUNCTION("SPLIT(E173,""&gt;"")"),"Oasis Mining")</f>
        <v>Oasis Mining</v>
      </c>
      <c r="G173" s="1" t="str">
        <f>IFERROR(__xludf.DUMMYFUNCTION("""COMPUTED_VALUE"""),"Series 1")</f>
        <v>Series 1</v>
      </c>
      <c r="H173" s="1" t="s">
        <v>436</v>
      </c>
      <c r="I173" s="1" t="s">
        <v>288</v>
      </c>
      <c r="J173" s="4">
        <v>42917.0</v>
      </c>
      <c r="K173" s="1">
        <v>100.0</v>
      </c>
      <c r="L173" s="1">
        <v>100.0</v>
      </c>
      <c r="M173" s="1">
        <v>4.0</v>
      </c>
    </row>
    <row r="174">
      <c r="A174" s="1" t="s">
        <v>437</v>
      </c>
      <c r="B174" s="3" t="s">
        <v>438</v>
      </c>
      <c r="C174" s="1" t="s">
        <v>16</v>
      </c>
      <c r="D174" s="1" t="s">
        <v>439</v>
      </c>
      <c r="E174" s="1" t="s">
        <v>428</v>
      </c>
      <c r="F174" s="1" t="str">
        <f>IFERROR(__xludf.DUMMYFUNCTION("SPLIT(E174,""&gt;"")"),"Oasis Mining")</f>
        <v>Oasis Mining</v>
      </c>
      <c r="G174" s="1" t="str">
        <f>IFERROR(__xludf.DUMMYFUNCTION("""COMPUTED_VALUE"""),"Series 1")</f>
        <v>Series 1</v>
      </c>
      <c r="H174" s="1" t="s">
        <v>440</v>
      </c>
      <c r="I174" s="1" t="s">
        <v>288</v>
      </c>
      <c r="J174" s="4">
        <v>42917.0</v>
      </c>
      <c r="K174" s="1">
        <v>210.0</v>
      </c>
      <c r="L174" s="1">
        <v>210.0</v>
      </c>
      <c r="M174" s="1">
        <v>5.0</v>
      </c>
    </row>
    <row r="175">
      <c r="A175" s="1" t="s">
        <v>441</v>
      </c>
      <c r="B175" s="3" t="s">
        <v>442</v>
      </c>
      <c r="C175" s="1" t="s">
        <v>16</v>
      </c>
      <c r="D175" s="1" t="s">
        <v>262</v>
      </c>
      <c r="E175" s="1" t="s">
        <v>428</v>
      </c>
      <c r="F175" s="1" t="str">
        <f>IFERROR(__xludf.DUMMYFUNCTION("SPLIT(E175,""&gt;"")"),"Oasis Mining")</f>
        <v>Oasis Mining</v>
      </c>
      <c r="G175" s="1" t="str">
        <f>IFERROR(__xludf.DUMMYFUNCTION("""COMPUTED_VALUE"""),"Series 1")</f>
        <v>Series 1</v>
      </c>
      <c r="H175" s="1" t="s">
        <v>262</v>
      </c>
      <c r="I175" s="1" t="s">
        <v>288</v>
      </c>
      <c r="J175" s="4">
        <v>42917.0</v>
      </c>
      <c r="K175" s="1">
        <v>500.0</v>
      </c>
      <c r="L175" s="1">
        <v>500.0</v>
      </c>
      <c r="M175" s="1">
        <v>6.0</v>
      </c>
    </row>
    <row r="176">
      <c r="A176" s="1" t="s">
        <v>443</v>
      </c>
      <c r="B176" s="3" t="s">
        <v>444</v>
      </c>
      <c r="C176" s="1" t="s">
        <v>16</v>
      </c>
      <c r="D176" s="1" t="s">
        <v>189</v>
      </c>
      <c r="E176" s="1" t="s">
        <v>428</v>
      </c>
      <c r="F176" s="1" t="str">
        <f>IFERROR(__xludf.DUMMYFUNCTION("SPLIT(E176,""&gt;"")"),"Oasis Mining")</f>
        <v>Oasis Mining</v>
      </c>
      <c r="G176" s="1" t="str">
        <f>IFERROR(__xludf.DUMMYFUNCTION("""COMPUTED_VALUE"""),"Series 1")</f>
        <v>Series 1</v>
      </c>
      <c r="H176" s="1" t="s">
        <v>189</v>
      </c>
      <c r="I176" s="1" t="s">
        <v>288</v>
      </c>
      <c r="J176" s="4">
        <v>42917.0</v>
      </c>
      <c r="K176" s="1">
        <v>150.0</v>
      </c>
      <c r="L176" s="1">
        <v>150.0</v>
      </c>
      <c r="M176" s="1">
        <v>7.0</v>
      </c>
    </row>
    <row r="177">
      <c r="A177" s="1" t="s">
        <v>445</v>
      </c>
      <c r="B177" s="3" t="s">
        <v>446</v>
      </c>
      <c r="C177" s="1" t="s">
        <v>16</v>
      </c>
      <c r="D177" s="1" t="s">
        <v>168</v>
      </c>
      <c r="E177" s="1" t="s">
        <v>428</v>
      </c>
      <c r="F177" s="1" t="str">
        <f>IFERROR(__xludf.DUMMYFUNCTION("SPLIT(E177,""&gt;"")"),"Oasis Mining")</f>
        <v>Oasis Mining</v>
      </c>
      <c r="G177" s="1" t="str">
        <f>IFERROR(__xludf.DUMMYFUNCTION("""COMPUTED_VALUE"""),"Series 1")</f>
        <v>Series 1</v>
      </c>
      <c r="H177" s="1" t="s">
        <v>168</v>
      </c>
      <c r="I177" s="1" t="s">
        <v>288</v>
      </c>
      <c r="J177" s="4">
        <v>42917.0</v>
      </c>
      <c r="K177" s="1">
        <v>300.0</v>
      </c>
      <c r="L177" s="1">
        <v>100.0</v>
      </c>
      <c r="M177" s="1">
        <v>8.0</v>
      </c>
    </row>
    <row r="178">
      <c r="A178" s="1" t="s">
        <v>447</v>
      </c>
      <c r="B178" s="3" t="s">
        <v>448</v>
      </c>
      <c r="C178" s="1" t="s">
        <v>16</v>
      </c>
      <c r="D178" s="1" t="s">
        <v>366</v>
      </c>
      <c r="E178" s="1" t="s">
        <v>428</v>
      </c>
      <c r="F178" s="1" t="str">
        <f>IFERROR(__xludf.DUMMYFUNCTION("SPLIT(E178,""&gt;"")"),"Oasis Mining")</f>
        <v>Oasis Mining</v>
      </c>
      <c r="G178" s="1" t="str">
        <f>IFERROR(__xludf.DUMMYFUNCTION("""COMPUTED_VALUE"""),"Series 1")</f>
        <v>Series 1</v>
      </c>
      <c r="H178" s="1" t="s">
        <v>366</v>
      </c>
      <c r="I178" s="1" t="s">
        <v>288</v>
      </c>
      <c r="J178" s="4">
        <v>42917.0</v>
      </c>
      <c r="K178" s="1">
        <v>10000.0</v>
      </c>
      <c r="L178" s="1">
        <v>10000.0</v>
      </c>
      <c r="M178" s="1">
        <v>9.0</v>
      </c>
    </row>
    <row r="179">
      <c r="A179" s="1" t="s">
        <v>449</v>
      </c>
      <c r="B179" s="3" t="s">
        <v>450</v>
      </c>
      <c r="C179" s="1" t="s">
        <v>16</v>
      </c>
      <c r="D179" s="1" t="s">
        <v>451</v>
      </c>
      <c r="E179" s="1" t="s">
        <v>428</v>
      </c>
      <c r="F179" s="1" t="str">
        <f>IFERROR(__xludf.DUMMYFUNCTION("SPLIT(E179,""&gt;"")"),"Oasis Mining")</f>
        <v>Oasis Mining</v>
      </c>
      <c r="G179" s="1" t="str">
        <f>IFERROR(__xludf.DUMMYFUNCTION("""COMPUTED_VALUE"""),"Series 1")</f>
        <v>Series 1</v>
      </c>
      <c r="H179" s="1" t="s">
        <v>451</v>
      </c>
      <c r="I179" s="1" t="s">
        <v>288</v>
      </c>
      <c r="J179" s="4">
        <v>42917.0</v>
      </c>
      <c r="K179" s="1">
        <v>1500.0</v>
      </c>
      <c r="L179" s="1">
        <v>1500.0</v>
      </c>
      <c r="M179" s="1">
        <v>10.0</v>
      </c>
    </row>
    <row r="180">
      <c r="A180" s="1" t="s">
        <v>452</v>
      </c>
      <c r="B180" s="3" t="s">
        <v>453</v>
      </c>
      <c r="C180" s="1" t="s">
        <v>16</v>
      </c>
      <c r="D180" s="1" t="s">
        <v>330</v>
      </c>
      <c r="E180" s="1" t="s">
        <v>428</v>
      </c>
      <c r="F180" s="1" t="str">
        <f>IFERROR(__xludf.DUMMYFUNCTION("SPLIT(E180,""&gt;"")"),"Oasis Mining")</f>
        <v>Oasis Mining</v>
      </c>
      <c r="G180" s="1" t="str">
        <f>IFERROR(__xludf.DUMMYFUNCTION("""COMPUTED_VALUE"""),"Series 1")</f>
        <v>Series 1</v>
      </c>
      <c r="H180" s="1" t="s">
        <v>330</v>
      </c>
      <c r="I180" s="1" t="s">
        <v>288</v>
      </c>
      <c r="J180" s="4">
        <v>42917.0</v>
      </c>
      <c r="K180" s="1">
        <v>100.0</v>
      </c>
      <c r="L180" s="1">
        <v>100.0</v>
      </c>
      <c r="M180" s="1">
        <v>11.0</v>
      </c>
    </row>
    <row r="181">
      <c r="A181" s="1" t="s">
        <v>454</v>
      </c>
      <c r="B181" s="3" t="s">
        <v>455</v>
      </c>
      <c r="C181" s="1" t="s">
        <v>16</v>
      </c>
      <c r="D181" s="1" t="s">
        <v>456</v>
      </c>
      <c r="E181" s="1" t="s">
        <v>428</v>
      </c>
      <c r="F181" s="1" t="str">
        <f>IFERROR(__xludf.DUMMYFUNCTION("SPLIT(E181,""&gt;"")"),"Oasis Mining")</f>
        <v>Oasis Mining</v>
      </c>
      <c r="G181" s="1" t="str">
        <f>IFERROR(__xludf.DUMMYFUNCTION("""COMPUTED_VALUE"""),"Series 1")</f>
        <v>Series 1</v>
      </c>
      <c r="H181" s="1" t="s">
        <v>456</v>
      </c>
      <c r="I181" s="1" t="s">
        <v>288</v>
      </c>
      <c r="J181" s="4">
        <v>42917.0</v>
      </c>
      <c r="K181" s="1">
        <v>1512.0</v>
      </c>
      <c r="L181" s="1">
        <v>1512.0</v>
      </c>
      <c r="M181" s="1">
        <v>12.0</v>
      </c>
    </row>
    <row r="182">
      <c r="A182" s="1" t="s">
        <v>457</v>
      </c>
      <c r="B182" s="3" t="s">
        <v>458</v>
      </c>
      <c r="C182" s="1" t="s">
        <v>16</v>
      </c>
      <c r="D182" s="1" t="s">
        <v>255</v>
      </c>
      <c r="E182" s="1" t="s">
        <v>428</v>
      </c>
      <c r="F182" s="1" t="str">
        <f>IFERROR(__xludf.DUMMYFUNCTION("SPLIT(E182,""&gt;"")"),"Oasis Mining")</f>
        <v>Oasis Mining</v>
      </c>
      <c r="G182" s="1" t="str">
        <f>IFERROR(__xludf.DUMMYFUNCTION("""COMPUTED_VALUE"""),"Series 1")</f>
        <v>Series 1</v>
      </c>
      <c r="H182" s="1" t="s">
        <v>255</v>
      </c>
      <c r="I182" s="1" t="s">
        <v>288</v>
      </c>
      <c r="J182" s="4">
        <v>42917.0</v>
      </c>
      <c r="K182" s="1">
        <v>500.0</v>
      </c>
      <c r="L182" s="1">
        <v>500.0</v>
      </c>
      <c r="M182" s="1">
        <v>13.0</v>
      </c>
    </row>
    <row r="183">
      <c r="A183" s="1" t="s">
        <v>459</v>
      </c>
      <c r="B183" s="3" t="s">
        <v>460</v>
      </c>
      <c r="C183" s="1" t="s">
        <v>16</v>
      </c>
      <c r="D183" s="1" t="s">
        <v>252</v>
      </c>
      <c r="E183" s="1" t="s">
        <v>428</v>
      </c>
      <c r="F183" s="1" t="str">
        <f>IFERROR(__xludf.DUMMYFUNCTION("SPLIT(E183,""&gt;"")"),"Oasis Mining")</f>
        <v>Oasis Mining</v>
      </c>
      <c r="G183" s="1" t="str">
        <f>IFERROR(__xludf.DUMMYFUNCTION("""COMPUTED_VALUE"""),"Series 1")</f>
        <v>Series 1</v>
      </c>
      <c r="H183" s="1" t="s">
        <v>252</v>
      </c>
      <c r="I183" s="1" t="s">
        <v>288</v>
      </c>
      <c r="J183" s="4">
        <v>42917.0</v>
      </c>
      <c r="K183" s="1">
        <v>100.0</v>
      </c>
      <c r="L183" s="1">
        <v>100.0</v>
      </c>
      <c r="M183" s="1">
        <v>14.0</v>
      </c>
    </row>
    <row r="184">
      <c r="A184" s="1" t="s">
        <v>461</v>
      </c>
      <c r="B184" s="3" t="s">
        <v>462</v>
      </c>
      <c r="C184" s="1" t="s">
        <v>16</v>
      </c>
      <c r="D184" s="1" t="s">
        <v>79</v>
      </c>
      <c r="E184" s="1" t="s">
        <v>428</v>
      </c>
      <c r="F184" s="1" t="str">
        <f>IFERROR(__xludf.DUMMYFUNCTION("SPLIT(E184,""&gt;"")"),"Oasis Mining")</f>
        <v>Oasis Mining</v>
      </c>
      <c r="G184" s="1" t="str">
        <f>IFERROR(__xludf.DUMMYFUNCTION("""COMPUTED_VALUE"""),"Series 1")</f>
        <v>Series 1</v>
      </c>
      <c r="H184" s="1" t="s">
        <v>79</v>
      </c>
      <c r="I184" s="1" t="s">
        <v>288</v>
      </c>
      <c r="J184" s="4">
        <v>42917.0</v>
      </c>
      <c r="K184" s="1">
        <v>200.0</v>
      </c>
      <c r="L184" s="1">
        <v>200.0</v>
      </c>
      <c r="M184" s="1">
        <v>15.0</v>
      </c>
    </row>
    <row r="185">
      <c r="A185" s="1" t="s">
        <v>463</v>
      </c>
      <c r="B185" s="3" t="s">
        <v>464</v>
      </c>
      <c r="C185" s="1" t="s">
        <v>16</v>
      </c>
      <c r="D185" s="1" t="s">
        <v>53</v>
      </c>
      <c r="E185" s="1" t="s">
        <v>428</v>
      </c>
      <c r="F185" s="1" t="str">
        <f>IFERROR(__xludf.DUMMYFUNCTION("SPLIT(E185,""&gt;"")"),"Oasis Mining")</f>
        <v>Oasis Mining</v>
      </c>
      <c r="G185" s="1" t="str">
        <f>IFERROR(__xludf.DUMMYFUNCTION("""COMPUTED_VALUE"""),"Series 1")</f>
        <v>Series 1</v>
      </c>
      <c r="H185" s="1" t="s">
        <v>53</v>
      </c>
      <c r="I185" s="1" t="s">
        <v>288</v>
      </c>
      <c r="J185" s="4">
        <v>42917.0</v>
      </c>
      <c r="K185" s="1">
        <v>130.0</v>
      </c>
      <c r="L185" s="1">
        <v>130.0</v>
      </c>
      <c r="M185" s="1">
        <v>16.0</v>
      </c>
    </row>
    <row r="186">
      <c r="A186" s="1" t="s">
        <v>465</v>
      </c>
      <c r="B186" s="3" t="s">
        <v>466</v>
      </c>
      <c r="C186" s="1" t="s">
        <v>16</v>
      </c>
      <c r="D186" s="1" t="s">
        <v>44</v>
      </c>
      <c r="E186" s="1" t="s">
        <v>428</v>
      </c>
      <c r="F186" s="1" t="str">
        <f>IFERROR(__xludf.DUMMYFUNCTION("SPLIT(E186,""&gt;"")"),"Oasis Mining")</f>
        <v>Oasis Mining</v>
      </c>
      <c r="G186" s="1" t="str">
        <f>IFERROR(__xludf.DUMMYFUNCTION("""COMPUTED_VALUE"""),"Series 1")</f>
        <v>Series 1</v>
      </c>
      <c r="H186" s="1" t="s">
        <v>44</v>
      </c>
      <c r="I186" s="1" t="s">
        <v>288</v>
      </c>
      <c r="J186" s="4">
        <v>42917.0</v>
      </c>
      <c r="K186" s="1">
        <v>500.0</v>
      </c>
      <c r="L186" s="1">
        <v>500.0</v>
      </c>
      <c r="M186" s="1">
        <v>17.0</v>
      </c>
    </row>
    <row r="187">
      <c r="A187" s="1" t="s">
        <v>467</v>
      </c>
      <c r="B187" s="3" t="s">
        <v>468</v>
      </c>
      <c r="C187" s="1" t="s">
        <v>16</v>
      </c>
      <c r="D187" s="1" t="s">
        <v>17</v>
      </c>
      <c r="E187" s="1" t="s">
        <v>428</v>
      </c>
      <c r="F187" s="1" t="str">
        <f>IFERROR(__xludf.DUMMYFUNCTION("SPLIT(E187,""&gt;"")"),"Oasis Mining")</f>
        <v>Oasis Mining</v>
      </c>
      <c r="G187" s="1" t="str">
        <f>IFERROR(__xludf.DUMMYFUNCTION("""COMPUTED_VALUE"""),"Series 1")</f>
        <v>Series 1</v>
      </c>
      <c r="H187" s="1" t="s">
        <v>17</v>
      </c>
      <c r="I187" s="1" t="s">
        <v>288</v>
      </c>
      <c r="J187" s="4">
        <v>42917.0</v>
      </c>
      <c r="K187" s="1">
        <v>100.0</v>
      </c>
      <c r="L187" s="1">
        <v>100.0</v>
      </c>
      <c r="M187" s="1">
        <v>18.0</v>
      </c>
    </row>
    <row r="188">
      <c r="A188" s="1" t="s">
        <v>469</v>
      </c>
      <c r="B188" s="3" t="s">
        <v>470</v>
      </c>
      <c r="C188" s="1" t="s">
        <v>16</v>
      </c>
      <c r="D188" s="1" t="s">
        <v>95</v>
      </c>
      <c r="E188" s="1" t="s">
        <v>428</v>
      </c>
      <c r="F188" s="1" t="str">
        <f>IFERROR(__xludf.DUMMYFUNCTION("SPLIT(E188,""&gt;"")"),"Oasis Mining")</f>
        <v>Oasis Mining</v>
      </c>
      <c r="G188" s="1" t="str">
        <f>IFERROR(__xludf.DUMMYFUNCTION("""COMPUTED_VALUE"""),"Series 1")</f>
        <v>Series 1</v>
      </c>
      <c r="H188" s="1" t="s">
        <v>95</v>
      </c>
      <c r="I188" s="1" t="s">
        <v>288</v>
      </c>
      <c r="J188" s="4">
        <v>42917.0</v>
      </c>
      <c r="K188" s="1">
        <v>10000.0</v>
      </c>
      <c r="L188" s="1">
        <v>10000.0</v>
      </c>
      <c r="M188" s="1">
        <v>19.0</v>
      </c>
    </row>
    <row r="189">
      <c r="A189" s="1" t="s">
        <v>471</v>
      </c>
      <c r="B189" s="3" t="s">
        <v>472</v>
      </c>
      <c r="C189" s="1" t="s">
        <v>16</v>
      </c>
      <c r="D189" s="1" t="s">
        <v>227</v>
      </c>
      <c r="E189" s="1" t="s">
        <v>428</v>
      </c>
      <c r="F189" s="1" t="str">
        <f>IFERROR(__xludf.DUMMYFUNCTION("SPLIT(E189,""&gt;"")"),"Oasis Mining")</f>
        <v>Oasis Mining</v>
      </c>
      <c r="G189" s="1" t="str">
        <f>IFERROR(__xludf.DUMMYFUNCTION("""COMPUTED_VALUE"""),"Series 1")</f>
        <v>Series 1</v>
      </c>
      <c r="H189" s="1" t="s">
        <v>227</v>
      </c>
      <c r="I189" s="1" t="s">
        <v>288</v>
      </c>
      <c r="J189" s="4">
        <v>42917.0</v>
      </c>
      <c r="K189" s="1">
        <v>1000.0</v>
      </c>
      <c r="L189" s="1">
        <v>1000.0</v>
      </c>
      <c r="M189" s="1">
        <v>20.0</v>
      </c>
    </row>
    <row r="190">
      <c r="A190" s="1" t="s">
        <v>473</v>
      </c>
      <c r="B190" s="3" t="s">
        <v>474</v>
      </c>
      <c r="C190" s="1" t="s">
        <v>16</v>
      </c>
      <c r="D190" s="1" t="s">
        <v>393</v>
      </c>
      <c r="E190" s="1" t="s">
        <v>428</v>
      </c>
      <c r="F190" s="1" t="str">
        <f>IFERROR(__xludf.DUMMYFUNCTION("SPLIT(E190,""&gt;"")"),"Oasis Mining")</f>
        <v>Oasis Mining</v>
      </c>
      <c r="G190" s="1" t="str">
        <f>IFERROR(__xludf.DUMMYFUNCTION("""COMPUTED_VALUE"""),"Series 1")</f>
        <v>Series 1</v>
      </c>
      <c r="H190" s="1" t="s">
        <v>393</v>
      </c>
      <c r="I190" s="1" t="s">
        <v>288</v>
      </c>
      <c r="J190" s="4">
        <v>42917.0</v>
      </c>
      <c r="K190" s="1">
        <v>111.0</v>
      </c>
      <c r="L190" s="1">
        <v>111.0</v>
      </c>
      <c r="M190" s="1">
        <v>21.0</v>
      </c>
    </row>
    <row r="191">
      <c r="A191" s="1" t="s">
        <v>475</v>
      </c>
      <c r="B191" s="3" t="s">
        <v>476</v>
      </c>
      <c r="C191" s="1" t="s">
        <v>16</v>
      </c>
      <c r="D191" s="1" t="s">
        <v>71</v>
      </c>
      <c r="E191" s="1" t="s">
        <v>428</v>
      </c>
      <c r="F191" s="1" t="str">
        <f>IFERROR(__xludf.DUMMYFUNCTION("SPLIT(E191,""&gt;"")"),"Oasis Mining")</f>
        <v>Oasis Mining</v>
      </c>
      <c r="G191" s="1" t="str">
        <f>IFERROR(__xludf.DUMMYFUNCTION("""COMPUTED_VALUE"""),"Series 1")</f>
        <v>Series 1</v>
      </c>
      <c r="H191" s="1" t="s">
        <v>71</v>
      </c>
      <c r="I191" s="1" t="s">
        <v>288</v>
      </c>
      <c r="J191" s="4">
        <v>42917.0</v>
      </c>
      <c r="K191" s="1">
        <v>100.0</v>
      </c>
      <c r="L191" s="1">
        <v>100.0</v>
      </c>
      <c r="M191" s="1">
        <v>22.0</v>
      </c>
    </row>
    <row r="192">
      <c r="A192" s="1" t="s">
        <v>477</v>
      </c>
      <c r="B192" s="3" t="s">
        <v>478</v>
      </c>
      <c r="C192" s="1" t="s">
        <v>16</v>
      </c>
      <c r="D192" s="1" t="s">
        <v>479</v>
      </c>
      <c r="E192" s="1" t="s">
        <v>428</v>
      </c>
      <c r="F192" s="1" t="str">
        <f>IFERROR(__xludf.DUMMYFUNCTION("SPLIT(E192,""&gt;"")"),"Oasis Mining")</f>
        <v>Oasis Mining</v>
      </c>
      <c r="G192" s="1" t="str">
        <f>IFERROR(__xludf.DUMMYFUNCTION("""COMPUTED_VALUE"""),"Series 1")</f>
        <v>Series 1</v>
      </c>
      <c r="H192" s="1" t="s">
        <v>479</v>
      </c>
      <c r="I192" s="1" t="s">
        <v>288</v>
      </c>
      <c r="J192" s="4">
        <v>42917.0</v>
      </c>
      <c r="K192" s="1">
        <v>10000.0</v>
      </c>
      <c r="L192" s="1">
        <v>10000.0</v>
      </c>
      <c r="M192" s="1">
        <v>23.0</v>
      </c>
    </row>
    <row r="193">
      <c r="A193" s="1" t="s">
        <v>480</v>
      </c>
      <c r="B193" s="3" t="s">
        <v>481</v>
      </c>
      <c r="C193" s="1" t="s">
        <v>16</v>
      </c>
      <c r="D193" s="1" t="s">
        <v>76</v>
      </c>
      <c r="E193" s="1" t="s">
        <v>428</v>
      </c>
      <c r="F193" s="1" t="str">
        <f>IFERROR(__xludf.DUMMYFUNCTION("SPLIT(E193,""&gt;"")"),"Oasis Mining")</f>
        <v>Oasis Mining</v>
      </c>
      <c r="G193" s="1" t="str">
        <f>IFERROR(__xludf.DUMMYFUNCTION("""COMPUTED_VALUE"""),"Series 1")</f>
        <v>Series 1</v>
      </c>
      <c r="H193" s="1" t="s">
        <v>76</v>
      </c>
      <c r="I193" s="1" t="s">
        <v>288</v>
      </c>
      <c r="J193" s="4">
        <v>42917.0</v>
      </c>
      <c r="K193" s="1">
        <v>555.0</v>
      </c>
      <c r="L193" s="1">
        <v>555.0</v>
      </c>
      <c r="M193" s="1">
        <v>24.0</v>
      </c>
    </row>
    <row r="194">
      <c r="A194" s="1" t="s">
        <v>482</v>
      </c>
      <c r="B194" s="3" t="s">
        <v>483</v>
      </c>
      <c r="C194" s="1" t="s">
        <v>16</v>
      </c>
      <c r="D194" s="1" t="s">
        <v>44</v>
      </c>
      <c r="E194" s="1" t="s">
        <v>428</v>
      </c>
      <c r="F194" s="1" t="str">
        <f>IFERROR(__xludf.DUMMYFUNCTION("SPLIT(E194,""&gt;"")"),"Oasis Mining")</f>
        <v>Oasis Mining</v>
      </c>
      <c r="G194" s="1" t="str">
        <f>IFERROR(__xludf.DUMMYFUNCTION("""COMPUTED_VALUE"""),"Series 1")</f>
        <v>Series 1</v>
      </c>
      <c r="H194" s="1" t="s">
        <v>44</v>
      </c>
      <c r="I194" s="1" t="s">
        <v>288</v>
      </c>
      <c r="J194" s="4">
        <v>42917.0</v>
      </c>
      <c r="K194" s="1">
        <v>1000.0</v>
      </c>
      <c r="L194" s="1">
        <v>1000.0</v>
      </c>
      <c r="M194" s="1">
        <v>25.0</v>
      </c>
    </row>
    <row r="195">
      <c r="A195" s="1" t="s">
        <v>484</v>
      </c>
      <c r="B195" s="3" t="s">
        <v>485</v>
      </c>
      <c r="C195" s="1" t="s">
        <v>16</v>
      </c>
      <c r="D195" s="1" t="s">
        <v>330</v>
      </c>
      <c r="E195" s="1" t="s">
        <v>486</v>
      </c>
      <c r="F195" s="1" t="str">
        <f>IFERROR(__xludf.DUMMYFUNCTION("SPLIT(E195,""&gt;"")"),"Oasis Mining")</f>
        <v>Oasis Mining</v>
      </c>
      <c r="G195" s="1" t="str">
        <f>IFERROR(__xludf.DUMMYFUNCTION("""COMPUTED_VALUE"""),"Series 2")</f>
        <v>Series 2</v>
      </c>
      <c r="H195" s="1" t="s">
        <v>330</v>
      </c>
      <c r="I195" s="1" t="s">
        <v>395</v>
      </c>
      <c r="J195" s="4">
        <v>42948.0</v>
      </c>
      <c r="K195" s="1">
        <v>200.0</v>
      </c>
      <c r="L195" s="1">
        <v>200.0</v>
      </c>
      <c r="M195" s="1">
        <v>26.0</v>
      </c>
    </row>
    <row r="196">
      <c r="A196" s="1" t="s">
        <v>487</v>
      </c>
      <c r="B196" s="3" t="s">
        <v>488</v>
      </c>
      <c r="C196" s="1" t="s">
        <v>16</v>
      </c>
      <c r="D196" s="1" t="s">
        <v>489</v>
      </c>
      <c r="E196" s="1" t="s">
        <v>486</v>
      </c>
      <c r="F196" s="1" t="str">
        <f>IFERROR(__xludf.DUMMYFUNCTION("SPLIT(E196,""&gt;"")"),"Oasis Mining")</f>
        <v>Oasis Mining</v>
      </c>
      <c r="G196" s="1" t="str">
        <f>IFERROR(__xludf.DUMMYFUNCTION("""COMPUTED_VALUE"""),"Series 2")</f>
        <v>Series 2</v>
      </c>
      <c r="H196" s="1" t="s">
        <v>489</v>
      </c>
      <c r="I196" s="1" t="s">
        <v>395</v>
      </c>
      <c r="J196" s="4">
        <v>42948.0</v>
      </c>
      <c r="K196" s="1">
        <v>777.0</v>
      </c>
      <c r="L196" s="1">
        <v>777.0</v>
      </c>
      <c r="M196" s="1">
        <v>27.0</v>
      </c>
    </row>
    <row r="197">
      <c r="A197" s="1" t="s">
        <v>490</v>
      </c>
      <c r="B197" s="3" t="s">
        <v>491</v>
      </c>
      <c r="C197" s="1" t="s">
        <v>16</v>
      </c>
      <c r="D197" s="1" t="s">
        <v>79</v>
      </c>
      <c r="E197" s="1" t="s">
        <v>486</v>
      </c>
      <c r="F197" s="1" t="str">
        <f>IFERROR(__xludf.DUMMYFUNCTION("SPLIT(E197,""&gt;"")"),"Oasis Mining")</f>
        <v>Oasis Mining</v>
      </c>
      <c r="G197" s="1" t="str">
        <f>IFERROR(__xludf.DUMMYFUNCTION("""COMPUTED_VALUE"""),"Series 2")</f>
        <v>Series 2</v>
      </c>
      <c r="H197" s="1" t="s">
        <v>79</v>
      </c>
      <c r="I197" s="1" t="s">
        <v>395</v>
      </c>
      <c r="J197" s="4">
        <v>42948.0</v>
      </c>
      <c r="K197" s="1">
        <v>200.0</v>
      </c>
      <c r="L197" s="1">
        <v>200.0</v>
      </c>
      <c r="M197" s="1">
        <v>28.0</v>
      </c>
    </row>
    <row r="198">
      <c r="A198" s="1" t="s">
        <v>492</v>
      </c>
      <c r="B198" s="3" t="s">
        <v>493</v>
      </c>
      <c r="C198" s="1" t="s">
        <v>16</v>
      </c>
      <c r="D198" s="1" t="s">
        <v>494</v>
      </c>
      <c r="E198" s="1" t="s">
        <v>486</v>
      </c>
      <c r="F198" s="1" t="str">
        <f>IFERROR(__xludf.DUMMYFUNCTION("SPLIT(E198,""&gt;"")"),"Oasis Mining")</f>
        <v>Oasis Mining</v>
      </c>
      <c r="G198" s="1" t="str">
        <f>IFERROR(__xludf.DUMMYFUNCTION("""COMPUTED_VALUE"""),"Series 2")</f>
        <v>Series 2</v>
      </c>
      <c r="H198" s="1" t="s">
        <v>494</v>
      </c>
      <c r="I198" s="1" t="s">
        <v>395</v>
      </c>
      <c r="J198" s="4">
        <v>42948.0</v>
      </c>
      <c r="K198" s="1">
        <v>700.0</v>
      </c>
      <c r="L198" s="1">
        <v>700.0</v>
      </c>
      <c r="M198" s="1">
        <v>29.0</v>
      </c>
    </row>
    <row r="199">
      <c r="A199" s="1" t="s">
        <v>495</v>
      </c>
      <c r="B199" s="3" t="s">
        <v>496</v>
      </c>
      <c r="C199" s="1" t="s">
        <v>16</v>
      </c>
      <c r="D199" s="1" t="s">
        <v>494</v>
      </c>
      <c r="E199" s="1" t="s">
        <v>486</v>
      </c>
      <c r="F199" s="1" t="str">
        <f>IFERROR(__xludf.DUMMYFUNCTION("SPLIT(E199,""&gt;"")"),"Oasis Mining")</f>
        <v>Oasis Mining</v>
      </c>
      <c r="G199" s="1" t="str">
        <f>IFERROR(__xludf.DUMMYFUNCTION("""COMPUTED_VALUE"""),"Series 2")</f>
        <v>Series 2</v>
      </c>
      <c r="H199" s="1" t="s">
        <v>494</v>
      </c>
      <c r="I199" s="1" t="s">
        <v>395</v>
      </c>
      <c r="J199" s="4">
        <v>42948.0</v>
      </c>
      <c r="K199" s="1">
        <v>300.0</v>
      </c>
      <c r="L199" s="1">
        <v>300.0</v>
      </c>
      <c r="M199" s="1">
        <v>30.0</v>
      </c>
    </row>
    <row r="200">
      <c r="A200" s="1" t="s">
        <v>497</v>
      </c>
      <c r="B200" s="3" t="s">
        <v>498</v>
      </c>
      <c r="C200" s="1" t="s">
        <v>16</v>
      </c>
      <c r="D200" s="1" t="s">
        <v>439</v>
      </c>
      <c r="E200" s="1" t="s">
        <v>486</v>
      </c>
      <c r="F200" s="1" t="str">
        <f>IFERROR(__xludf.DUMMYFUNCTION("SPLIT(E200,""&gt;"")"),"Oasis Mining")</f>
        <v>Oasis Mining</v>
      </c>
      <c r="G200" s="1" t="str">
        <f>IFERROR(__xludf.DUMMYFUNCTION("""COMPUTED_VALUE"""),"Series 2")</f>
        <v>Series 2</v>
      </c>
      <c r="H200" s="1" t="s">
        <v>440</v>
      </c>
      <c r="I200" s="1" t="s">
        <v>395</v>
      </c>
      <c r="J200" s="4">
        <v>42948.0</v>
      </c>
      <c r="K200" s="1">
        <v>720.0</v>
      </c>
      <c r="L200" s="1">
        <v>720.0</v>
      </c>
      <c r="M200" s="1">
        <v>31.0</v>
      </c>
    </row>
    <row r="201">
      <c r="A201" s="1" t="s">
        <v>499</v>
      </c>
      <c r="B201" s="3" t="s">
        <v>500</v>
      </c>
      <c r="C201" s="1" t="s">
        <v>16</v>
      </c>
      <c r="D201" s="1" t="s">
        <v>439</v>
      </c>
      <c r="E201" s="1" t="s">
        <v>486</v>
      </c>
      <c r="F201" s="1" t="str">
        <f>IFERROR(__xludf.DUMMYFUNCTION("SPLIT(E201,""&gt;"")"),"Oasis Mining")</f>
        <v>Oasis Mining</v>
      </c>
      <c r="G201" s="1" t="str">
        <f>IFERROR(__xludf.DUMMYFUNCTION("""COMPUTED_VALUE"""),"Series 2")</f>
        <v>Series 2</v>
      </c>
      <c r="H201" s="1" t="s">
        <v>440</v>
      </c>
      <c r="I201" s="1" t="s">
        <v>395</v>
      </c>
      <c r="J201" s="4">
        <v>42948.0</v>
      </c>
      <c r="K201" s="1">
        <v>899.0</v>
      </c>
      <c r="L201" s="1">
        <v>899.0</v>
      </c>
      <c r="M201" s="1">
        <v>32.0</v>
      </c>
    </row>
    <row r="202">
      <c r="A202" s="1" t="s">
        <v>501</v>
      </c>
      <c r="B202" s="3" t="s">
        <v>502</v>
      </c>
      <c r="C202" s="1" t="s">
        <v>16</v>
      </c>
      <c r="D202" s="1" t="s">
        <v>393</v>
      </c>
      <c r="E202" s="1" t="s">
        <v>486</v>
      </c>
      <c r="F202" s="1" t="str">
        <f>IFERROR(__xludf.DUMMYFUNCTION("SPLIT(E202,""&gt;"")"),"Oasis Mining")</f>
        <v>Oasis Mining</v>
      </c>
      <c r="G202" s="1" t="str">
        <f>IFERROR(__xludf.DUMMYFUNCTION("""COMPUTED_VALUE"""),"Series 2")</f>
        <v>Series 2</v>
      </c>
      <c r="H202" s="1" t="s">
        <v>393</v>
      </c>
      <c r="I202" s="1" t="s">
        <v>395</v>
      </c>
      <c r="J202" s="4">
        <v>42948.0</v>
      </c>
      <c r="K202" s="1">
        <v>111.0</v>
      </c>
      <c r="L202" s="1">
        <v>111.0</v>
      </c>
      <c r="M202" s="1">
        <v>33.0</v>
      </c>
    </row>
    <row r="203">
      <c r="A203" s="1" t="s">
        <v>503</v>
      </c>
      <c r="B203" s="3" t="s">
        <v>504</v>
      </c>
      <c r="C203" s="1" t="s">
        <v>16</v>
      </c>
      <c r="D203" s="1" t="s">
        <v>17</v>
      </c>
      <c r="E203" s="1" t="s">
        <v>486</v>
      </c>
      <c r="F203" s="1" t="str">
        <f>IFERROR(__xludf.DUMMYFUNCTION("SPLIT(E203,""&gt;"")"),"Oasis Mining")</f>
        <v>Oasis Mining</v>
      </c>
      <c r="G203" s="1" t="str">
        <f>IFERROR(__xludf.DUMMYFUNCTION("""COMPUTED_VALUE"""),"Series 2")</f>
        <v>Series 2</v>
      </c>
      <c r="H203" s="1" t="s">
        <v>17</v>
      </c>
      <c r="I203" s="1" t="s">
        <v>395</v>
      </c>
      <c r="J203" s="4">
        <v>42948.0</v>
      </c>
      <c r="K203" s="1">
        <v>100.0</v>
      </c>
      <c r="L203" s="1">
        <v>100.0</v>
      </c>
      <c r="M203" s="1">
        <v>34.0</v>
      </c>
    </row>
    <row r="204">
      <c r="A204" s="1" t="s">
        <v>505</v>
      </c>
      <c r="B204" s="3" t="s">
        <v>506</v>
      </c>
      <c r="C204" s="1" t="s">
        <v>16</v>
      </c>
      <c r="D204" s="1" t="s">
        <v>44</v>
      </c>
      <c r="E204" s="1" t="s">
        <v>486</v>
      </c>
      <c r="F204" s="1" t="str">
        <f>IFERROR(__xludf.DUMMYFUNCTION("SPLIT(E204,""&gt;"")"),"Oasis Mining")</f>
        <v>Oasis Mining</v>
      </c>
      <c r="G204" s="1" t="str">
        <f>IFERROR(__xludf.DUMMYFUNCTION("""COMPUTED_VALUE"""),"Series 2")</f>
        <v>Series 2</v>
      </c>
      <c r="H204" s="1" t="s">
        <v>44</v>
      </c>
      <c r="I204" s="1" t="s">
        <v>395</v>
      </c>
      <c r="J204" s="4">
        <v>42948.0</v>
      </c>
      <c r="K204" s="1">
        <v>2400.0</v>
      </c>
      <c r="L204" s="1">
        <v>2400.0</v>
      </c>
      <c r="M204" s="1">
        <v>35.0</v>
      </c>
    </row>
    <row r="205">
      <c r="A205" s="1" t="s">
        <v>507</v>
      </c>
      <c r="B205" s="3" t="s">
        <v>508</v>
      </c>
      <c r="C205" s="1" t="s">
        <v>16</v>
      </c>
      <c r="D205" s="1" t="s">
        <v>17</v>
      </c>
      <c r="E205" s="1" t="s">
        <v>486</v>
      </c>
      <c r="F205" s="1" t="str">
        <f>IFERROR(__xludf.DUMMYFUNCTION("SPLIT(E205,""&gt;"")"),"Oasis Mining")</f>
        <v>Oasis Mining</v>
      </c>
      <c r="G205" s="1" t="str">
        <f>IFERROR(__xludf.DUMMYFUNCTION("""COMPUTED_VALUE"""),"Series 2")</f>
        <v>Series 2</v>
      </c>
      <c r="H205" s="1" t="s">
        <v>17</v>
      </c>
      <c r="I205" s="1" t="s">
        <v>395</v>
      </c>
      <c r="J205" s="4">
        <v>42948.0</v>
      </c>
      <c r="K205" s="1">
        <v>100.0</v>
      </c>
      <c r="L205" s="1">
        <v>100.0</v>
      </c>
      <c r="M205" s="1">
        <v>36.0</v>
      </c>
    </row>
    <row r="206">
      <c r="A206" s="1" t="s">
        <v>509</v>
      </c>
      <c r="B206" s="3" t="s">
        <v>510</v>
      </c>
      <c r="C206" s="1" t="s">
        <v>16</v>
      </c>
      <c r="D206" s="1" t="s">
        <v>366</v>
      </c>
      <c r="E206" s="1" t="s">
        <v>486</v>
      </c>
      <c r="F206" s="1" t="str">
        <f>IFERROR(__xludf.DUMMYFUNCTION("SPLIT(E206,""&gt;"")"),"Oasis Mining")</f>
        <v>Oasis Mining</v>
      </c>
      <c r="G206" s="1" t="str">
        <f>IFERROR(__xludf.DUMMYFUNCTION("""COMPUTED_VALUE"""),"Series 2")</f>
        <v>Series 2</v>
      </c>
      <c r="H206" s="1" t="s">
        <v>366</v>
      </c>
      <c r="I206" s="1" t="s">
        <v>395</v>
      </c>
      <c r="J206" s="4">
        <v>42948.0</v>
      </c>
      <c r="K206" s="1">
        <v>200.0</v>
      </c>
      <c r="L206" s="1">
        <v>200.0</v>
      </c>
      <c r="M206" s="1">
        <v>37.0</v>
      </c>
    </row>
    <row r="207">
      <c r="A207" s="1" t="s">
        <v>511</v>
      </c>
      <c r="B207" s="3" t="s">
        <v>512</v>
      </c>
      <c r="C207" s="1" t="s">
        <v>16</v>
      </c>
      <c r="D207" s="1" t="s">
        <v>330</v>
      </c>
      <c r="E207" s="1" t="s">
        <v>486</v>
      </c>
      <c r="F207" s="1" t="str">
        <f>IFERROR(__xludf.DUMMYFUNCTION("SPLIT(E207,""&gt;"")"),"Oasis Mining")</f>
        <v>Oasis Mining</v>
      </c>
      <c r="G207" s="1" t="str">
        <f>IFERROR(__xludf.DUMMYFUNCTION("""COMPUTED_VALUE"""),"Series 2")</f>
        <v>Series 2</v>
      </c>
      <c r="H207" s="1" t="s">
        <v>330</v>
      </c>
      <c r="I207" s="1" t="s">
        <v>395</v>
      </c>
      <c r="J207" s="4">
        <v>42948.0</v>
      </c>
      <c r="K207" s="1">
        <v>100.0</v>
      </c>
      <c r="L207" s="1">
        <v>100.0</v>
      </c>
      <c r="M207" s="1">
        <v>38.0</v>
      </c>
    </row>
    <row r="208">
      <c r="A208" s="1" t="s">
        <v>513</v>
      </c>
      <c r="B208" s="3" t="s">
        <v>514</v>
      </c>
      <c r="C208" s="1" t="s">
        <v>16</v>
      </c>
      <c r="D208" s="1" t="s">
        <v>71</v>
      </c>
      <c r="E208" s="1" t="s">
        <v>486</v>
      </c>
      <c r="F208" s="1" t="str">
        <f>IFERROR(__xludf.DUMMYFUNCTION("SPLIT(E208,""&gt;"")"),"Oasis Mining")</f>
        <v>Oasis Mining</v>
      </c>
      <c r="G208" s="1" t="str">
        <f>IFERROR(__xludf.DUMMYFUNCTION("""COMPUTED_VALUE"""),"Series 2")</f>
        <v>Series 2</v>
      </c>
      <c r="H208" s="1" t="s">
        <v>71</v>
      </c>
      <c r="I208" s="1" t="s">
        <v>395</v>
      </c>
      <c r="J208" s="4">
        <v>42948.0</v>
      </c>
      <c r="K208" s="1">
        <v>200.0</v>
      </c>
      <c r="L208" s="1">
        <v>200.0</v>
      </c>
      <c r="M208" s="1">
        <v>39.0</v>
      </c>
    </row>
    <row r="209">
      <c r="A209" s="1" t="s">
        <v>515</v>
      </c>
      <c r="B209" s="3" t="s">
        <v>516</v>
      </c>
      <c r="C209" s="1" t="s">
        <v>16</v>
      </c>
      <c r="D209" s="1" t="s">
        <v>451</v>
      </c>
      <c r="E209" s="1" t="s">
        <v>486</v>
      </c>
      <c r="F209" s="1" t="str">
        <f>IFERROR(__xludf.DUMMYFUNCTION("SPLIT(E209,""&gt;"")"),"Oasis Mining")</f>
        <v>Oasis Mining</v>
      </c>
      <c r="G209" s="1" t="str">
        <f>IFERROR(__xludf.DUMMYFUNCTION("""COMPUTED_VALUE"""),"Series 2")</f>
        <v>Series 2</v>
      </c>
      <c r="H209" s="1" t="s">
        <v>451</v>
      </c>
      <c r="I209" s="1" t="s">
        <v>395</v>
      </c>
      <c r="J209" s="4">
        <v>42948.0</v>
      </c>
      <c r="K209" s="1">
        <v>1500.0</v>
      </c>
      <c r="L209" s="1">
        <v>1500.0</v>
      </c>
      <c r="M209" s="1">
        <v>40.0</v>
      </c>
    </row>
    <row r="210">
      <c r="A210" s="1" t="s">
        <v>517</v>
      </c>
      <c r="B210" s="3" t="s">
        <v>518</v>
      </c>
      <c r="C210" s="1" t="s">
        <v>16</v>
      </c>
      <c r="D210" s="1" t="s">
        <v>519</v>
      </c>
      <c r="E210" s="1" t="s">
        <v>486</v>
      </c>
      <c r="F210" s="1" t="str">
        <f>IFERROR(__xludf.DUMMYFUNCTION("SPLIT(E210,""&gt;"")"),"Oasis Mining")</f>
        <v>Oasis Mining</v>
      </c>
      <c r="G210" s="1" t="str">
        <f>IFERROR(__xludf.DUMMYFUNCTION("""COMPUTED_VALUE"""),"Series 2")</f>
        <v>Series 2</v>
      </c>
      <c r="H210" s="1" t="s">
        <v>519</v>
      </c>
      <c r="I210" s="1" t="s">
        <v>395</v>
      </c>
      <c r="J210" s="4">
        <v>42948.0</v>
      </c>
      <c r="K210" s="1">
        <v>500.0</v>
      </c>
      <c r="L210" s="1">
        <v>500.0</v>
      </c>
      <c r="M210" s="1">
        <v>41.0</v>
      </c>
    </row>
    <row r="211">
      <c r="A211" s="1" t="s">
        <v>520</v>
      </c>
      <c r="B211" s="3" t="s">
        <v>521</v>
      </c>
      <c r="C211" s="1" t="s">
        <v>16</v>
      </c>
      <c r="D211" s="1" t="s">
        <v>95</v>
      </c>
      <c r="E211" s="1" t="s">
        <v>486</v>
      </c>
      <c r="F211" s="1" t="str">
        <f>IFERROR(__xludf.DUMMYFUNCTION("SPLIT(E211,""&gt;"")"),"Oasis Mining")</f>
        <v>Oasis Mining</v>
      </c>
      <c r="G211" s="1" t="str">
        <f>IFERROR(__xludf.DUMMYFUNCTION("""COMPUTED_VALUE"""),"Series 2")</f>
        <v>Series 2</v>
      </c>
      <c r="H211" s="1" t="s">
        <v>95</v>
      </c>
      <c r="I211" s="1" t="s">
        <v>395</v>
      </c>
      <c r="J211" s="4">
        <v>42948.0</v>
      </c>
      <c r="K211" s="1">
        <v>10000.0</v>
      </c>
      <c r="L211" s="1">
        <v>10000.0</v>
      </c>
      <c r="M211" s="1">
        <v>42.0</v>
      </c>
    </row>
    <row r="212">
      <c r="A212" s="1" t="s">
        <v>522</v>
      </c>
      <c r="B212" s="3" t="s">
        <v>523</v>
      </c>
      <c r="C212" s="1" t="s">
        <v>16</v>
      </c>
      <c r="D212" s="1" t="s">
        <v>76</v>
      </c>
      <c r="E212" s="1" t="s">
        <v>486</v>
      </c>
      <c r="F212" s="1" t="str">
        <f>IFERROR(__xludf.DUMMYFUNCTION("SPLIT(E212,""&gt;"")"),"Oasis Mining")</f>
        <v>Oasis Mining</v>
      </c>
      <c r="G212" s="1" t="str">
        <f>IFERROR(__xludf.DUMMYFUNCTION("""COMPUTED_VALUE"""),"Series 2")</f>
        <v>Series 2</v>
      </c>
      <c r="H212" s="1" t="s">
        <v>76</v>
      </c>
      <c r="I212" s="1" t="s">
        <v>395</v>
      </c>
      <c r="J212" s="4">
        <v>42948.0</v>
      </c>
      <c r="K212" s="1">
        <v>555.0</v>
      </c>
      <c r="L212" s="1">
        <v>555.0</v>
      </c>
      <c r="M212" s="1">
        <v>43.0</v>
      </c>
    </row>
    <row r="213">
      <c r="A213" s="1" t="s">
        <v>524</v>
      </c>
      <c r="B213" s="3" t="s">
        <v>525</v>
      </c>
      <c r="C213" s="1" t="s">
        <v>16</v>
      </c>
      <c r="D213" s="1" t="s">
        <v>76</v>
      </c>
      <c r="E213" s="1" t="s">
        <v>486</v>
      </c>
      <c r="F213" s="1" t="str">
        <f>IFERROR(__xludf.DUMMYFUNCTION("SPLIT(E213,""&gt;"")"),"Oasis Mining")</f>
        <v>Oasis Mining</v>
      </c>
      <c r="G213" s="1" t="str">
        <f>IFERROR(__xludf.DUMMYFUNCTION("""COMPUTED_VALUE"""),"Series 2")</f>
        <v>Series 2</v>
      </c>
      <c r="H213" s="1" t="s">
        <v>76</v>
      </c>
      <c r="I213" s="1" t="s">
        <v>395</v>
      </c>
      <c r="J213" s="4">
        <v>42948.0</v>
      </c>
      <c r="K213" s="1">
        <v>555.0</v>
      </c>
      <c r="L213" s="1">
        <v>555.0</v>
      </c>
      <c r="M213" s="1">
        <v>44.0</v>
      </c>
    </row>
    <row r="214">
      <c r="A214" s="1" t="s">
        <v>526</v>
      </c>
      <c r="B214" s="3" t="s">
        <v>527</v>
      </c>
      <c r="C214" s="1" t="s">
        <v>16</v>
      </c>
      <c r="D214" s="1" t="s">
        <v>528</v>
      </c>
      <c r="E214" s="1" t="s">
        <v>486</v>
      </c>
      <c r="F214" s="1" t="str">
        <f>IFERROR(__xludf.DUMMYFUNCTION("SPLIT(E214,""&gt;"")"),"Oasis Mining")</f>
        <v>Oasis Mining</v>
      </c>
      <c r="G214" s="1" t="str">
        <f>IFERROR(__xludf.DUMMYFUNCTION("""COMPUTED_VALUE"""),"Series 2")</f>
        <v>Series 2</v>
      </c>
      <c r="H214" s="1" t="s">
        <v>528</v>
      </c>
      <c r="I214" s="1" t="s">
        <v>395</v>
      </c>
      <c r="J214" s="4">
        <v>42948.0</v>
      </c>
      <c r="K214" s="1">
        <v>10000.0</v>
      </c>
      <c r="L214" s="1">
        <v>10000.0</v>
      </c>
      <c r="M214" s="1">
        <v>45.0</v>
      </c>
    </row>
    <row r="215">
      <c r="A215" s="1" t="s">
        <v>529</v>
      </c>
      <c r="B215" s="3" t="s">
        <v>530</v>
      </c>
      <c r="C215" s="1" t="s">
        <v>16</v>
      </c>
      <c r="D215" s="1" t="s">
        <v>44</v>
      </c>
      <c r="E215" s="1" t="s">
        <v>486</v>
      </c>
      <c r="F215" s="1" t="str">
        <f>IFERROR(__xludf.DUMMYFUNCTION("SPLIT(E215,""&gt;"")"),"Oasis Mining")</f>
        <v>Oasis Mining</v>
      </c>
      <c r="G215" s="1" t="str">
        <f>IFERROR(__xludf.DUMMYFUNCTION("""COMPUTED_VALUE"""),"Series 2")</f>
        <v>Series 2</v>
      </c>
      <c r="H215" s="1" t="s">
        <v>44</v>
      </c>
      <c r="I215" s="1" t="s">
        <v>395</v>
      </c>
      <c r="J215" s="4">
        <v>42948.0</v>
      </c>
      <c r="K215" s="1">
        <v>1818.0</v>
      </c>
      <c r="L215" s="1">
        <v>1818.0</v>
      </c>
      <c r="M215" s="1">
        <v>46.0</v>
      </c>
    </row>
    <row r="216">
      <c r="A216" s="1" t="s">
        <v>531</v>
      </c>
      <c r="B216" s="3" t="s">
        <v>532</v>
      </c>
      <c r="C216" s="1" t="s">
        <v>16</v>
      </c>
      <c r="D216" s="1" t="s">
        <v>44</v>
      </c>
      <c r="E216" s="1" t="s">
        <v>486</v>
      </c>
      <c r="F216" s="1" t="str">
        <f>IFERROR(__xludf.DUMMYFUNCTION("SPLIT(E216,""&gt;"")"),"Oasis Mining")</f>
        <v>Oasis Mining</v>
      </c>
      <c r="G216" s="1" t="str">
        <f>IFERROR(__xludf.DUMMYFUNCTION("""COMPUTED_VALUE"""),"Series 2")</f>
        <v>Series 2</v>
      </c>
      <c r="H216" s="1" t="s">
        <v>44</v>
      </c>
      <c r="I216" s="1" t="s">
        <v>395</v>
      </c>
      <c r="J216" s="4">
        <v>42948.0</v>
      </c>
      <c r="K216" s="1">
        <v>100.0</v>
      </c>
      <c r="L216" s="1">
        <v>100.0</v>
      </c>
      <c r="M216" s="1">
        <v>47.0</v>
      </c>
    </row>
    <row r="217">
      <c r="A217" s="1" t="s">
        <v>533</v>
      </c>
      <c r="B217" s="3" t="s">
        <v>534</v>
      </c>
      <c r="C217" s="1" t="s">
        <v>16</v>
      </c>
      <c r="D217" s="1" t="s">
        <v>79</v>
      </c>
      <c r="E217" s="1" t="s">
        <v>486</v>
      </c>
      <c r="F217" s="1" t="str">
        <f>IFERROR(__xludf.DUMMYFUNCTION("SPLIT(E217,""&gt;"")"),"Oasis Mining")</f>
        <v>Oasis Mining</v>
      </c>
      <c r="G217" s="1" t="str">
        <f>IFERROR(__xludf.DUMMYFUNCTION("""COMPUTED_VALUE"""),"Series 2")</f>
        <v>Series 2</v>
      </c>
      <c r="H217" s="1" t="s">
        <v>79</v>
      </c>
      <c r="I217" s="1" t="s">
        <v>395</v>
      </c>
      <c r="J217" s="4">
        <v>42948.0</v>
      </c>
      <c r="K217" s="1">
        <v>200.0</v>
      </c>
      <c r="L217" s="1">
        <v>200.0</v>
      </c>
      <c r="M217" s="1">
        <v>48.0</v>
      </c>
    </row>
    <row r="218">
      <c r="A218" s="1" t="s">
        <v>535</v>
      </c>
      <c r="B218" s="3" t="s">
        <v>536</v>
      </c>
      <c r="C218" s="1" t="s">
        <v>16</v>
      </c>
      <c r="D218" s="1" t="s">
        <v>393</v>
      </c>
      <c r="E218" s="1" t="s">
        <v>486</v>
      </c>
      <c r="F218" s="1" t="str">
        <f>IFERROR(__xludf.DUMMYFUNCTION("SPLIT(E218,""&gt;"")"),"Oasis Mining")</f>
        <v>Oasis Mining</v>
      </c>
      <c r="G218" s="1" t="str">
        <f>IFERROR(__xludf.DUMMYFUNCTION("""COMPUTED_VALUE"""),"Series 2")</f>
        <v>Series 2</v>
      </c>
      <c r="H218" s="1" t="s">
        <v>393</v>
      </c>
      <c r="I218" s="1" t="s">
        <v>395</v>
      </c>
      <c r="J218" s="4">
        <v>42948.0</v>
      </c>
      <c r="K218" s="1">
        <v>200.0</v>
      </c>
      <c r="L218" s="1">
        <v>200.0</v>
      </c>
      <c r="M218" s="1">
        <v>49.0</v>
      </c>
    </row>
    <row r="219">
      <c r="A219" s="1" t="s">
        <v>537</v>
      </c>
      <c r="B219" s="3" t="s">
        <v>538</v>
      </c>
      <c r="C219" s="1" t="s">
        <v>16</v>
      </c>
      <c r="D219" s="1" t="s">
        <v>479</v>
      </c>
      <c r="E219" s="1" t="s">
        <v>486</v>
      </c>
      <c r="F219" s="1" t="str">
        <f>IFERROR(__xludf.DUMMYFUNCTION("SPLIT(E219,""&gt;"")"),"Oasis Mining")</f>
        <v>Oasis Mining</v>
      </c>
      <c r="G219" s="1" t="str">
        <f>IFERROR(__xludf.DUMMYFUNCTION("""COMPUTED_VALUE"""),"Series 2")</f>
        <v>Series 2</v>
      </c>
      <c r="H219" s="1" t="s">
        <v>479</v>
      </c>
      <c r="I219" s="1" t="s">
        <v>395</v>
      </c>
      <c r="J219" s="4">
        <v>42948.0</v>
      </c>
      <c r="K219" s="1">
        <v>150.0</v>
      </c>
      <c r="L219" s="1">
        <v>150.0</v>
      </c>
      <c r="M219" s="1">
        <v>50.0</v>
      </c>
    </row>
    <row r="220">
      <c r="A220" s="1" t="s">
        <v>539</v>
      </c>
      <c r="B220" s="3" t="s">
        <v>540</v>
      </c>
      <c r="C220" s="1" t="s">
        <v>16</v>
      </c>
      <c r="D220" s="1" t="s">
        <v>168</v>
      </c>
      <c r="E220" s="1" t="s">
        <v>486</v>
      </c>
      <c r="F220" s="1" t="str">
        <f>IFERROR(__xludf.DUMMYFUNCTION("SPLIT(E220,""&gt;"")"),"Oasis Mining")</f>
        <v>Oasis Mining</v>
      </c>
      <c r="G220" s="1" t="str">
        <f>IFERROR(__xludf.DUMMYFUNCTION("""COMPUTED_VALUE"""),"Series 2")</f>
        <v>Series 2</v>
      </c>
      <c r="H220" s="1" t="s">
        <v>168</v>
      </c>
      <c r="I220" s="1" t="s">
        <v>395</v>
      </c>
      <c r="J220" s="4">
        <v>42948.0</v>
      </c>
      <c r="K220" s="1">
        <v>300.0</v>
      </c>
      <c r="L220" s="1">
        <v>100.0</v>
      </c>
      <c r="M220" s="1">
        <v>51.0</v>
      </c>
    </row>
    <row r="221">
      <c r="A221" s="1" t="s">
        <v>541</v>
      </c>
      <c r="B221" s="3" t="s">
        <v>542</v>
      </c>
      <c r="C221" s="1" t="s">
        <v>16</v>
      </c>
      <c r="D221" s="1" t="s">
        <v>543</v>
      </c>
      <c r="E221" s="1" t="s">
        <v>544</v>
      </c>
      <c r="F221" s="1" t="str">
        <f>IFERROR(__xludf.DUMMYFUNCTION("SPLIT(E221,""&gt;"")"),"Oasis Mining")</f>
        <v>Oasis Mining</v>
      </c>
      <c r="G221" s="1" t="str">
        <f>IFERROR(__xludf.DUMMYFUNCTION("""COMPUTED_VALUE"""),"Series 3")</f>
        <v>Series 3</v>
      </c>
      <c r="H221" s="1" t="s">
        <v>543</v>
      </c>
      <c r="I221" s="1" t="s">
        <v>545</v>
      </c>
      <c r="J221" s="4">
        <v>42979.0</v>
      </c>
      <c r="K221" s="1">
        <v>1000.0</v>
      </c>
      <c r="L221" s="1">
        <v>1000.0</v>
      </c>
      <c r="M221" s="1">
        <v>52.0</v>
      </c>
    </row>
    <row r="222">
      <c r="A222" s="1" t="s">
        <v>546</v>
      </c>
      <c r="B222" s="3" t="s">
        <v>547</v>
      </c>
      <c r="C222" s="1" t="s">
        <v>16</v>
      </c>
      <c r="D222" s="1" t="s">
        <v>146</v>
      </c>
      <c r="E222" s="1" t="s">
        <v>544</v>
      </c>
      <c r="F222" s="1" t="str">
        <f>IFERROR(__xludf.DUMMYFUNCTION("SPLIT(E222,""&gt;"")"),"Oasis Mining")</f>
        <v>Oasis Mining</v>
      </c>
      <c r="G222" s="1" t="str">
        <f>IFERROR(__xludf.DUMMYFUNCTION("""COMPUTED_VALUE"""),"Series 3")</f>
        <v>Series 3</v>
      </c>
      <c r="H222" s="1" t="s">
        <v>146</v>
      </c>
      <c r="I222" s="1" t="s">
        <v>545</v>
      </c>
      <c r="J222" s="4">
        <v>42979.0</v>
      </c>
      <c r="K222" s="1">
        <v>300.0</v>
      </c>
      <c r="L222" s="1">
        <v>300.0</v>
      </c>
      <c r="M222" s="1">
        <v>53.0</v>
      </c>
    </row>
    <row r="223">
      <c r="A223" s="1" t="s">
        <v>548</v>
      </c>
      <c r="B223" s="3" t="s">
        <v>549</v>
      </c>
      <c r="C223" s="1" t="s">
        <v>16</v>
      </c>
      <c r="D223" s="1" t="s">
        <v>494</v>
      </c>
      <c r="E223" s="1" t="s">
        <v>544</v>
      </c>
      <c r="F223" s="1" t="str">
        <f>IFERROR(__xludf.DUMMYFUNCTION("SPLIT(E223,""&gt;"")"),"Oasis Mining")</f>
        <v>Oasis Mining</v>
      </c>
      <c r="G223" s="1" t="str">
        <f>IFERROR(__xludf.DUMMYFUNCTION("""COMPUTED_VALUE"""),"Series 3")</f>
        <v>Series 3</v>
      </c>
      <c r="H223" s="1" t="s">
        <v>494</v>
      </c>
      <c r="I223" s="1" t="s">
        <v>545</v>
      </c>
      <c r="J223" s="4">
        <v>42979.0</v>
      </c>
      <c r="K223" s="1">
        <v>300.0</v>
      </c>
      <c r="L223" s="1">
        <v>300.0</v>
      </c>
      <c r="M223" s="1">
        <v>54.0</v>
      </c>
    </row>
    <row r="224">
      <c r="A224" s="1" t="s">
        <v>550</v>
      </c>
      <c r="B224" s="3" t="s">
        <v>551</v>
      </c>
      <c r="C224" s="1" t="s">
        <v>16</v>
      </c>
      <c r="D224" s="1" t="s">
        <v>330</v>
      </c>
      <c r="E224" s="1" t="s">
        <v>544</v>
      </c>
      <c r="F224" s="1" t="str">
        <f>IFERROR(__xludf.DUMMYFUNCTION("SPLIT(E224,""&gt;"")"),"Oasis Mining")</f>
        <v>Oasis Mining</v>
      </c>
      <c r="G224" s="1" t="str">
        <f>IFERROR(__xludf.DUMMYFUNCTION("""COMPUTED_VALUE"""),"Series 3")</f>
        <v>Series 3</v>
      </c>
      <c r="H224" s="1" t="s">
        <v>330</v>
      </c>
      <c r="I224" s="1" t="s">
        <v>545</v>
      </c>
      <c r="J224" s="4">
        <v>42979.0</v>
      </c>
      <c r="K224" s="1">
        <v>100.0</v>
      </c>
      <c r="L224" s="1">
        <v>100.0</v>
      </c>
      <c r="M224" s="1">
        <v>55.0</v>
      </c>
    </row>
    <row r="225">
      <c r="A225" s="1" t="s">
        <v>552</v>
      </c>
      <c r="B225" s="3" t="s">
        <v>553</v>
      </c>
      <c r="C225" s="1" t="s">
        <v>16</v>
      </c>
      <c r="D225" s="1" t="s">
        <v>17</v>
      </c>
      <c r="E225" s="1" t="s">
        <v>544</v>
      </c>
      <c r="F225" s="1" t="str">
        <f>IFERROR(__xludf.DUMMYFUNCTION("SPLIT(E225,""&gt;"")"),"Oasis Mining")</f>
        <v>Oasis Mining</v>
      </c>
      <c r="G225" s="1" t="str">
        <f>IFERROR(__xludf.DUMMYFUNCTION("""COMPUTED_VALUE"""),"Series 3")</f>
        <v>Series 3</v>
      </c>
      <c r="H225" s="1" t="s">
        <v>17</v>
      </c>
      <c r="I225" s="1" t="s">
        <v>545</v>
      </c>
      <c r="J225" s="4">
        <v>42979.0</v>
      </c>
      <c r="K225" s="1">
        <v>100.0</v>
      </c>
      <c r="L225" s="1">
        <v>100.0</v>
      </c>
      <c r="M225" s="1">
        <v>56.0</v>
      </c>
    </row>
    <row r="226">
      <c r="A226" s="1" t="s">
        <v>554</v>
      </c>
      <c r="B226" s="3" t="s">
        <v>555</v>
      </c>
      <c r="C226" s="1" t="s">
        <v>16</v>
      </c>
      <c r="D226" s="1" t="s">
        <v>44</v>
      </c>
      <c r="E226" s="1" t="s">
        <v>544</v>
      </c>
      <c r="F226" s="1" t="str">
        <f>IFERROR(__xludf.DUMMYFUNCTION("SPLIT(E226,""&gt;"")"),"Oasis Mining")</f>
        <v>Oasis Mining</v>
      </c>
      <c r="G226" s="1" t="str">
        <f>IFERROR(__xludf.DUMMYFUNCTION("""COMPUTED_VALUE"""),"Series 3")</f>
        <v>Series 3</v>
      </c>
      <c r="H226" s="1" t="s">
        <v>44</v>
      </c>
      <c r="I226" s="1" t="s">
        <v>545</v>
      </c>
      <c r="J226" s="4">
        <v>42979.0</v>
      </c>
      <c r="K226" s="1">
        <v>300.0</v>
      </c>
      <c r="L226" s="1">
        <v>300.0</v>
      </c>
      <c r="M226" s="1">
        <v>57.0</v>
      </c>
    </row>
    <row r="227">
      <c r="A227" s="1" t="s">
        <v>556</v>
      </c>
      <c r="B227" s="3" t="s">
        <v>557</v>
      </c>
      <c r="C227" s="1" t="s">
        <v>16</v>
      </c>
      <c r="D227" s="1" t="s">
        <v>519</v>
      </c>
      <c r="E227" s="1" t="s">
        <v>544</v>
      </c>
      <c r="F227" s="1" t="str">
        <f>IFERROR(__xludf.DUMMYFUNCTION("SPLIT(E227,""&gt;"")"),"Oasis Mining")</f>
        <v>Oasis Mining</v>
      </c>
      <c r="G227" s="1" t="str">
        <f>IFERROR(__xludf.DUMMYFUNCTION("""COMPUTED_VALUE"""),"Series 3")</f>
        <v>Series 3</v>
      </c>
      <c r="H227" s="1" t="s">
        <v>519</v>
      </c>
      <c r="I227" s="1" t="s">
        <v>545</v>
      </c>
      <c r="J227" s="4">
        <v>42979.0</v>
      </c>
      <c r="K227" s="1">
        <v>200.0</v>
      </c>
      <c r="L227" s="1">
        <v>200.0</v>
      </c>
      <c r="M227" s="1">
        <v>58.0</v>
      </c>
    </row>
    <row r="228">
      <c r="A228" s="1" t="s">
        <v>558</v>
      </c>
      <c r="B228" s="3" t="s">
        <v>559</v>
      </c>
      <c r="C228" s="1" t="s">
        <v>16</v>
      </c>
      <c r="D228" s="1" t="s">
        <v>95</v>
      </c>
      <c r="E228" s="1" t="s">
        <v>544</v>
      </c>
      <c r="F228" s="1" t="str">
        <f>IFERROR(__xludf.DUMMYFUNCTION("SPLIT(E228,""&gt;"")"),"Oasis Mining")</f>
        <v>Oasis Mining</v>
      </c>
      <c r="G228" s="1" t="str">
        <f>IFERROR(__xludf.DUMMYFUNCTION("""COMPUTED_VALUE"""),"Series 3")</f>
        <v>Series 3</v>
      </c>
      <c r="H228" s="1" t="s">
        <v>95</v>
      </c>
      <c r="I228" s="1" t="s">
        <v>545</v>
      </c>
      <c r="J228" s="4">
        <v>42979.0</v>
      </c>
      <c r="K228" s="1">
        <v>300.0</v>
      </c>
      <c r="L228" s="1">
        <v>300.0</v>
      </c>
      <c r="M228" s="1">
        <v>59.0</v>
      </c>
    </row>
    <row r="229">
      <c r="A229" s="1" t="s">
        <v>560</v>
      </c>
      <c r="B229" s="3" t="s">
        <v>561</v>
      </c>
      <c r="C229" s="1" t="s">
        <v>16</v>
      </c>
      <c r="D229" s="1" t="s">
        <v>61</v>
      </c>
      <c r="E229" s="1" t="s">
        <v>544</v>
      </c>
      <c r="F229" s="1" t="str">
        <f>IFERROR(__xludf.DUMMYFUNCTION("SPLIT(E229,""&gt;"")"),"Oasis Mining")</f>
        <v>Oasis Mining</v>
      </c>
      <c r="G229" s="1" t="str">
        <f>IFERROR(__xludf.DUMMYFUNCTION("""COMPUTED_VALUE"""),"Series 3")</f>
        <v>Series 3</v>
      </c>
      <c r="H229" s="1" t="s">
        <v>61</v>
      </c>
      <c r="I229" s="1" t="s">
        <v>545</v>
      </c>
      <c r="J229" s="4">
        <v>42979.0</v>
      </c>
      <c r="K229" s="1">
        <v>7777.0</v>
      </c>
      <c r="L229" s="1">
        <v>7777.0</v>
      </c>
      <c r="M229" s="1">
        <v>60.0</v>
      </c>
    </row>
    <row r="230">
      <c r="A230" s="1" t="s">
        <v>562</v>
      </c>
      <c r="B230" s="3" t="s">
        <v>563</v>
      </c>
      <c r="C230" s="1" t="s">
        <v>16</v>
      </c>
      <c r="D230" s="1" t="s">
        <v>564</v>
      </c>
      <c r="E230" s="1" t="s">
        <v>544</v>
      </c>
      <c r="F230" s="1" t="str">
        <f>IFERROR(__xludf.DUMMYFUNCTION("SPLIT(E230,""&gt;"")"),"Oasis Mining")</f>
        <v>Oasis Mining</v>
      </c>
      <c r="G230" s="1" t="str">
        <f>IFERROR(__xludf.DUMMYFUNCTION("""COMPUTED_VALUE"""),"Series 3")</f>
        <v>Series 3</v>
      </c>
      <c r="H230" s="1" t="s">
        <v>564</v>
      </c>
      <c r="I230" s="1" t="s">
        <v>545</v>
      </c>
      <c r="J230" s="4">
        <v>42979.0</v>
      </c>
      <c r="K230" s="1">
        <v>300.0</v>
      </c>
      <c r="L230" s="1">
        <v>300.0</v>
      </c>
      <c r="M230" s="1">
        <v>61.0</v>
      </c>
    </row>
    <row r="231">
      <c r="A231" s="1" t="s">
        <v>565</v>
      </c>
      <c r="B231" s="3" t="s">
        <v>566</v>
      </c>
      <c r="C231" s="1" t="s">
        <v>16</v>
      </c>
      <c r="D231" s="1" t="s">
        <v>422</v>
      </c>
      <c r="E231" s="1" t="s">
        <v>544</v>
      </c>
      <c r="F231" s="1" t="str">
        <f>IFERROR(__xludf.DUMMYFUNCTION("SPLIT(E231,""&gt;"")"),"Oasis Mining")</f>
        <v>Oasis Mining</v>
      </c>
      <c r="G231" s="1" t="str">
        <f>IFERROR(__xludf.DUMMYFUNCTION("""COMPUTED_VALUE"""),"Series 3")</f>
        <v>Series 3</v>
      </c>
      <c r="H231" s="1" t="s">
        <v>423</v>
      </c>
      <c r="I231" s="1" t="s">
        <v>545</v>
      </c>
      <c r="J231" s="4">
        <v>42979.0</v>
      </c>
      <c r="K231" s="1">
        <v>100.0</v>
      </c>
      <c r="L231" s="1">
        <v>100.0</v>
      </c>
      <c r="M231" s="1">
        <v>62.0</v>
      </c>
    </row>
    <row r="232">
      <c r="A232" s="1" t="s">
        <v>567</v>
      </c>
      <c r="B232" s="3" t="s">
        <v>568</v>
      </c>
      <c r="C232" s="1" t="s">
        <v>16</v>
      </c>
      <c r="D232" s="1" t="s">
        <v>569</v>
      </c>
      <c r="E232" s="1" t="s">
        <v>544</v>
      </c>
      <c r="F232" s="1" t="str">
        <f>IFERROR(__xludf.DUMMYFUNCTION("SPLIT(E232,""&gt;"")"),"Oasis Mining")</f>
        <v>Oasis Mining</v>
      </c>
      <c r="G232" s="1" t="str">
        <f>IFERROR(__xludf.DUMMYFUNCTION("""COMPUTED_VALUE"""),"Series 3")</f>
        <v>Series 3</v>
      </c>
      <c r="H232" s="1" t="s">
        <v>569</v>
      </c>
      <c r="I232" s="1" t="s">
        <v>545</v>
      </c>
      <c r="J232" s="4">
        <v>42979.0</v>
      </c>
      <c r="K232" s="1">
        <v>300.0</v>
      </c>
      <c r="L232" s="1">
        <v>300.0</v>
      </c>
      <c r="M232" s="1">
        <v>63.0</v>
      </c>
    </row>
    <row r="233">
      <c r="A233" s="1" t="s">
        <v>570</v>
      </c>
      <c r="B233" s="3" t="s">
        <v>571</v>
      </c>
      <c r="C233" s="1" t="s">
        <v>16</v>
      </c>
      <c r="D233" s="1" t="s">
        <v>366</v>
      </c>
      <c r="E233" s="1" t="s">
        <v>544</v>
      </c>
      <c r="F233" s="1" t="str">
        <f>IFERROR(__xludf.DUMMYFUNCTION("SPLIT(E233,""&gt;"")"),"Oasis Mining")</f>
        <v>Oasis Mining</v>
      </c>
      <c r="G233" s="1" t="str">
        <f>IFERROR(__xludf.DUMMYFUNCTION("""COMPUTED_VALUE"""),"Series 3")</f>
        <v>Series 3</v>
      </c>
      <c r="H233" s="1" t="s">
        <v>366</v>
      </c>
      <c r="I233" s="1" t="s">
        <v>545</v>
      </c>
      <c r="J233" s="4">
        <v>42979.0</v>
      </c>
      <c r="K233" s="1">
        <v>300.0</v>
      </c>
      <c r="L233" s="1">
        <v>300.0</v>
      </c>
      <c r="M233" s="1">
        <v>64.0</v>
      </c>
    </row>
    <row r="234">
      <c r="A234" s="1" t="s">
        <v>572</v>
      </c>
      <c r="B234" s="3" t="s">
        <v>573</v>
      </c>
      <c r="C234" s="1" t="s">
        <v>16</v>
      </c>
      <c r="D234" s="1" t="s">
        <v>168</v>
      </c>
      <c r="E234" s="1" t="s">
        <v>544</v>
      </c>
      <c r="F234" s="1" t="str">
        <f>IFERROR(__xludf.DUMMYFUNCTION("SPLIT(E234,""&gt;"")"),"Oasis Mining")</f>
        <v>Oasis Mining</v>
      </c>
      <c r="G234" s="1" t="str">
        <f>IFERROR(__xludf.DUMMYFUNCTION("""COMPUTED_VALUE"""),"Series 3")</f>
        <v>Series 3</v>
      </c>
      <c r="H234" s="1" t="s">
        <v>168</v>
      </c>
      <c r="I234" s="1" t="s">
        <v>545</v>
      </c>
      <c r="J234" s="4">
        <v>42979.0</v>
      </c>
      <c r="K234" s="1">
        <v>50.0</v>
      </c>
      <c r="L234" s="1">
        <v>50.0</v>
      </c>
      <c r="M234" s="1">
        <v>65.0</v>
      </c>
    </row>
    <row r="235">
      <c r="A235" s="1" t="s">
        <v>574</v>
      </c>
      <c r="B235" s="3" t="s">
        <v>575</v>
      </c>
      <c r="C235" s="1" t="s">
        <v>16</v>
      </c>
      <c r="D235" s="1" t="s">
        <v>159</v>
      </c>
      <c r="E235" s="1" t="s">
        <v>544</v>
      </c>
      <c r="F235" s="1" t="str">
        <f>IFERROR(__xludf.DUMMYFUNCTION("SPLIT(E235,""&gt;"")"),"Oasis Mining")</f>
        <v>Oasis Mining</v>
      </c>
      <c r="G235" s="1" t="str">
        <f>IFERROR(__xludf.DUMMYFUNCTION("""COMPUTED_VALUE"""),"Series 3")</f>
        <v>Series 3</v>
      </c>
      <c r="H235" s="1" t="s">
        <v>159</v>
      </c>
      <c r="I235" s="1" t="s">
        <v>545</v>
      </c>
      <c r="J235" s="4">
        <v>42979.0</v>
      </c>
      <c r="K235" s="1">
        <v>200.0</v>
      </c>
      <c r="L235" s="1">
        <v>200.0</v>
      </c>
      <c r="M235" s="1">
        <v>66.0</v>
      </c>
    </row>
    <row r="236">
      <c r="A236" s="1" t="s">
        <v>576</v>
      </c>
      <c r="B236" s="3" t="s">
        <v>577</v>
      </c>
      <c r="C236" s="1" t="s">
        <v>16</v>
      </c>
      <c r="D236" s="1" t="s">
        <v>53</v>
      </c>
      <c r="E236" s="1" t="s">
        <v>578</v>
      </c>
      <c r="F236" s="1" t="str">
        <f>IFERROR(__xludf.DUMMYFUNCTION("SPLIT(E236,""&gt;"")"),"Japanese Rarepepe")</f>
        <v>Japanese Rarepepe</v>
      </c>
      <c r="G236" s="1" t="str">
        <f>IFERROR(__xludf.DUMMYFUNCTION("""COMPUTED_VALUE"""),"Series 21")</f>
        <v>Series 21</v>
      </c>
      <c r="H236" s="1" t="s">
        <v>53</v>
      </c>
      <c r="I236" s="1" t="s">
        <v>288</v>
      </c>
      <c r="J236" s="4">
        <v>42917.0</v>
      </c>
      <c r="K236" s="1">
        <v>181.0</v>
      </c>
      <c r="L236" s="1">
        <v>171.0</v>
      </c>
      <c r="M236" s="1">
        <v>1018.0</v>
      </c>
    </row>
    <row r="237">
      <c r="A237" s="1" t="s">
        <v>579</v>
      </c>
      <c r="B237" s="3" t="s">
        <v>580</v>
      </c>
      <c r="C237" s="1" t="s">
        <v>16</v>
      </c>
      <c r="D237" s="1" t="s">
        <v>53</v>
      </c>
      <c r="E237" s="1" t="s">
        <v>581</v>
      </c>
      <c r="F237" s="1" t="str">
        <f>IFERROR(__xludf.DUMMYFUNCTION("SPLIT(E237,""&gt;"")"),"Japanese Rarepepe")</f>
        <v>Japanese Rarepepe</v>
      </c>
      <c r="G237" s="1" t="str">
        <f>IFERROR(__xludf.DUMMYFUNCTION("""COMPUTED_VALUE"""),"Series 24")</f>
        <v>Series 24</v>
      </c>
      <c r="H237" s="1" t="s">
        <v>53</v>
      </c>
      <c r="I237" s="1" t="s">
        <v>288</v>
      </c>
      <c r="J237" s="4">
        <v>42917.0</v>
      </c>
      <c r="K237" s="1">
        <v>181.0</v>
      </c>
      <c r="L237" s="1">
        <v>171.0</v>
      </c>
      <c r="M237" s="1">
        <v>1166.0</v>
      </c>
    </row>
    <row r="238">
      <c r="A238" s="1" t="s">
        <v>582</v>
      </c>
      <c r="B238" s="3" t="s">
        <v>583</v>
      </c>
      <c r="C238" s="1" t="s">
        <v>16</v>
      </c>
      <c r="D238" s="1" t="s">
        <v>53</v>
      </c>
      <c r="E238" s="1" t="s">
        <v>584</v>
      </c>
      <c r="F238" s="1" t="str">
        <f>IFERROR(__xludf.DUMMYFUNCTION("SPLIT(E238,""&gt;"")"),"Japanese Rarepepe")</f>
        <v>Japanese Rarepepe</v>
      </c>
      <c r="G238" s="1" t="str">
        <f>IFERROR(__xludf.DUMMYFUNCTION("""COMPUTED_VALUE"""),"Series 27")</f>
        <v>Series 27</v>
      </c>
      <c r="H238" s="1" t="s">
        <v>53</v>
      </c>
      <c r="I238" s="1" t="s">
        <v>395</v>
      </c>
      <c r="J238" s="4">
        <v>42948.0</v>
      </c>
      <c r="K238" s="1">
        <v>181.0</v>
      </c>
      <c r="L238" s="1">
        <v>171.0</v>
      </c>
      <c r="M238" s="1">
        <v>1318.0</v>
      </c>
    </row>
    <row r="239">
      <c r="A239" s="1" t="s">
        <v>585</v>
      </c>
      <c r="B239" s="3" t="s">
        <v>586</v>
      </c>
      <c r="C239" s="1" t="s">
        <v>16</v>
      </c>
      <c r="D239" s="1" t="s">
        <v>53</v>
      </c>
      <c r="E239" s="1" t="s">
        <v>584</v>
      </c>
      <c r="F239" s="1" t="str">
        <f>IFERROR(__xludf.DUMMYFUNCTION("SPLIT(E239,""&gt;"")"),"Japanese Rarepepe")</f>
        <v>Japanese Rarepepe</v>
      </c>
      <c r="G239" s="1" t="str">
        <f>IFERROR(__xludf.DUMMYFUNCTION("""COMPUTED_VALUE"""),"Series 27")</f>
        <v>Series 27</v>
      </c>
      <c r="H239" s="1" t="s">
        <v>53</v>
      </c>
      <c r="I239" s="1" t="s">
        <v>395</v>
      </c>
      <c r="J239" s="4">
        <v>42948.0</v>
      </c>
      <c r="K239" s="1">
        <v>181.0</v>
      </c>
      <c r="L239" s="1">
        <v>171.0</v>
      </c>
      <c r="M239" s="1">
        <v>1336.0</v>
      </c>
    </row>
    <row r="240">
      <c r="A240" s="1" t="s">
        <v>587</v>
      </c>
      <c r="B240" s="3" t="s">
        <v>588</v>
      </c>
      <c r="C240" s="1" t="s">
        <v>16</v>
      </c>
      <c r="D240" s="1" t="s">
        <v>135</v>
      </c>
      <c r="E240" s="1" t="s">
        <v>589</v>
      </c>
      <c r="F240" s="1" t="str">
        <f>IFERROR(__xludf.DUMMYFUNCTION("SPLIT(E240,""&gt;"")"),"Japanese Rarepepe")</f>
        <v>Japanese Rarepepe</v>
      </c>
      <c r="G240" s="1" t="str">
        <f>IFERROR(__xludf.DUMMYFUNCTION("""COMPUTED_VALUE"""),"Series 17")</f>
        <v>Series 17</v>
      </c>
      <c r="H240" s="1" t="s">
        <v>135</v>
      </c>
      <c r="I240" s="1" t="s">
        <v>590</v>
      </c>
      <c r="J240" s="4">
        <v>42795.0</v>
      </c>
      <c r="K240" s="1">
        <v>108.0</v>
      </c>
      <c r="L240" s="1">
        <v>108.0</v>
      </c>
      <c r="M240" s="1">
        <v>810.0</v>
      </c>
    </row>
    <row r="241">
      <c r="A241" s="1" t="s">
        <v>591</v>
      </c>
      <c r="B241" s="3" t="s">
        <v>592</v>
      </c>
      <c r="C241" s="1" t="s">
        <v>16</v>
      </c>
      <c r="D241" s="1" t="s">
        <v>593</v>
      </c>
      <c r="E241" s="1" t="s">
        <v>584</v>
      </c>
      <c r="F241" s="1" t="str">
        <f>IFERROR(__xludf.DUMMYFUNCTION("SPLIT(E241,""&gt;"")"),"Japanese Rarepepe")</f>
        <v>Japanese Rarepepe</v>
      </c>
      <c r="G241" s="1" t="str">
        <f>IFERROR(__xludf.DUMMYFUNCTION("""COMPUTED_VALUE"""),"Series 27")</f>
        <v>Series 27</v>
      </c>
      <c r="H241" s="1" t="s">
        <v>593</v>
      </c>
      <c r="I241" s="1" t="s">
        <v>395</v>
      </c>
      <c r="J241" s="4">
        <v>42948.0</v>
      </c>
      <c r="K241" s="1">
        <v>100.0</v>
      </c>
      <c r="L241" s="1">
        <v>100.0</v>
      </c>
      <c r="M241" s="1">
        <v>1306.0</v>
      </c>
    </row>
    <row r="242">
      <c r="A242" s="1" t="s">
        <v>594</v>
      </c>
      <c r="B242" s="3" t="s">
        <v>595</v>
      </c>
      <c r="C242" s="1" t="s">
        <v>16</v>
      </c>
      <c r="D242" s="1" t="s">
        <v>593</v>
      </c>
      <c r="E242" s="1" t="s">
        <v>596</v>
      </c>
      <c r="F242" s="1" t="str">
        <f>IFERROR(__xludf.DUMMYFUNCTION("SPLIT(E242,""&gt;"")"),"Japanese Rarepepe")</f>
        <v>Japanese Rarepepe</v>
      </c>
      <c r="G242" s="1" t="str">
        <f>IFERROR(__xludf.DUMMYFUNCTION("""COMPUTED_VALUE"""),"Series 26")</f>
        <v>Series 26</v>
      </c>
      <c r="H242" s="1" t="s">
        <v>593</v>
      </c>
      <c r="I242" s="1" t="s">
        <v>395</v>
      </c>
      <c r="J242" s="4">
        <v>42948.0</v>
      </c>
      <c r="K242" s="1">
        <v>100.0</v>
      </c>
      <c r="L242" s="1">
        <v>100.0</v>
      </c>
      <c r="M242" s="1">
        <v>1294.0</v>
      </c>
    </row>
    <row r="243">
      <c r="A243" s="1" t="s">
        <v>597</v>
      </c>
      <c r="B243" s="3" t="s">
        <v>598</v>
      </c>
      <c r="C243" s="1" t="s">
        <v>16</v>
      </c>
      <c r="D243" s="1" t="s">
        <v>593</v>
      </c>
      <c r="E243" s="1" t="s">
        <v>599</v>
      </c>
      <c r="F243" s="1" t="str">
        <f>IFERROR(__xludf.DUMMYFUNCTION("SPLIT(E243,""&gt;"")"),"Japanese Rarepepe")</f>
        <v>Japanese Rarepepe</v>
      </c>
      <c r="G243" s="1" t="str">
        <f>IFERROR(__xludf.DUMMYFUNCTION("""COMPUTED_VALUE"""),"Series 22")</f>
        <v>Series 22</v>
      </c>
      <c r="H243" s="1" t="s">
        <v>593</v>
      </c>
      <c r="I243" s="1" t="s">
        <v>288</v>
      </c>
      <c r="J243" s="4">
        <v>42917.0</v>
      </c>
      <c r="K243" s="1">
        <v>250.0</v>
      </c>
      <c r="L243" s="1">
        <v>100.0</v>
      </c>
      <c r="M243" s="1">
        <v>1099.0</v>
      </c>
    </row>
    <row r="244">
      <c r="A244" s="1" t="s">
        <v>600</v>
      </c>
      <c r="B244" s="3" t="s">
        <v>601</v>
      </c>
      <c r="C244" s="1" t="s">
        <v>16</v>
      </c>
      <c r="D244" s="1" t="s">
        <v>593</v>
      </c>
      <c r="E244" s="1" t="s">
        <v>578</v>
      </c>
      <c r="F244" s="1" t="str">
        <f>IFERROR(__xludf.DUMMYFUNCTION("SPLIT(E244,""&gt;"")"),"Japanese Rarepepe")</f>
        <v>Japanese Rarepepe</v>
      </c>
      <c r="G244" s="1" t="str">
        <f>IFERROR(__xludf.DUMMYFUNCTION("""COMPUTED_VALUE"""),"Series 21")</f>
        <v>Series 21</v>
      </c>
      <c r="H244" s="1" t="s">
        <v>593</v>
      </c>
      <c r="I244" s="1" t="s">
        <v>288</v>
      </c>
      <c r="J244" s="4">
        <v>42917.0</v>
      </c>
      <c r="K244" s="1">
        <v>1000.0</v>
      </c>
      <c r="L244" s="1">
        <v>1000.0</v>
      </c>
      <c r="M244" s="1">
        <v>1029.0</v>
      </c>
    </row>
    <row r="245">
      <c r="A245" s="1" t="s">
        <v>602</v>
      </c>
      <c r="B245" s="3" t="s">
        <v>603</v>
      </c>
      <c r="C245" s="1" t="s">
        <v>16</v>
      </c>
      <c r="D245" s="1" t="s">
        <v>17</v>
      </c>
      <c r="E245" s="1" t="s">
        <v>604</v>
      </c>
      <c r="F245" s="1" t="str">
        <f>IFERROR(__xludf.DUMMYFUNCTION("SPLIT(E245,""&gt;"")"),"Japanese Rarepepe")</f>
        <v>Japanese Rarepepe</v>
      </c>
      <c r="G245" s="1" t="str">
        <f>IFERROR(__xludf.DUMMYFUNCTION("""COMPUTED_VALUE"""),"Series 29")</f>
        <v>Series 29</v>
      </c>
      <c r="H245" s="1" t="s">
        <v>17</v>
      </c>
      <c r="I245" s="1" t="s">
        <v>545</v>
      </c>
      <c r="J245" s="4">
        <v>42979.0</v>
      </c>
      <c r="K245" s="1">
        <v>300.0</v>
      </c>
      <c r="L245" s="1">
        <v>300.0</v>
      </c>
      <c r="M245" s="1">
        <v>1412.0</v>
      </c>
    </row>
    <row r="246">
      <c r="A246" s="1" t="s">
        <v>605</v>
      </c>
      <c r="B246" s="3" t="s">
        <v>606</v>
      </c>
      <c r="C246" s="1" t="s">
        <v>16</v>
      </c>
      <c r="D246" s="1" t="s">
        <v>607</v>
      </c>
      <c r="E246" s="1" t="s">
        <v>608</v>
      </c>
      <c r="F246" s="1" t="str">
        <f>IFERROR(__xludf.DUMMYFUNCTION("SPLIT(E246,""&gt;"")"),"Japanese Rarepepe")</f>
        <v>Japanese Rarepepe</v>
      </c>
      <c r="G246" s="1" t="str">
        <f>IFERROR(__xludf.DUMMYFUNCTION("""COMPUTED_VALUE"""),"Series 05")</f>
        <v>Series 05</v>
      </c>
      <c r="H246" s="1" t="s">
        <v>607</v>
      </c>
      <c r="I246" s="1" t="s">
        <v>609</v>
      </c>
      <c r="J246" s="4">
        <v>42644.0</v>
      </c>
      <c r="K246" s="1">
        <v>100.0</v>
      </c>
      <c r="L246" s="1">
        <v>100.0</v>
      </c>
      <c r="M246" s="1">
        <v>208.0</v>
      </c>
    </row>
    <row r="247">
      <c r="A247" s="1" t="s">
        <v>610</v>
      </c>
      <c r="B247" s="3" t="s">
        <v>611</v>
      </c>
      <c r="C247" s="1" t="s">
        <v>16</v>
      </c>
      <c r="D247" s="1" t="s">
        <v>79</v>
      </c>
      <c r="E247" s="1" t="s">
        <v>612</v>
      </c>
      <c r="F247" s="1" t="str">
        <f>IFERROR(__xludf.DUMMYFUNCTION("SPLIT(E247,""&gt;"")"),"Japanese Rarepepe")</f>
        <v>Japanese Rarepepe</v>
      </c>
      <c r="G247" s="1" t="str">
        <f>IFERROR(__xludf.DUMMYFUNCTION("""COMPUTED_VALUE"""),"Series 06")</f>
        <v>Series 06</v>
      </c>
      <c r="H247" s="1" t="s">
        <v>79</v>
      </c>
      <c r="I247" s="1" t="s">
        <v>609</v>
      </c>
      <c r="J247" s="4">
        <v>42644.0</v>
      </c>
      <c r="K247" s="1">
        <v>100.0</v>
      </c>
      <c r="L247" s="1">
        <v>100.0</v>
      </c>
      <c r="M247" s="1">
        <v>285.0</v>
      </c>
    </row>
    <row r="248">
      <c r="A248" s="1" t="s">
        <v>613</v>
      </c>
      <c r="B248" s="3" t="s">
        <v>614</v>
      </c>
      <c r="C248" s="1" t="s">
        <v>16</v>
      </c>
      <c r="D248" s="1" t="s">
        <v>79</v>
      </c>
      <c r="E248" s="1" t="s">
        <v>612</v>
      </c>
      <c r="F248" s="1" t="str">
        <f>IFERROR(__xludf.DUMMYFUNCTION("SPLIT(E248,""&gt;"")"),"Japanese Rarepepe")</f>
        <v>Japanese Rarepepe</v>
      </c>
      <c r="G248" s="1" t="str">
        <f>IFERROR(__xludf.DUMMYFUNCTION("""COMPUTED_VALUE"""),"Series 06")</f>
        <v>Series 06</v>
      </c>
      <c r="H248" s="1" t="s">
        <v>79</v>
      </c>
      <c r="I248" s="1" t="s">
        <v>609</v>
      </c>
      <c r="J248" s="4">
        <v>42644.0</v>
      </c>
      <c r="K248" s="1">
        <v>300.0</v>
      </c>
      <c r="L248" s="1">
        <v>300.0</v>
      </c>
      <c r="M248" s="1">
        <v>296.0</v>
      </c>
    </row>
    <row r="249">
      <c r="A249" s="1" t="s">
        <v>615</v>
      </c>
      <c r="B249" s="3" t="s">
        <v>616</v>
      </c>
      <c r="C249" s="1" t="s">
        <v>16</v>
      </c>
      <c r="D249" s="1" t="s">
        <v>79</v>
      </c>
      <c r="E249" s="1" t="s">
        <v>617</v>
      </c>
      <c r="F249" s="1" t="str">
        <f>IFERROR(__xludf.DUMMYFUNCTION("SPLIT(E249,""&gt;"")"),"Japanese Rarepepe")</f>
        <v>Japanese Rarepepe</v>
      </c>
      <c r="G249" s="1" t="str">
        <f>IFERROR(__xludf.DUMMYFUNCTION("""COMPUTED_VALUE"""),"Series 07")</f>
        <v>Series 07</v>
      </c>
      <c r="H249" s="1" t="s">
        <v>79</v>
      </c>
      <c r="I249" s="1" t="s">
        <v>609</v>
      </c>
      <c r="J249" s="4">
        <v>42644.0</v>
      </c>
      <c r="K249" s="1">
        <v>250.0</v>
      </c>
      <c r="L249" s="1">
        <v>250.0</v>
      </c>
      <c r="M249" s="1">
        <v>305.0</v>
      </c>
    </row>
    <row r="250">
      <c r="A250" s="1" t="s">
        <v>618</v>
      </c>
      <c r="B250" s="3" t="s">
        <v>619</v>
      </c>
      <c r="C250" s="1" t="s">
        <v>16</v>
      </c>
      <c r="D250" s="1" t="s">
        <v>79</v>
      </c>
      <c r="E250" s="1" t="s">
        <v>617</v>
      </c>
      <c r="F250" s="1" t="str">
        <f>IFERROR(__xludf.DUMMYFUNCTION("SPLIT(E250,""&gt;"")"),"Japanese Rarepepe")</f>
        <v>Japanese Rarepepe</v>
      </c>
      <c r="G250" s="1" t="str">
        <f>IFERROR(__xludf.DUMMYFUNCTION("""COMPUTED_VALUE"""),"Series 07")</f>
        <v>Series 07</v>
      </c>
      <c r="H250" s="1" t="s">
        <v>79</v>
      </c>
      <c r="I250" s="1" t="s">
        <v>609</v>
      </c>
      <c r="J250" s="4">
        <v>42644.0</v>
      </c>
      <c r="K250" s="1">
        <v>200.0</v>
      </c>
      <c r="L250" s="1">
        <v>200.0</v>
      </c>
      <c r="M250" s="1">
        <v>306.0</v>
      </c>
    </row>
    <row r="251">
      <c r="A251" s="1" t="s">
        <v>620</v>
      </c>
      <c r="B251" s="3" t="s">
        <v>621</v>
      </c>
      <c r="C251" s="1" t="s">
        <v>16</v>
      </c>
      <c r="D251" s="1" t="s">
        <v>79</v>
      </c>
      <c r="E251" s="1" t="s">
        <v>617</v>
      </c>
      <c r="F251" s="1" t="str">
        <f>IFERROR(__xludf.DUMMYFUNCTION("SPLIT(E251,""&gt;"")"),"Japanese Rarepepe")</f>
        <v>Japanese Rarepepe</v>
      </c>
      <c r="G251" s="1" t="str">
        <f>IFERROR(__xludf.DUMMYFUNCTION("""COMPUTED_VALUE"""),"Series 07")</f>
        <v>Series 07</v>
      </c>
      <c r="H251" s="1" t="s">
        <v>79</v>
      </c>
      <c r="I251" s="1" t="s">
        <v>622</v>
      </c>
      <c r="J251" s="4">
        <v>42675.0</v>
      </c>
      <c r="K251" s="1">
        <v>200.0</v>
      </c>
      <c r="L251" s="1">
        <v>200.0</v>
      </c>
      <c r="M251" s="1">
        <v>329.0</v>
      </c>
    </row>
    <row r="252">
      <c r="A252" s="1" t="s">
        <v>623</v>
      </c>
      <c r="B252" s="3" t="s">
        <v>624</v>
      </c>
      <c r="C252" s="1" t="s">
        <v>16</v>
      </c>
      <c r="D252" s="1" t="s">
        <v>79</v>
      </c>
      <c r="E252" s="1" t="s">
        <v>625</v>
      </c>
      <c r="F252" s="1" t="str">
        <f>IFERROR(__xludf.DUMMYFUNCTION("SPLIT(E252,""&gt;"")"),"Japanese Rarepepe")</f>
        <v>Japanese Rarepepe</v>
      </c>
      <c r="G252" s="1" t="str">
        <f>IFERROR(__xludf.DUMMYFUNCTION("""COMPUTED_VALUE"""),"Series 08")</f>
        <v>Series 08</v>
      </c>
      <c r="H252" s="1" t="s">
        <v>79</v>
      </c>
      <c r="I252" s="1" t="s">
        <v>622</v>
      </c>
      <c r="J252" s="4">
        <v>42675.0</v>
      </c>
      <c r="K252" s="1">
        <v>200.0</v>
      </c>
      <c r="L252" s="1">
        <v>200.0</v>
      </c>
      <c r="M252" s="1">
        <v>368.0</v>
      </c>
    </row>
    <row r="253">
      <c r="A253" s="1" t="s">
        <v>626</v>
      </c>
      <c r="B253" s="3" t="s">
        <v>627</v>
      </c>
      <c r="C253" s="1" t="s">
        <v>16</v>
      </c>
      <c r="D253" s="1" t="s">
        <v>79</v>
      </c>
      <c r="E253" s="1" t="s">
        <v>625</v>
      </c>
      <c r="F253" s="1" t="str">
        <f>IFERROR(__xludf.DUMMYFUNCTION("SPLIT(E253,""&gt;"")"),"Japanese Rarepepe")</f>
        <v>Japanese Rarepepe</v>
      </c>
      <c r="G253" s="1" t="str">
        <f>IFERROR(__xludf.DUMMYFUNCTION("""COMPUTED_VALUE"""),"Series 08")</f>
        <v>Series 08</v>
      </c>
      <c r="H253" s="1" t="s">
        <v>79</v>
      </c>
      <c r="I253" s="1" t="s">
        <v>622</v>
      </c>
      <c r="J253" s="4">
        <v>42675.0</v>
      </c>
      <c r="K253" s="1">
        <v>100.0</v>
      </c>
      <c r="L253" s="1">
        <v>100.0</v>
      </c>
      <c r="M253" s="1">
        <v>369.0</v>
      </c>
    </row>
    <row r="254">
      <c r="A254" s="1" t="s">
        <v>628</v>
      </c>
      <c r="B254" s="3" t="s">
        <v>629</v>
      </c>
      <c r="C254" s="1" t="s">
        <v>16</v>
      </c>
      <c r="D254" s="1" t="s">
        <v>79</v>
      </c>
      <c r="E254" s="1" t="s">
        <v>625</v>
      </c>
      <c r="F254" s="1" t="str">
        <f>IFERROR(__xludf.DUMMYFUNCTION("SPLIT(E254,""&gt;"")"),"Japanese Rarepepe")</f>
        <v>Japanese Rarepepe</v>
      </c>
      <c r="G254" s="1" t="str">
        <f>IFERROR(__xludf.DUMMYFUNCTION("""COMPUTED_VALUE"""),"Series 08")</f>
        <v>Series 08</v>
      </c>
      <c r="H254" s="1" t="s">
        <v>79</v>
      </c>
      <c r="I254" s="1" t="s">
        <v>622</v>
      </c>
      <c r="J254" s="4">
        <v>42675.0</v>
      </c>
      <c r="K254" s="1">
        <v>150.0</v>
      </c>
      <c r="L254" s="1">
        <v>150.0</v>
      </c>
      <c r="M254" s="1">
        <v>390.0</v>
      </c>
    </row>
    <row r="255">
      <c r="A255" s="1" t="s">
        <v>630</v>
      </c>
      <c r="B255" s="3" t="s">
        <v>631</v>
      </c>
      <c r="C255" s="1" t="s">
        <v>16</v>
      </c>
      <c r="D255" s="1" t="s">
        <v>79</v>
      </c>
      <c r="E255" s="1" t="s">
        <v>632</v>
      </c>
      <c r="F255" s="1" t="str">
        <f>IFERROR(__xludf.DUMMYFUNCTION("SPLIT(E255,""&gt;"")"),"Japanese Rarepepe")</f>
        <v>Japanese Rarepepe</v>
      </c>
      <c r="G255" s="1" t="str">
        <f>IFERROR(__xludf.DUMMYFUNCTION("""COMPUTED_VALUE"""),"Series 09")</f>
        <v>Series 09</v>
      </c>
      <c r="H255" s="1" t="s">
        <v>79</v>
      </c>
      <c r="I255" s="1" t="s">
        <v>622</v>
      </c>
      <c r="J255" s="4">
        <v>42675.0</v>
      </c>
      <c r="K255" s="1">
        <v>100.0</v>
      </c>
      <c r="L255" s="1">
        <v>100.0</v>
      </c>
      <c r="M255" s="1">
        <v>406.0</v>
      </c>
    </row>
    <row r="256">
      <c r="A256" s="1" t="s">
        <v>633</v>
      </c>
      <c r="B256" s="3" t="s">
        <v>634</v>
      </c>
      <c r="C256" s="1" t="s">
        <v>16</v>
      </c>
      <c r="D256" s="1" t="s">
        <v>79</v>
      </c>
      <c r="E256" s="1" t="s">
        <v>635</v>
      </c>
      <c r="F256" s="1" t="str">
        <f>IFERROR(__xludf.DUMMYFUNCTION("SPLIT(E256,""&gt;"")"),"Japanese Rarepepe")</f>
        <v>Japanese Rarepepe</v>
      </c>
      <c r="G256" s="1" t="str">
        <f>IFERROR(__xludf.DUMMYFUNCTION("""COMPUTED_VALUE"""),"Series 10")</f>
        <v>Series 10</v>
      </c>
      <c r="H256" s="1" t="s">
        <v>79</v>
      </c>
      <c r="I256" s="1" t="s">
        <v>636</v>
      </c>
      <c r="J256" s="4">
        <v>42705.0</v>
      </c>
      <c r="K256" s="1">
        <v>100.0</v>
      </c>
      <c r="L256" s="1">
        <v>50.0</v>
      </c>
      <c r="M256" s="1">
        <v>458.0</v>
      </c>
    </row>
    <row r="257">
      <c r="A257" s="1" t="s">
        <v>637</v>
      </c>
      <c r="B257" s="3" t="s">
        <v>638</v>
      </c>
      <c r="C257" s="1" t="s">
        <v>16</v>
      </c>
      <c r="D257" s="1" t="s">
        <v>71</v>
      </c>
      <c r="E257" s="1" t="s">
        <v>608</v>
      </c>
      <c r="F257" s="1" t="str">
        <f>IFERROR(__xludf.DUMMYFUNCTION("SPLIT(E257,""&gt;"")"),"Japanese Rarepepe")</f>
        <v>Japanese Rarepepe</v>
      </c>
      <c r="G257" s="1" t="str">
        <f>IFERROR(__xludf.DUMMYFUNCTION("""COMPUTED_VALUE"""),"Series 05")</f>
        <v>Series 05</v>
      </c>
      <c r="H257" s="1" t="s">
        <v>71</v>
      </c>
      <c r="I257" s="1" t="s">
        <v>609</v>
      </c>
      <c r="J257" s="4">
        <v>42644.0</v>
      </c>
      <c r="K257" s="1">
        <v>999.0</v>
      </c>
      <c r="L257" s="1">
        <v>999.0</v>
      </c>
      <c r="M257" s="1">
        <v>238.0</v>
      </c>
    </row>
    <row r="258">
      <c r="A258" s="1" t="s">
        <v>639</v>
      </c>
      <c r="B258" s="3" t="s">
        <v>640</v>
      </c>
      <c r="C258" s="1" t="s">
        <v>16</v>
      </c>
      <c r="D258" s="1" t="s">
        <v>71</v>
      </c>
      <c r="E258" s="1" t="s">
        <v>612</v>
      </c>
      <c r="F258" s="1" t="str">
        <f>IFERROR(__xludf.DUMMYFUNCTION("SPLIT(E258,""&gt;"")"),"Japanese Rarepepe")</f>
        <v>Japanese Rarepepe</v>
      </c>
      <c r="G258" s="1" t="str">
        <f>IFERROR(__xludf.DUMMYFUNCTION("""COMPUTED_VALUE"""),"Series 06")</f>
        <v>Series 06</v>
      </c>
      <c r="H258" s="1" t="s">
        <v>71</v>
      </c>
      <c r="I258" s="1" t="s">
        <v>609</v>
      </c>
      <c r="J258" s="4">
        <v>42644.0</v>
      </c>
      <c r="K258" s="1">
        <v>109.0</v>
      </c>
      <c r="L258" s="1">
        <v>109.0</v>
      </c>
      <c r="M258" s="1">
        <v>280.0</v>
      </c>
    </row>
    <row r="259">
      <c r="A259" s="1" t="s">
        <v>641</v>
      </c>
      <c r="B259" s="3" t="s">
        <v>642</v>
      </c>
      <c r="C259" s="1" t="s">
        <v>16</v>
      </c>
      <c r="D259" s="1" t="s">
        <v>71</v>
      </c>
      <c r="E259" s="1" t="s">
        <v>612</v>
      </c>
      <c r="F259" s="1" t="str">
        <f>IFERROR(__xludf.DUMMYFUNCTION("SPLIT(E259,""&gt;"")"),"Japanese Rarepepe")</f>
        <v>Japanese Rarepepe</v>
      </c>
      <c r="G259" s="1" t="str">
        <f>IFERROR(__xludf.DUMMYFUNCTION("""COMPUTED_VALUE"""),"Series 06")</f>
        <v>Series 06</v>
      </c>
      <c r="H259" s="1" t="s">
        <v>71</v>
      </c>
      <c r="I259" s="1" t="s">
        <v>609</v>
      </c>
      <c r="J259" s="4">
        <v>42644.0</v>
      </c>
      <c r="K259" s="1">
        <v>109.0</v>
      </c>
      <c r="L259" s="1">
        <v>199.0</v>
      </c>
      <c r="M259" s="1">
        <v>291.0</v>
      </c>
    </row>
    <row r="260">
      <c r="A260" s="1" t="s">
        <v>643</v>
      </c>
      <c r="B260" s="3" t="s">
        <v>644</v>
      </c>
      <c r="C260" s="1" t="s">
        <v>16</v>
      </c>
      <c r="D260" s="1" t="s">
        <v>71</v>
      </c>
      <c r="E260" s="1" t="s">
        <v>617</v>
      </c>
      <c r="F260" s="1" t="str">
        <f>IFERROR(__xludf.DUMMYFUNCTION("SPLIT(E260,""&gt;"")"),"Japanese Rarepepe")</f>
        <v>Japanese Rarepepe</v>
      </c>
      <c r="G260" s="1" t="str">
        <f>IFERROR(__xludf.DUMMYFUNCTION("""COMPUTED_VALUE"""),"Series 07")</f>
        <v>Series 07</v>
      </c>
      <c r="H260" s="1" t="s">
        <v>71</v>
      </c>
      <c r="I260" s="1" t="s">
        <v>609</v>
      </c>
      <c r="J260" s="4">
        <v>42644.0</v>
      </c>
      <c r="K260" s="1">
        <v>100.0</v>
      </c>
      <c r="L260" s="1">
        <v>100.0</v>
      </c>
      <c r="M260" s="1">
        <v>322.0</v>
      </c>
    </row>
    <row r="261">
      <c r="A261" s="1" t="s">
        <v>645</v>
      </c>
      <c r="B261" s="3" t="s">
        <v>646</v>
      </c>
      <c r="C261" s="1" t="s">
        <v>16</v>
      </c>
      <c r="D261" s="1" t="s">
        <v>71</v>
      </c>
      <c r="E261" s="1" t="s">
        <v>617</v>
      </c>
      <c r="F261" s="1" t="str">
        <f>IFERROR(__xludf.DUMMYFUNCTION("SPLIT(E261,""&gt;"")"),"Japanese Rarepepe")</f>
        <v>Japanese Rarepepe</v>
      </c>
      <c r="G261" s="1" t="str">
        <f>IFERROR(__xludf.DUMMYFUNCTION("""COMPUTED_VALUE"""),"Series 07")</f>
        <v>Series 07</v>
      </c>
      <c r="H261" s="1" t="s">
        <v>71</v>
      </c>
      <c r="I261" s="1" t="s">
        <v>609</v>
      </c>
      <c r="J261" s="4">
        <v>42644.0</v>
      </c>
      <c r="K261" s="1">
        <v>299.0</v>
      </c>
      <c r="L261" s="1">
        <v>299.0</v>
      </c>
      <c r="M261" s="1">
        <v>323.0</v>
      </c>
    </row>
    <row r="262">
      <c r="A262" s="1" t="s">
        <v>647</v>
      </c>
      <c r="B262" s="3" t="s">
        <v>648</v>
      </c>
      <c r="C262" s="1" t="s">
        <v>16</v>
      </c>
      <c r="D262" s="1" t="s">
        <v>71</v>
      </c>
      <c r="E262" s="1" t="s">
        <v>617</v>
      </c>
      <c r="F262" s="1" t="str">
        <f>IFERROR(__xludf.DUMMYFUNCTION("SPLIT(E262,""&gt;"")"),"Japanese Rarepepe")</f>
        <v>Japanese Rarepepe</v>
      </c>
      <c r="G262" s="1" t="str">
        <f>IFERROR(__xludf.DUMMYFUNCTION("""COMPUTED_VALUE"""),"Series 07")</f>
        <v>Series 07</v>
      </c>
      <c r="H262" s="1" t="s">
        <v>71</v>
      </c>
      <c r="I262" s="1" t="s">
        <v>622</v>
      </c>
      <c r="J262" s="4">
        <v>42675.0</v>
      </c>
      <c r="K262" s="1">
        <v>599.0</v>
      </c>
      <c r="L262" s="1">
        <v>599.0</v>
      </c>
      <c r="M262" s="1">
        <v>345.0</v>
      </c>
    </row>
    <row r="263">
      <c r="A263" s="1" t="s">
        <v>649</v>
      </c>
      <c r="B263" s="3" t="s">
        <v>650</v>
      </c>
      <c r="C263" s="1" t="s">
        <v>16</v>
      </c>
      <c r="D263" s="1" t="s">
        <v>71</v>
      </c>
      <c r="E263" s="1" t="s">
        <v>617</v>
      </c>
      <c r="F263" s="1" t="str">
        <f>IFERROR(__xludf.DUMMYFUNCTION("SPLIT(E263,""&gt;"")"),"Japanese Rarepepe")</f>
        <v>Japanese Rarepepe</v>
      </c>
      <c r="G263" s="1" t="str">
        <f>IFERROR(__xludf.DUMMYFUNCTION("""COMPUTED_VALUE"""),"Series 07")</f>
        <v>Series 07</v>
      </c>
      <c r="H263" s="1" t="s">
        <v>71</v>
      </c>
      <c r="I263" s="1" t="s">
        <v>622</v>
      </c>
      <c r="J263" s="4">
        <v>42675.0</v>
      </c>
      <c r="K263" s="1">
        <v>109.0</v>
      </c>
      <c r="L263" s="1">
        <v>109.0</v>
      </c>
      <c r="M263" s="1">
        <v>346.0</v>
      </c>
    </row>
    <row r="264">
      <c r="A264" s="1" t="s">
        <v>651</v>
      </c>
      <c r="B264" s="3" t="s">
        <v>652</v>
      </c>
      <c r="C264" s="1" t="s">
        <v>16</v>
      </c>
      <c r="D264" s="1" t="s">
        <v>71</v>
      </c>
      <c r="E264" s="1" t="s">
        <v>625</v>
      </c>
      <c r="F264" s="1" t="str">
        <f>IFERROR(__xludf.DUMMYFUNCTION("SPLIT(E264,""&gt;"")"),"Japanese Rarepepe")</f>
        <v>Japanese Rarepepe</v>
      </c>
      <c r="G264" s="1" t="str">
        <f>IFERROR(__xludf.DUMMYFUNCTION("""COMPUTED_VALUE"""),"Series 08")</f>
        <v>Series 08</v>
      </c>
      <c r="H264" s="1" t="s">
        <v>71</v>
      </c>
      <c r="I264" s="1" t="s">
        <v>622</v>
      </c>
      <c r="J264" s="4">
        <v>42675.0</v>
      </c>
      <c r="K264" s="1">
        <v>109.0</v>
      </c>
      <c r="L264" s="1">
        <v>109.0</v>
      </c>
      <c r="M264" s="1">
        <v>370.0</v>
      </c>
    </row>
    <row r="265">
      <c r="A265" s="1" t="s">
        <v>653</v>
      </c>
      <c r="B265" s="3" t="s">
        <v>654</v>
      </c>
      <c r="C265" s="1" t="s">
        <v>16</v>
      </c>
      <c r="D265" s="1" t="s">
        <v>71</v>
      </c>
      <c r="E265" s="1" t="s">
        <v>625</v>
      </c>
      <c r="F265" s="1" t="str">
        <f>IFERROR(__xludf.DUMMYFUNCTION("SPLIT(E265,""&gt;"")"),"Japanese Rarepepe")</f>
        <v>Japanese Rarepepe</v>
      </c>
      <c r="G265" s="1" t="str">
        <f>IFERROR(__xludf.DUMMYFUNCTION("""COMPUTED_VALUE"""),"Series 08")</f>
        <v>Series 08</v>
      </c>
      <c r="H265" s="1" t="s">
        <v>71</v>
      </c>
      <c r="I265" s="1" t="s">
        <v>622</v>
      </c>
      <c r="J265" s="4">
        <v>42675.0</v>
      </c>
      <c r="K265" s="1">
        <v>777.0</v>
      </c>
      <c r="L265" s="1">
        <v>777.0</v>
      </c>
      <c r="M265" s="1">
        <v>378.0</v>
      </c>
    </row>
    <row r="266">
      <c r="A266" s="1" t="s">
        <v>655</v>
      </c>
      <c r="B266" s="3" t="s">
        <v>656</v>
      </c>
      <c r="C266" s="1" t="s">
        <v>16</v>
      </c>
      <c r="D266" s="1" t="s">
        <v>71</v>
      </c>
      <c r="E266" s="1" t="s">
        <v>625</v>
      </c>
      <c r="F266" s="1" t="str">
        <f>IFERROR(__xludf.DUMMYFUNCTION("SPLIT(E266,""&gt;"")"),"Japanese Rarepepe")</f>
        <v>Japanese Rarepepe</v>
      </c>
      <c r="G266" s="1" t="str">
        <f>IFERROR(__xludf.DUMMYFUNCTION("""COMPUTED_VALUE"""),"Series 08")</f>
        <v>Series 08</v>
      </c>
      <c r="H266" s="1" t="s">
        <v>71</v>
      </c>
      <c r="I266" s="1" t="s">
        <v>622</v>
      </c>
      <c r="J266" s="4">
        <v>42675.0</v>
      </c>
      <c r="K266" s="1">
        <v>999.0</v>
      </c>
      <c r="L266" s="1">
        <v>999.0</v>
      </c>
      <c r="M266" s="1">
        <v>379.0</v>
      </c>
    </row>
    <row r="267">
      <c r="A267" s="1" t="s">
        <v>657</v>
      </c>
      <c r="B267" s="3" t="s">
        <v>658</v>
      </c>
      <c r="C267" s="1" t="s">
        <v>16</v>
      </c>
      <c r="D267" s="1" t="s">
        <v>71</v>
      </c>
      <c r="E267" s="1" t="s">
        <v>625</v>
      </c>
      <c r="F267" s="1" t="str">
        <f>IFERROR(__xludf.DUMMYFUNCTION("SPLIT(E267,""&gt;"")"),"Japanese Rarepepe")</f>
        <v>Japanese Rarepepe</v>
      </c>
      <c r="G267" s="1" t="str">
        <f>IFERROR(__xludf.DUMMYFUNCTION("""COMPUTED_VALUE"""),"Series 08")</f>
        <v>Series 08</v>
      </c>
      <c r="H267" s="1" t="s">
        <v>71</v>
      </c>
      <c r="I267" s="1" t="s">
        <v>622</v>
      </c>
      <c r="J267" s="4">
        <v>42675.0</v>
      </c>
      <c r="K267" s="1">
        <v>109.0</v>
      </c>
      <c r="L267" s="1">
        <v>109.0</v>
      </c>
      <c r="M267" s="1">
        <v>385.0</v>
      </c>
    </row>
    <row r="268">
      <c r="A268" s="1" t="s">
        <v>659</v>
      </c>
      <c r="B268" s="3" t="s">
        <v>660</v>
      </c>
      <c r="C268" s="1" t="s">
        <v>16</v>
      </c>
      <c r="D268" s="1" t="s">
        <v>71</v>
      </c>
      <c r="E268" s="1" t="s">
        <v>632</v>
      </c>
      <c r="F268" s="1" t="str">
        <f>IFERROR(__xludf.DUMMYFUNCTION("SPLIT(E268,""&gt;"")"),"Japanese Rarepepe")</f>
        <v>Japanese Rarepepe</v>
      </c>
      <c r="G268" s="1" t="str">
        <f>IFERROR(__xludf.DUMMYFUNCTION("""COMPUTED_VALUE"""),"Series 09")</f>
        <v>Series 09</v>
      </c>
      <c r="H268" s="1" t="s">
        <v>71</v>
      </c>
      <c r="I268" s="1" t="s">
        <v>622</v>
      </c>
      <c r="J268" s="4">
        <v>42675.0</v>
      </c>
      <c r="K268" s="1">
        <v>2.1E7</v>
      </c>
      <c r="L268" s="1">
        <v>2.1E7</v>
      </c>
      <c r="M268" s="1">
        <v>403.0</v>
      </c>
    </row>
    <row r="269">
      <c r="A269" s="1" t="s">
        <v>661</v>
      </c>
      <c r="B269" s="3" t="s">
        <v>662</v>
      </c>
      <c r="C269" s="1" t="s">
        <v>16</v>
      </c>
      <c r="D269" s="1" t="s">
        <v>71</v>
      </c>
      <c r="E269" s="1" t="s">
        <v>632</v>
      </c>
      <c r="F269" s="1" t="str">
        <f>IFERROR(__xludf.DUMMYFUNCTION("SPLIT(E269,""&gt;"")"),"Japanese Rarepepe")</f>
        <v>Japanese Rarepepe</v>
      </c>
      <c r="G269" s="1" t="str">
        <f>IFERROR(__xludf.DUMMYFUNCTION("""COMPUTED_VALUE"""),"Series 09")</f>
        <v>Series 09</v>
      </c>
      <c r="H269" s="1" t="s">
        <v>71</v>
      </c>
      <c r="I269" s="1" t="s">
        <v>636</v>
      </c>
      <c r="J269" s="4">
        <v>42705.0</v>
      </c>
      <c r="K269" s="1">
        <v>999999.0</v>
      </c>
      <c r="L269" s="1">
        <v>999999.0</v>
      </c>
      <c r="M269" s="1">
        <v>432.0</v>
      </c>
    </row>
    <row r="270">
      <c r="A270" s="1" t="s">
        <v>663</v>
      </c>
      <c r="B270" s="3" t="s">
        <v>664</v>
      </c>
      <c r="C270" s="1" t="s">
        <v>16</v>
      </c>
      <c r="D270" s="1" t="s">
        <v>71</v>
      </c>
      <c r="E270" s="1" t="s">
        <v>665</v>
      </c>
      <c r="F270" s="1" t="str">
        <f>IFERROR(__xludf.DUMMYFUNCTION("SPLIT(E270,""&gt;"")"),"Japanese Rarepepe")</f>
        <v>Japanese Rarepepe</v>
      </c>
      <c r="G270" s="1" t="str">
        <f>IFERROR(__xludf.DUMMYFUNCTION("""COMPUTED_VALUE"""),"Series 12")</f>
        <v>Series 12</v>
      </c>
      <c r="H270" s="1" t="s">
        <v>71</v>
      </c>
      <c r="I270" s="1" t="s">
        <v>666</v>
      </c>
      <c r="J270" s="4">
        <v>42767.0</v>
      </c>
      <c r="K270" s="1">
        <v>10000.0</v>
      </c>
      <c r="L270" s="1">
        <v>10000.0</v>
      </c>
      <c r="M270" s="1">
        <v>556.0</v>
      </c>
    </row>
    <row r="271">
      <c r="A271" s="1" t="s">
        <v>667</v>
      </c>
      <c r="B271" s="3" t="s">
        <v>668</v>
      </c>
      <c r="C271" s="1" t="s">
        <v>16</v>
      </c>
      <c r="D271" s="1" t="s">
        <v>71</v>
      </c>
      <c r="E271" s="1" t="s">
        <v>669</v>
      </c>
      <c r="F271" s="1" t="str">
        <f>IFERROR(__xludf.DUMMYFUNCTION("SPLIT(E271,""&gt;"")"),"Japanese Rarepepe")</f>
        <v>Japanese Rarepepe</v>
      </c>
      <c r="G271" s="1" t="str">
        <f>IFERROR(__xludf.DUMMYFUNCTION("""COMPUTED_VALUE"""),"Series 13")</f>
        <v>Series 13</v>
      </c>
      <c r="H271" s="1" t="s">
        <v>71</v>
      </c>
      <c r="I271" s="1" t="s">
        <v>666</v>
      </c>
      <c r="J271" s="4">
        <v>42767.0</v>
      </c>
      <c r="K271" s="1">
        <v>10000.0</v>
      </c>
      <c r="L271" s="1">
        <v>10000.0</v>
      </c>
      <c r="M271" s="1">
        <v>607.0</v>
      </c>
    </row>
    <row r="272">
      <c r="A272" s="1" t="s">
        <v>670</v>
      </c>
      <c r="B272" s="3" t="s">
        <v>671</v>
      </c>
      <c r="C272" s="1" t="s">
        <v>16</v>
      </c>
      <c r="D272" s="1" t="s">
        <v>71</v>
      </c>
      <c r="E272" s="1" t="s">
        <v>589</v>
      </c>
      <c r="F272" s="1" t="str">
        <f>IFERROR(__xludf.DUMMYFUNCTION("SPLIT(E272,""&gt;"")"),"Japanese Rarepepe")</f>
        <v>Japanese Rarepepe</v>
      </c>
      <c r="G272" s="1" t="str">
        <f>IFERROR(__xludf.DUMMYFUNCTION("""COMPUTED_VALUE"""),"Series 17")</f>
        <v>Series 17</v>
      </c>
      <c r="H272" s="1" t="s">
        <v>71</v>
      </c>
      <c r="I272" s="1" t="s">
        <v>590</v>
      </c>
      <c r="J272" s="4">
        <v>42795.0</v>
      </c>
      <c r="K272" s="1">
        <v>1000.0</v>
      </c>
      <c r="L272" s="1">
        <v>1000.0</v>
      </c>
      <c r="M272" s="1">
        <v>833.0</v>
      </c>
    </row>
    <row r="273">
      <c r="A273" s="1" t="s">
        <v>672</v>
      </c>
      <c r="B273" s="3" t="s">
        <v>673</v>
      </c>
      <c r="C273" s="1" t="s">
        <v>16</v>
      </c>
      <c r="D273" s="1" t="s">
        <v>71</v>
      </c>
      <c r="E273" s="1" t="s">
        <v>674</v>
      </c>
      <c r="F273" s="1" t="str">
        <f>IFERROR(__xludf.DUMMYFUNCTION("SPLIT(E273,""&gt;"")"),"Japanese Rarepepe")</f>
        <v>Japanese Rarepepe</v>
      </c>
      <c r="G273" s="1" t="str">
        <f>IFERROR(__xludf.DUMMYFUNCTION("""COMPUTED_VALUE"""),"Series 20")</f>
        <v>Series 20</v>
      </c>
      <c r="H273" s="1" t="s">
        <v>71</v>
      </c>
      <c r="I273" s="1" t="s">
        <v>132</v>
      </c>
      <c r="J273" s="4">
        <v>42856.0</v>
      </c>
      <c r="K273" s="1">
        <v>199.0</v>
      </c>
      <c r="L273" s="1">
        <v>199.0</v>
      </c>
      <c r="M273" s="1">
        <v>974.0</v>
      </c>
    </row>
    <row r="274">
      <c r="A274" s="1" t="s">
        <v>675</v>
      </c>
      <c r="B274" s="3" t="s">
        <v>676</v>
      </c>
      <c r="C274" s="1" t="s">
        <v>16</v>
      </c>
      <c r="D274" s="1" t="s">
        <v>71</v>
      </c>
      <c r="E274" s="1" t="s">
        <v>578</v>
      </c>
      <c r="F274" s="1" t="str">
        <f>IFERROR(__xludf.DUMMYFUNCTION("SPLIT(E274,""&gt;"")"),"Japanese Rarepepe")</f>
        <v>Japanese Rarepepe</v>
      </c>
      <c r="G274" s="1" t="str">
        <f>IFERROR(__xludf.DUMMYFUNCTION("""COMPUTED_VALUE"""),"Series 21")</f>
        <v>Series 21</v>
      </c>
      <c r="H274" s="1" t="s">
        <v>71</v>
      </c>
      <c r="I274" s="1" t="s">
        <v>288</v>
      </c>
      <c r="J274" s="4">
        <v>42917.0</v>
      </c>
      <c r="K274" s="1">
        <v>200.0</v>
      </c>
      <c r="L274" s="1">
        <v>200.0</v>
      </c>
      <c r="M274" s="1">
        <v>1028.0</v>
      </c>
    </row>
    <row r="275">
      <c r="A275" s="1" t="s">
        <v>677</v>
      </c>
      <c r="B275" s="3" t="s">
        <v>678</v>
      </c>
      <c r="C275" s="1" t="s">
        <v>16</v>
      </c>
      <c r="D275" s="1" t="s">
        <v>71</v>
      </c>
      <c r="E275" s="1" t="s">
        <v>679</v>
      </c>
      <c r="F275" s="1" t="str">
        <f>IFERROR(__xludf.DUMMYFUNCTION("SPLIT(E275,""&gt;"")"),"Japanese Rarepepe")</f>
        <v>Japanese Rarepepe</v>
      </c>
      <c r="G275" s="1" t="str">
        <f>IFERROR(__xludf.DUMMYFUNCTION("""COMPUTED_VALUE"""),"Series 23")</f>
        <v>Series 23</v>
      </c>
      <c r="H275" s="1" t="s">
        <v>71</v>
      </c>
      <c r="I275" s="1" t="s">
        <v>288</v>
      </c>
      <c r="J275" s="4">
        <v>42917.0</v>
      </c>
      <c r="K275" s="1">
        <v>100.0</v>
      </c>
      <c r="L275" s="1">
        <v>100.0</v>
      </c>
      <c r="M275" s="1">
        <v>1134.0</v>
      </c>
    </row>
    <row r="276">
      <c r="A276" s="1" t="s">
        <v>680</v>
      </c>
      <c r="B276" s="3" t="s">
        <v>681</v>
      </c>
      <c r="C276" s="1" t="s">
        <v>16</v>
      </c>
      <c r="D276" s="1" t="s">
        <v>34</v>
      </c>
      <c r="E276" s="1" t="s">
        <v>18</v>
      </c>
      <c r="F276" s="1" t="str">
        <f>IFERROR(__xludf.DUMMYFUNCTION("SPLIT(E276,""&gt;"")"),"Badger Capsule")</f>
        <v>Badger Capsule</v>
      </c>
      <c r="G276" s="1" t="str">
        <f>IFERROR(__xludf.DUMMYFUNCTION("""COMPUTED_VALUE"""),"Series 1")</f>
        <v>Series 1</v>
      </c>
      <c r="H276" s="1" t="s">
        <v>34</v>
      </c>
      <c r="I276" s="1" t="s">
        <v>56</v>
      </c>
      <c r="J276" s="4">
        <v>44531.0</v>
      </c>
      <c r="K276" s="1">
        <v>250.0</v>
      </c>
      <c r="L276" s="1">
        <v>250.0</v>
      </c>
      <c r="M276" s="1">
        <v>18.0</v>
      </c>
    </row>
    <row r="277">
      <c r="A277" s="1" t="s">
        <v>682</v>
      </c>
      <c r="B277" s="3" t="s">
        <v>683</v>
      </c>
      <c r="C277" s="1" t="s">
        <v>16</v>
      </c>
      <c r="D277" s="1" t="s">
        <v>44</v>
      </c>
      <c r="E277" s="1" t="s">
        <v>39</v>
      </c>
      <c r="F277" s="1" t="str">
        <f>IFERROR(__xludf.DUMMYFUNCTION("SPLIT(E277,""&gt;"")"),"Badger Capsule")</f>
        <v>Badger Capsule</v>
      </c>
      <c r="G277" s="1" t="str">
        <f>IFERROR(__xludf.DUMMYFUNCTION("""COMPUTED_VALUE"""),"Badger Innovation Zone")</f>
        <v>Badger Innovation Zone</v>
      </c>
      <c r="H277" s="1" t="s">
        <v>44</v>
      </c>
      <c r="I277" s="1" t="s">
        <v>56</v>
      </c>
      <c r="J277" s="4">
        <v>44531.0</v>
      </c>
      <c r="K277" s="1">
        <v>500.0</v>
      </c>
      <c r="L277" s="1">
        <v>500.0</v>
      </c>
      <c r="M277" s="1">
        <v>19.0</v>
      </c>
    </row>
    <row r="278">
      <c r="A278" s="1" t="s">
        <v>684</v>
      </c>
      <c r="B278" s="3" t="s">
        <v>685</v>
      </c>
      <c r="C278" s="1" t="s">
        <v>16</v>
      </c>
      <c r="D278" s="1" t="s">
        <v>53</v>
      </c>
      <c r="E278" s="1" t="s">
        <v>18</v>
      </c>
      <c r="F278" s="1" t="str">
        <f>IFERROR(__xludf.DUMMYFUNCTION("SPLIT(E278,""&gt;"")"),"Badger Capsule")</f>
        <v>Badger Capsule</v>
      </c>
      <c r="G278" s="1" t="str">
        <f>IFERROR(__xludf.DUMMYFUNCTION("""COMPUTED_VALUE"""),"Series 1")</f>
        <v>Series 1</v>
      </c>
      <c r="H278" s="1" t="s">
        <v>53</v>
      </c>
      <c r="I278" s="1" t="s">
        <v>56</v>
      </c>
      <c r="J278" s="4">
        <v>44531.0</v>
      </c>
      <c r="K278" s="1">
        <v>250.0</v>
      </c>
      <c r="L278" s="1">
        <v>250.0</v>
      </c>
      <c r="M278" s="1">
        <v>20.0</v>
      </c>
    </row>
    <row r="279">
      <c r="A279" s="1" t="s">
        <v>686</v>
      </c>
      <c r="B279" s="3" t="s">
        <v>687</v>
      </c>
      <c r="C279" s="1" t="s">
        <v>16</v>
      </c>
      <c r="D279" s="1" t="s">
        <v>293</v>
      </c>
      <c r="E279" s="1" t="s">
        <v>39</v>
      </c>
      <c r="F279" s="1" t="str">
        <f>IFERROR(__xludf.DUMMYFUNCTION("SPLIT(E279,""&gt;"")"),"Badger Capsule")</f>
        <v>Badger Capsule</v>
      </c>
      <c r="G279" s="1" t="str">
        <f>IFERROR(__xludf.DUMMYFUNCTION("""COMPUTED_VALUE"""),"Badger Innovation Zone")</f>
        <v>Badger Innovation Zone</v>
      </c>
      <c r="H279" s="1" t="s">
        <v>293</v>
      </c>
      <c r="I279" s="1" t="s">
        <v>56</v>
      </c>
      <c r="J279" s="4">
        <v>44531.0</v>
      </c>
      <c r="K279" s="1">
        <v>500.0</v>
      </c>
      <c r="L279" s="1">
        <v>500.0</v>
      </c>
      <c r="M279" s="1">
        <v>21.0</v>
      </c>
    </row>
    <row r="280" hidden="1">
      <c r="A280" s="1" t="s">
        <v>695</v>
      </c>
      <c r="B280" s="3" t="s">
        <v>1568</v>
      </c>
      <c r="C280" s="1" t="s">
        <v>1569</v>
      </c>
      <c r="D280" s="1" t="s">
        <v>593</v>
      </c>
      <c r="E280" s="1" t="s">
        <v>18</v>
      </c>
      <c r="F280" s="1"/>
      <c r="G280" s="1"/>
      <c r="H280" s="1" t="s">
        <v>593</v>
      </c>
      <c r="I280" s="1" t="s">
        <v>690</v>
      </c>
      <c r="J280" s="4">
        <v>44562.0</v>
      </c>
      <c r="K280" s="1">
        <v>250.0</v>
      </c>
      <c r="L280" s="1">
        <v>250.0</v>
      </c>
      <c r="M280" s="1">
        <v>22.0</v>
      </c>
    </row>
    <row r="281">
      <c r="A281" s="1" t="s">
        <v>688</v>
      </c>
      <c r="B281" s="3" t="s">
        <v>689</v>
      </c>
      <c r="C281" s="1" t="s">
        <v>16</v>
      </c>
      <c r="D281" s="1" t="s">
        <v>53</v>
      </c>
      <c r="E281" s="1" t="s">
        <v>39</v>
      </c>
      <c r="F281" s="1" t="str">
        <f>IFERROR(__xludf.DUMMYFUNCTION("SPLIT(E281,""&gt;"")"),"Badger Capsule")</f>
        <v>Badger Capsule</v>
      </c>
      <c r="G281" s="1" t="str">
        <f>IFERROR(__xludf.DUMMYFUNCTION("""COMPUTED_VALUE"""),"Badger Innovation Zone")</f>
        <v>Badger Innovation Zone</v>
      </c>
      <c r="H281" s="1" t="s">
        <v>53</v>
      </c>
      <c r="I281" s="1" t="s">
        <v>690</v>
      </c>
      <c r="J281" s="4">
        <v>44562.0</v>
      </c>
      <c r="K281" s="1">
        <v>500.0</v>
      </c>
      <c r="L281" s="1">
        <v>500.0</v>
      </c>
      <c r="M281" s="1">
        <v>23.0</v>
      </c>
    </row>
    <row r="282">
      <c r="A282" s="1" t="s">
        <v>691</v>
      </c>
      <c r="B282" s="3" t="s">
        <v>692</v>
      </c>
      <c r="C282" s="1" t="s">
        <v>16</v>
      </c>
      <c r="D282" s="1" t="s">
        <v>53</v>
      </c>
      <c r="E282" s="1" t="s">
        <v>18</v>
      </c>
      <c r="F282" s="1" t="str">
        <f>IFERROR(__xludf.DUMMYFUNCTION("SPLIT(E282,""&gt;"")"),"Badger Capsule")</f>
        <v>Badger Capsule</v>
      </c>
      <c r="G282" s="1" t="str">
        <f>IFERROR(__xludf.DUMMYFUNCTION("""COMPUTED_VALUE"""),"Series 1")</f>
        <v>Series 1</v>
      </c>
      <c r="H282" s="1" t="s">
        <v>53</v>
      </c>
      <c r="I282" s="1" t="s">
        <v>690</v>
      </c>
      <c r="J282" s="4">
        <v>44562.0</v>
      </c>
      <c r="K282" s="1">
        <v>250.0</v>
      </c>
      <c r="L282" s="1">
        <v>250.0</v>
      </c>
      <c r="M282" s="1">
        <v>25.0</v>
      </c>
    </row>
    <row r="283">
      <c r="A283" s="1" t="s">
        <v>693</v>
      </c>
      <c r="B283" s="3" t="s">
        <v>694</v>
      </c>
      <c r="C283" s="1" t="s">
        <v>16</v>
      </c>
      <c r="D283" s="1" t="s">
        <v>53</v>
      </c>
      <c r="E283" s="1" t="s">
        <v>39</v>
      </c>
      <c r="F283" s="1" t="str">
        <f>IFERROR(__xludf.DUMMYFUNCTION("SPLIT(E283,""&gt;"")"),"Badger Capsule")</f>
        <v>Badger Capsule</v>
      </c>
      <c r="G283" s="1" t="str">
        <f>IFERROR(__xludf.DUMMYFUNCTION("""COMPUTED_VALUE"""),"Badger Innovation Zone")</f>
        <v>Badger Innovation Zone</v>
      </c>
      <c r="H283" s="1" t="s">
        <v>53</v>
      </c>
      <c r="I283" s="1" t="s">
        <v>690</v>
      </c>
      <c r="J283" s="4">
        <v>44562.0</v>
      </c>
      <c r="K283" s="1">
        <v>500.0</v>
      </c>
      <c r="L283" s="1">
        <v>500.0</v>
      </c>
      <c r="M283" s="1">
        <v>24.0</v>
      </c>
    </row>
    <row r="284" hidden="1">
      <c r="A284" s="1" t="s">
        <v>691</v>
      </c>
      <c r="B284" s="3" t="s">
        <v>1570</v>
      </c>
      <c r="C284" s="1" t="s">
        <v>1569</v>
      </c>
      <c r="D284" s="1" t="s">
        <v>53</v>
      </c>
      <c r="E284" s="1" t="s">
        <v>18</v>
      </c>
      <c r="F284" s="1"/>
      <c r="G284" s="1"/>
      <c r="H284" s="1" t="s">
        <v>53</v>
      </c>
      <c r="I284" s="1" t="s">
        <v>690</v>
      </c>
      <c r="J284" s="4">
        <v>44562.0</v>
      </c>
      <c r="K284" s="1">
        <v>250.0</v>
      </c>
      <c r="L284" s="1">
        <v>250.0</v>
      </c>
      <c r="M284" s="1">
        <v>25.0</v>
      </c>
    </row>
    <row r="285" hidden="1">
      <c r="A285" s="1" t="s">
        <v>688</v>
      </c>
      <c r="B285" s="3" t="s">
        <v>1571</v>
      </c>
      <c r="C285" s="1" t="s">
        <v>1569</v>
      </c>
      <c r="D285" s="1" t="s">
        <v>53</v>
      </c>
      <c r="E285" s="1" t="s">
        <v>39</v>
      </c>
      <c r="F285" s="1"/>
      <c r="G285" s="1"/>
      <c r="H285" s="1" t="s">
        <v>53</v>
      </c>
      <c r="I285" s="1" t="s">
        <v>690</v>
      </c>
      <c r="J285" s="4">
        <v>44562.0</v>
      </c>
      <c r="K285" s="1">
        <v>500.0</v>
      </c>
      <c r="L285" s="1">
        <v>500.0</v>
      </c>
      <c r="M285" s="1">
        <v>23.0</v>
      </c>
    </row>
    <row r="286">
      <c r="A286" s="1" t="s">
        <v>695</v>
      </c>
      <c r="B286" s="3" t="s">
        <v>696</v>
      </c>
      <c r="C286" s="1" t="s">
        <v>16</v>
      </c>
      <c r="D286" s="1" t="s">
        <v>593</v>
      </c>
      <c r="E286" s="1" t="s">
        <v>18</v>
      </c>
      <c r="F286" s="1" t="str">
        <f>IFERROR(__xludf.DUMMYFUNCTION("SPLIT(E286,""&gt;"")"),"Badger Capsule")</f>
        <v>Badger Capsule</v>
      </c>
      <c r="G286" s="1" t="str">
        <f>IFERROR(__xludf.DUMMYFUNCTION("""COMPUTED_VALUE"""),"Series 1")</f>
        <v>Series 1</v>
      </c>
      <c r="H286" s="1" t="s">
        <v>593</v>
      </c>
      <c r="I286" s="1" t="s">
        <v>690</v>
      </c>
      <c r="J286" s="4">
        <v>44562.0</v>
      </c>
      <c r="K286" s="1">
        <v>250.0</v>
      </c>
      <c r="L286" s="1">
        <v>250.0</v>
      </c>
      <c r="M286" s="1">
        <v>22.0</v>
      </c>
    </row>
    <row r="287">
      <c r="A287" s="1" t="s">
        <v>697</v>
      </c>
      <c r="B287" s="3" t="s">
        <v>698</v>
      </c>
      <c r="C287" s="1" t="s">
        <v>16</v>
      </c>
      <c r="D287" s="1" t="s">
        <v>61</v>
      </c>
      <c r="E287" s="1" t="s">
        <v>39</v>
      </c>
      <c r="F287" s="1" t="str">
        <f>IFERROR(__xludf.DUMMYFUNCTION("SPLIT(E287,""&gt;"")"),"Badger Capsule")</f>
        <v>Badger Capsule</v>
      </c>
      <c r="G287" s="1" t="str">
        <f>IFERROR(__xludf.DUMMYFUNCTION("""COMPUTED_VALUE"""),"Badger Innovation Zone")</f>
        <v>Badger Innovation Zone</v>
      </c>
      <c r="H287" s="1" t="s">
        <v>61</v>
      </c>
      <c r="I287" s="1" t="s">
        <v>690</v>
      </c>
      <c r="J287" s="4">
        <v>44562.0</v>
      </c>
      <c r="K287" s="1">
        <v>500.0</v>
      </c>
      <c r="L287" s="1">
        <v>500.0</v>
      </c>
      <c r="M287" s="1">
        <v>26.0</v>
      </c>
    </row>
    <row r="288" hidden="1">
      <c r="A288" s="1" t="s">
        <v>697</v>
      </c>
      <c r="B288" s="3" t="s">
        <v>1572</v>
      </c>
      <c r="C288" s="1" t="s">
        <v>1569</v>
      </c>
      <c r="D288" s="1" t="s">
        <v>61</v>
      </c>
      <c r="E288" s="1" t="s">
        <v>39</v>
      </c>
      <c r="F288" s="1"/>
      <c r="G288" s="1"/>
      <c r="H288" s="1" t="s">
        <v>61</v>
      </c>
      <c r="I288" s="1" t="s">
        <v>690</v>
      </c>
      <c r="J288" s="4">
        <v>44562.0</v>
      </c>
      <c r="K288" s="1">
        <v>500.0</v>
      </c>
      <c r="L288" s="1">
        <v>500.0</v>
      </c>
      <c r="M288" s="1">
        <v>26.0</v>
      </c>
    </row>
    <row r="289">
      <c r="A289" s="1" t="s">
        <v>699</v>
      </c>
      <c r="B289" s="3" t="s">
        <v>700</v>
      </c>
      <c r="C289" s="1" t="s">
        <v>16</v>
      </c>
      <c r="D289" s="1" t="s">
        <v>61</v>
      </c>
      <c r="E289" s="1" t="s">
        <v>39</v>
      </c>
      <c r="F289" s="1" t="str">
        <f>IFERROR(__xludf.DUMMYFUNCTION("SPLIT(E289,""&gt;"")"),"Badger Capsule")</f>
        <v>Badger Capsule</v>
      </c>
      <c r="G289" s="1" t="str">
        <f>IFERROR(__xludf.DUMMYFUNCTION("""COMPUTED_VALUE"""),"Badger Innovation Zone")</f>
        <v>Badger Innovation Zone</v>
      </c>
      <c r="H289" s="1" t="s">
        <v>61</v>
      </c>
      <c r="I289" s="1" t="s">
        <v>690</v>
      </c>
      <c r="J289" s="4">
        <v>44562.0</v>
      </c>
      <c r="K289" s="1">
        <v>500.0</v>
      </c>
      <c r="L289" s="1">
        <v>500.0</v>
      </c>
      <c r="M289" s="1">
        <v>27.0</v>
      </c>
    </row>
    <row r="290" hidden="1">
      <c r="A290" s="1" t="s">
        <v>699</v>
      </c>
      <c r="B290" s="3" t="s">
        <v>1573</v>
      </c>
      <c r="C290" s="1" t="s">
        <v>1569</v>
      </c>
      <c r="D290" s="1" t="s">
        <v>61</v>
      </c>
      <c r="E290" s="1" t="s">
        <v>39</v>
      </c>
      <c r="F290" s="1"/>
      <c r="G290" s="1"/>
      <c r="H290" s="1" t="s">
        <v>61</v>
      </c>
      <c r="I290" s="1" t="s">
        <v>690</v>
      </c>
      <c r="J290" s="4">
        <v>44562.0</v>
      </c>
      <c r="K290" s="1">
        <v>500.0</v>
      </c>
      <c r="L290" s="1">
        <v>500.0</v>
      </c>
      <c r="M290" s="1">
        <v>27.0</v>
      </c>
    </row>
    <row r="291">
      <c r="A291" s="1" t="s">
        <v>701</v>
      </c>
      <c r="B291" s="3" t="s">
        <v>702</v>
      </c>
      <c r="C291" s="1" t="s">
        <v>16</v>
      </c>
      <c r="D291" s="1" t="s">
        <v>61</v>
      </c>
      <c r="E291" s="1" t="s">
        <v>39</v>
      </c>
      <c r="F291" s="1" t="str">
        <f>IFERROR(__xludf.DUMMYFUNCTION("SPLIT(E291,""&gt;"")"),"Badger Capsule")</f>
        <v>Badger Capsule</v>
      </c>
      <c r="G291" s="1" t="str">
        <f>IFERROR(__xludf.DUMMYFUNCTION("""COMPUTED_VALUE"""),"Badger Innovation Zone")</f>
        <v>Badger Innovation Zone</v>
      </c>
      <c r="H291" s="1" t="s">
        <v>61</v>
      </c>
      <c r="I291" s="1" t="s">
        <v>690</v>
      </c>
      <c r="J291" s="4">
        <v>44562.0</v>
      </c>
      <c r="K291" s="1">
        <v>500.0</v>
      </c>
      <c r="L291" s="1">
        <v>500.0</v>
      </c>
      <c r="M291" s="1">
        <v>28.0</v>
      </c>
    </row>
    <row r="292" hidden="1">
      <c r="A292" s="1" t="s">
        <v>701</v>
      </c>
      <c r="B292" s="3" t="s">
        <v>1574</v>
      </c>
      <c r="C292" s="1" t="s">
        <v>1569</v>
      </c>
      <c r="D292" s="1" t="s">
        <v>61</v>
      </c>
      <c r="E292" s="1" t="s">
        <v>39</v>
      </c>
      <c r="F292" s="1"/>
      <c r="G292" s="1"/>
      <c r="H292" s="1" t="s">
        <v>61</v>
      </c>
      <c r="I292" s="1" t="s">
        <v>690</v>
      </c>
      <c r="J292" s="4">
        <v>44562.0</v>
      </c>
      <c r="K292" s="1">
        <v>500.0</v>
      </c>
      <c r="L292" s="1">
        <v>500.0</v>
      </c>
      <c r="M292" s="1">
        <v>28.0</v>
      </c>
    </row>
    <row r="293">
      <c r="A293" s="1" t="s">
        <v>703</v>
      </c>
      <c r="B293" s="3" t="s">
        <v>704</v>
      </c>
      <c r="C293" s="1" t="s">
        <v>16</v>
      </c>
      <c r="D293" s="1" t="s">
        <v>705</v>
      </c>
      <c r="E293" s="1" t="s">
        <v>39</v>
      </c>
      <c r="F293" s="1" t="str">
        <f>IFERROR(__xludf.DUMMYFUNCTION("SPLIT(E293,""&gt;"")"),"Badger Capsule")</f>
        <v>Badger Capsule</v>
      </c>
      <c r="G293" s="1" t="str">
        <f>IFERROR(__xludf.DUMMYFUNCTION("""COMPUTED_VALUE"""),"Badger Innovation Zone")</f>
        <v>Badger Innovation Zone</v>
      </c>
      <c r="H293" s="1" t="s">
        <v>705</v>
      </c>
      <c r="I293" s="1" t="s">
        <v>690</v>
      </c>
      <c r="J293" s="4">
        <v>44562.0</v>
      </c>
      <c r="K293" s="1">
        <v>500.0</v>
      </c>
      <c r="L293" s="1">
        <v>500.0</v>
      </c>
      <c r="M293" s="1">
        <v>29.0</v>
      </c>
    </row>
    <row r="294" hidden="1">
      <c r="A294" s="1" t="s">
        <v>703</v>
      </c>
      <c r="B294" s="3" t="s">
        <v>1575</v>
      </c>
      <c r="C294" s="1" t="s">
        <v>1569</v>
      </c>
      <c r="D294" s="1" t="s">
        <v>705</v>
      </c>
      <c r="E294" s="1" t="s">
        <v>39</v>
      </c>
      <c r="F294" s="1"/>
      <c r="G294" s="1"/>
      <c r="H294" s="1" t="s">
        <v>705</v>
      </c>
      <c r="I294" s="1" t="s">
        <v>690</v>
      </c>
      <c r="J294" s="4">
        <v>44562.0</v>
      </c>
      <c r="K294" s="1">
        <v>500.0</v>
      </c>
      <c r="L294" s="1">
        <v>500.0</v>
      </c>
      <c r="M294" s="1">
        <v>29.0</v>
      </c>
    </row>
    <row r="295" hidden="1">
      <c r="A295" s="1" t="s">
        <v>26</v>
      </c>
      <c r="B295" s="3" t="s">
        <v>1576</v>
      </c>
      <c r="C295" s="1" t="s">
        <v>1569</v>
      </c>
      <c r="D295" s="1" t="s">
        <v>28</v>
      </c>
      <c r="E295" s="1" t="s">
        <v>18</v>
      </c>
      <c r="F295" s="1"/>
      <c r="G295" s="1"/>
      <c r="H295" s="1" t="s">
        <v>28</v>
      </c>
      <c r="I295" s="1" t="s">
        <v>29</v>
      </c>
      <c r="J295" s="4">
        <v>44440.0</v>
      </c>
      <c r="K295" s="1">
        <v>250.0</v>
      </c>
      <c r="L295" s="1">
        <v>250.0</v>
      </c>
      <c r="M295" s="1">
        <v>2.0</v>
      </c>
    </row>
    <row r="296">
      <c r="A296" s="1" t="s">
        <v>706</v>
      </c>
      <c r="B296" s="3" t="s">
        <v>707</v>
      </c>
      <c r="C296" s="1" t="s">
        <v>16</v>
      </c>
      <c r="D296" s="1" t="s">
        <v>708</v>
      </c>
      <c r="E296" s="1" t="s">
        <v>18</v>
      </c>
      <c r="F296" s="1" t="str">
        <f>IFERROR(__xludf.DUMMYFUNCTION("SPLIT(E296,""&gt;"")"),"Badger Capsule")</f>
        <v>Badger Capsule</v>
      </c>
      <c r="G296" s="1" t="str">
        <f>IFERROR(__xludf.DUMMYFUNCTION("""COMPUTED_VALUE"""),"Series 1")</f>
        <v>Series 1</v>
      </c>
      <c r="H296" s="1" t="s">
        <v>708</v>
      </c>
      <c r="I296" s="1" t="s">
        <v>29</v>
      </c>
      <c r="J296" s="4">
        <v>44531.0</v>
      </c>
      <c r="K296" s="1">
        <v>250.0</v>
      </c>
      <c r="L296" s="1">
        <v>250.0</v>
      </c>
      <c r="M296" s="1">
        <v>1.0</v>
      </c>
    </row>
    <row r="297" hidden="1">
      <c r="A297" s="1" t="s">
        <v>706</v>
      </c>
      <c r="B297" s="3" t="s">
        <v>1577</v>
      </c>
      <c r="C297" s="1" t="s">
        <v>1569</v>
      </c>
      <c r="D297" s="1" t="s">
        <v>708</v>
      </c>
      <c r="E297" s="1" t="s">
        <v>18</v>
      </c>
      <c r="F297" s="1"/>
      <c r="G297" s="1"/>
      <c r="H297" s="1" t="s">
        <v>708</v>
      </c>
      <c r="I297" s="1" t="s">
        <v>29</v>
      </c>
      <c r="J297" s="4">
        <v>44531.0</v>
      </c>
      <c r="K297" s="1">
        <v>250.0</v>
      </c>
      <c r="L297" s="1">
        <v>250.0</v>
      </c>
      <c r="M297" s="1">
        <v>1.0</v>
      </c>
    </row>
    <row r="298" hidden="1">
      <c r="A298" s="1" t="s">
        <v>605</v>
      </c>
      <c r="B298" s="3" t="s">
        <v>1578</v>
      </c>
      <c r="C298" s="1" t="s">
        <v>1569</v>
      </c>
      <c r="D298" s="1" t="s">
        <v>607</v>
      </c>
      <c r="E298" s="1" t="s">
        <v>608</v>
      </c>
      <c r="F298" s="1"/>
      <c r="G298" s="1"/>
      <c r="H298" s="1" t="s">
        <v>607</v>
      </c>
      <c r="I298" s="1" t="s">
        <v>609</v>
      </c>
      <c r="J298" s="4">
        <v>42644.0</v>
      </c>
      <c r="K298" s="1">
        <v>100.0</v>
      </c>
      <c r="L298" s="1">
        <v>100.0</v>
      </c>
      <c r="M298" s="1">
        <v>208.0</v>
      </c>
    </row>
    <row r="299" hidden="1">
      <c r="A299" s="1" t="s">
        <v>64</v>
      </c>
      <c r="B299" s="3" t="s">
        <v>1579</v>
      </c>
      <c r="C299" s="1" t="s">
        <v>1569</v>
      </c>
      <c r="D299" s="1" t="s">
        <v>66</v>
      </c>
      <c r="E299" s="1" t="s">
        <v>67</v>
      </c>
      <c r="F299" s="1"/>
      <c r="G299" s="1"/>
      <c r="H299" s="1" t="s">
        <v>66</v>
      </c>
      <c r="I299" s="1" t="s">
        <v>68</v>
      </c>
      <c r="J299" s="4">
        <v>42826.0</v>
      </c>
      <c r="K299" s="1">
        <v>10000.0</v>
      </c>
      <c r="L299" s="1">
        <v>10000.0</v>
      </c>
      <c r="M299" s="1">
        <v>1.0</v>
      </c>
    </row>
    <row r="300" hidden="1">
      <c r="A300" s="1" t="s">
        <v>426</v>
      </c>
      <c r="B300" s="3" t="s">
        <v>1580</v>
      </c>
      <c r="C300" s="1" t="s">
        <v>1569</v>
      </c>
      <c r="D300" s="1" t="s">
        <v>84</v>
      </c>
      <c r="E300" s="1" t="s">
        <v>428</v>
      </c>
      <c r="F300" s="1"/>
      <c r="G300" s="1"/>
      <c r="H300" s="1" t="s">
        <v>84</v>
      </c>
      <c r="I300" s="1" t="s">
        <v>288</v>
      </c>
      <c r="J300" s="4">
        <v>42917.0</v>
      </c>
      <c r="K300" s="1">
        <v>500.0</v>
      </c>
      <c r="L300" s="1">
        <v>500.0</v>
      </c>
      <c r="M300" s="1">
        <v>1.0</v>
      </c>
    </row>
    <row r="301">
      <c r="A301" s="1" t="s">
        <v>709</v>
      </c>
      <c r="B301" s="3" t="s">
        <v>710</v>
      </c>
      <c r="C301" s="1" t="s">
        <v>16</v>
      </c>
      <c r="D301" s="1" t="s">
        <v>17</v>
      </c>
      <c r="E301" s="1" t="s">
        <v>679</v>
      </c>
      <c r="F301" s="1" t="str">
        <f>IFERROR(__xludf.DUMMYFUNCTION("SPLIT(E301,""&gt;"")"),"Japanese Rarepepe")</f>
        <v>Japanese Rarepepe</v>
      </c>
      <c r="G301" s="1" t="str">
        <f>IFERROR(__xludf.DUMMYFUNCTION("""COMPUTED_VALUE"""),"Series 23")</f>
        <v>Series 23</v>
      </c>
      <c r="H301" s="1" t="s">
        <v>17</v>
      </c>
      <c r="I301" s="1" t="s">
        <v>288</v>
      </c>
      <c r="J301" s="4">
        <v>42917.0</v>
      </c>
      <c r="K301" s="1">
        <v>100.0</v>
      </c>
      <c r="L301" s="1">
        <v>100.0</v>
      </c>
      <c r="M301" s="1">
        <v>1114.0</v>
      </c>
    </row>
    <row r="302" hidden="1">
      <c r="A302" s="1" t="s">
        <v>709</v>
      </c>
      <c r="B302" s="3" t="s">
        <v>1581</v>
      </c>
      <c r="C302" s="1" t="s">
        <v>1569</v>
      </c>
      <c r="D302" s="1" t="s">
        <v>17</v>
      </c>
      <c r="E302" s="1" t="s">
        <v>679</v>
      </c>
      <c r="F302" s="1"/>
      <c r="G302" s="1"/>
      <c r="H302" s="1" t="s">
        <v>17</v>
      </c>
      <c r="I302" s="1" t="s">
        <v>288</v>
      </c>
      <c r="J302" s="4">
        <v>42917.0</v>
      </c>
      <c r="K302" s="1">
        <v>100.0</v>
      </c>
      <c r="L302" s="1">
        <v>100.0</v>
      </c>
      <c r="M302" s="1">
        <v>1114.0</v>
      </c>
    </row>
    <row r="303">
      <c r="A303" s="1" t="s">
        <v>711</v>
      </c>
      <c r="B303" s="3" t="s">
        <v>712</v>
      </c>
      <c r="C303" s="1" t="s">
        <v>16</v>
      </c>
      <c r="D303" s="1" t="s">
        <v>713</v>
      </c>
      <c r="E303" s="1" t="s">
        <v>714</v>
      </c>
      <c r="F303" s="1" t="str">
        <f>IFERROR(__xludf.DUMMYFUNCTION("SPLIT(E303,""&gt;"")"),"BitGirls")</f>
        <v>BitGirls</v>
      </c>
      <c r="G303" s="1" t="str">
        <f>IFERROR(__xludf.DUMMYFUNCTION("""COMPUTED_VALUE"""),"Block3")</f>
        <v>Block3</v>
      </c>
      <c r="H303" s="1" t="s">
        <v>713</v>
      </c>
      <c r="I303" s="1" t="s">
        <v>715</v>
      </c>
      <c r="J303" s="4">
        <v>42736.0</v>
      </c>
      <c r="K303" s="1">
        <v>500.0</v>
      </c>
      <c r="L303" s="1">
        <v>500.0</v>
      </c>
      <c r="M303" s="1">
        <v>23.0</v>
      </c>
    </row>
    <row r="304" hidden="1">
      <c r="A304" s="1" t="s">
        <v>711</v>
      </c>
      <c r="B304" s="3" t="s">
        <v>1582</v>
      </c>
      <c r="C304" s="1" t="s">
        <v>1569</v>
      </c>
      <c r="D304" s="1" t="s">
        <v>713</v>
      </c>
      <c r="E304" s="1" t="s">
        <v>714</v>
      </c>
      <c r="F304" s="1"/>
      <c r="G304" s="1"/>
      <c r="H304" s="1" t="s">
        <v>713</v>
      </c>
      <c r="I304" s="1" t="s">
        <v>715</v>
      </c>
      <c r="J304" s="4">
        <v>42736.0</v>
      </c>
      <c r="K304" s="1">
        <v>500.0</v>
      </c>
      <c r="L304" s="1">
        <v>500.0</v>
      </c>
      <c r="M304" s="1">
        <v>23.0</v>
      </c>
    </row>
    <row r="305" hidden="1">
      <c r="A305" s="1" t="s">
        <v>693</v>
      </c>
      <c r="B305" s="3" t="s">
        <v>1583</v>
      </c>
      <c r="C305" s="1" t="s">
        <v>1569</v>
      </c>
      <c r="D305" s="1" t="s">
        <v>53</v>
      </c>
      <c r="E305" s="1" t="s">
        <v>39</v>
      </c>
      <c r="F305" s="1"/>
      <c r="G305" s="1"/>
      <c r="H305" s="1" t="s">
        <v>53</v>
      </c>
      <c r="I305" s="1" t="s">
        <v>690</v>
      </c>
      <c r="J305" s="4">
        <v>44562.0</v>
      </c>
      <c r="K305" s="1">
        <v>500.0</v>
      </c>
      <c r="L305" s="1">
        <v>500.0</v>
      </c>
      <c r="M305" s="1">
        <v>24.0</v>
      </c>
    </row>
    <row r="306">
      <c r="A306" s="1" t="s">
        <v>716</v>
      </c>
      <c r="B306" s="3" t="s">
        <v>717</v>
      </c>
      <c r="C306" s="1" t="s">
        <v>16</v>
      </c>
      <c r="D306" s="1" t="s">
        <v>713</v>
      </c>
      <c r="E306" s="1" t="s">
        <v>718</v>
      </c>
      <c r="F306" s="1" t="str">
        <f>IFERROR(__xludf.DUMMYFUNCTION("SPLIT(E306,""&gt;"")"),"BitGirls")</f>
        <v>BitGirls</v>
      </c>
      <c r="G306" s="1" t="str">
        <f>IFERROR(__xludf.DUMMYFUNCTION("""COMPUTED_VALUE"""),"Block1")</f>
        <v>Block1</v>
      </c>
      <c r="H306" s="1" t="s">
        <v>713</v>
      </c>
      <c r="I306" s="1" t="s">
        <v>609</v>
      </c>
      <c r="J306" s="4">
        <v>42644.0</v>
      </c>
      <c r="K306" s="1">
        <v>500.0</v>
      </c>
      <c r="L306" s="1">
        <v>500.0</v>
      </c>
      <c r="M306" s="1">
        <v>1.0</v>
      </c>
    </row>
    <row r="307" hidden="1">
      <c r="A307" s="1" t="s">
        <v>716</v>
      </c>
      <c r="B307" s="3" t="s">
        <v>1584</v>
      </c>
      <c r="C307" s="1" t="s">
        <v>1569</v>
      </c>
      <c r="D307" s="1" t="s">
        <v>713</v>
      </c>
      <c r="E307" s="1" t="s">
        <v>718</v>
      </c>
      <c r="F307" s="1"/>
      <c r="G307" s="1"/>
      <c r="H307" s="1" t="s">
        <v>713</v>
      </c>
      <c r="I307" s="1" t="s">
        <v>609</v>
      </c>
      <c r="J307" s="4">
        <v>42644.0</v>
      </c>
      <c r="K307" s="1">
        <v>500.0</v>
      </c>
      <c r="L307" s="1">
        <v>500.0</v>
      </c>
      <c r="M307" s="1">
        <v>1.0</v>
      </c>
    </row>
    <row r="308">
      <c r="A308" s="1" t="s">
        <v>719</v>
      </c>
      <c r="B308" s="3" t="s">
        <v>720</v>
      </c>
      <c r="C308" s="1" t="s">
        <v>16</v>
      </c>
      <c r="D308" s="1" t="s">
        <v>713</v>
      </c>
      <c r="E308" s="1" t="s">
        <v>718</v>
      </c>
      <c r="F308" s="1" t="str">
        <f>IFERROR(__xludf.DUMMYFUNCTION("SPLIT(E308,""&gt;"")"),"BitGirls")</f>
        <v>BitGirls</v>
      </c>
      <c r="G308" s="1" t="str">
        <f>IFERROR(__xludf.DUMMYFUNCTION("""COMPUTED_VALUE"""),"Block1")</f>
        <v>Block1</v>
      </c>
      <c r="H308" s="1" t="s">
        <v>713</v>
      </c>
      <c r="I308" s="1" t="s">
        <v>609</v>
      </c>
      <c r="J308" s="4">
        <v>42644.0</v>
      </c>
      <c r="K308" s="1">
        <v>500.0</v>
      </c>
      <c r="L308" s="1">
        <v>500.0</v>
      </c>
      <c r="M308" s="1">
        <v>2.0</v>
      </c>
    </row>
    <row r="309" hidden="1">
      <c r="A309" s="1" t="s">
        <v>719</v>
      </c>
      <c r="B309" s="3" t="s">
        <v>1585</v>
      </c>
      <c r="C309" s="1" t="s">
        <v>1569</v>
      </c>
      <c r="D309" s="1" t="s">
        <v>713</v>
      </c>
      <c r="E309" s="1" t="s">
        <v>718</v>
      </c>
      <c r="F309" s="1"/>
      <c r="G309" s="1"/>
      <c r="H309" s="1" t="s">
        <v>713</v>
      </c>
      <c r="I309" s="1" t="s">
        <v>609</v>
      </c>
      <c r="J309" s="4">
        <v>42644.0</v>
      </c>
      <c r="K309" s="1">
        <v>500.0</v>
      </c>
      <c r="L309" s="1">
        <v>500.0</v>
      </c>
      <c r="M309" s="1">
        <v>2.0</v>
      </c>
    </row>
    <row r="310">
      <c r="A310" s="1" t="s">
        <v>721</v>
      </c>
      <c r="B310" s="3" t="s">
        <v>722</v>
      </c>
      <c r="C310" s="1" t="s">
        <v>16</v>
      </c>
      <c r="D310" s="1" t="s">
        <v>713</v>
      </c>
      <c r="E310" s="1" t="s">
        <v>718</v>
      </c>
      <c r="F310" s="1" t="str">
        <f>IFERROR(__xludf.DUMMYFUNCTION("SPLIT(E310,""&gt;"")"),"BitGirls")</f>
        <v>BitGirls</v>
      </c>
      <c r="G310" s="1" t="str">
        <f>IFERROR(__xludf.DUMMYFUNCTION("""COMPUTED_VALUE"""),"Block1")</f>
        <v>Block1</v>
      </c>
      <c r="H310" s="1" t="s">
        <v>713</v>
      </c>
      <c r="I310" s="1" t="s">
        <v>609</v>
      </c>
      <c r="J310" s="4">
        <v>42644.0</v>
      </c>
      <c r="K310" s="1">
        <v>500.0</v>
      </c>
      <c r="L310" s="1">
        <v>500.0</v>
      </c>
      <c r="M310" s="1">
        <v>3.0</v>
      </c>
    </row>
    <row r="311" hidden="1">
      <c r="A311" s="1" t="s">
        <v>721</v>
      </c>
      <c r="B311" s="3" t="s">
        <v>1586</v>
      </c>
      <c r="C311" s="1" t="s">
        <v>1569</v>
      </c>
      <c r="D311" s="1" t="s">
        <v>713</v>
      </c>
      <c r="E311" s="1" t="s">
        <v>718</v>
      </c>
      <c r="F311" s="1"/>
      <c r="G311" s="1"/>
      <c r="H311" s="1" t="s">
        <v>713</v>
      </c>
      <c r="I311" s="1" t="s">
        <v>609</v>
      </c>
      <c r="J311" s="4">
        <v>42644.0</v>
      </c>
      <c r="K311" s="1">
        <v>500.0</v>
      </c>
      <c r="L311" s="1">
        <v>500.0</v>
      </c>
      <c r="M311" s="1">
        <v>3.0</v>
      </c>
    </row>
    <row r="312">
      <c r="A312" s="1" t="s">
        <v>723</v>
      </c>
      <c r="B312" s="3" t="s">
        <v>724</v>
      </c>
      <c r="C312" s="1" t="s">
        <v>16</v>
      </c>
      <c r="D312" s="1" t="s">
        <v>713</v>
      </c>
      <c r="E312" s="1" t="s">
        <v>718</v>
      </c>
      <c r="F312" s="1" t="str">
        <f>IFERROR(__xludf.DUMMYFUNCTION("SPLIT(E312,""&gt;"")"),"BitGirls")</f>
        <v>BitGirls</v>
      </c>
      <c r="G312" s="1" t="str">
        <f>IFERROR(__xludf.DUMMYFUNCTION("""COMPUTED_VALUE"""),"Block1")</f>
        <v>Block1</v>
      </c>
      <c r="H312" s="1" t="s">
        <v>713</v>
      </c>
      <c r="I312" s="1" t="s">
        <v>609</v>
      </c>
      <c r="J312" s="4">
        <v>42644.0</v>
      </c>
      <c r="K312" s="1">
        <v>500.0</v>
      </c>
      <c r="L312" s="1">
        <v>500.0</v>
      </c>
      <c r="M312" s="1">
        <v>4.0</v>
      </c>
    </row>
    <row r="313" hidden="1">
      <c r="A313" s="1" t="s">
        <v>723</v>
      </c>
      <c r="B313" s="3" t="s">
        <v>1587</v>
      </c>
      <c r="C313" s="1" t="s">
        <v>1569</v>
      </c>
      <c r="D313" s="1" t="s">
        <v>713</v>
      </c>
      <c r="E313" s="1" t="s">
        <v>718</v>
      </c>
      <c r="F313" s="1"/>
      <c r="G313" s="1"/>
      <c r="H313" s="1" t="s">
        <v>713</v>
      </c>
      <c r="I313" s="1" t="s">
        <v>609</v>
      </c>
      <c r="J313" s="4">
        <v>42644.0</v>
      </c>
      <c r="K313" s="1">
        <v>500.0</v>
      </c>
      <c r="L313" s="1">
        <v>500.0</v>
      </c>
      <c r="M313" s="1">
        <v>4.0</v>
      </c>
    </row>
    <row r="314">
      <c r="A314" s="1" t="s">
        <v>725</v>
      </c>
      <c r="B314" s="3" t="s">
        <v>726</v>
      </c>
      <c r="C314" s="1" t="s">
        <v>16</v>
      </c>
      <c r="D314" s="1" t="s">
        <v>713</v>
      </c>
      <c r="E314" s="1" t="s">
        <v>718</v>
      </c>
      <c r="F314" s="1" t="str">
        <f>IFERROR(__xludf.DUMMYFUNCTION("SPLIT(E314,""&gt;"")"),"BitGirls")</f>
        <v>BitGirls</v>
      </c>
      <c r="G314" s="1" t="str">
        <f>IFERROR(__xludf.DUMMYFUNCTION("""COMPUTED_VALUE"""),"Block1")</f>
        <v>Block1</v>
      </c>
      <c r="H314" s="1" t="s">
        <v>713</v>
      </c>
      <c r="I314" s="1" t="s">
        <v>609</v>
      </c>
      <c r="J314" s="4">
        <v>42644.0</v>
      </c>
      <c r="K314" s="1">
        <v>500.0</v>
      </c>
      <c r="L314" s="1">
        <v>500.0</v>
      </c>
      <c r="M314" s="1">
        <v>5.0</v>
      </c>
    </row>
    <row r="315" hidden="1">
      <c r="A315" s="1" t="s">
        <v>725</v>
      </c>
      <c r="B315" s="3" t="s">
        <v>1588</v>
      </c>
      <c r="C315" s="1" t="s">
        <v>1569</v>
      </c>
      <c r="D315" s="1" t="s">
        <v>713</v>
      </c>
      <c r="E315" s="1" t="s">
        <v>718</v>
      </c>
      <c r="F315" s="1"/>
      <c r="G315" s="1"/>
      <c r="H315" s="1" t="s">
        <v>713</v>
      </c>
      <c r="I315" s="1" t="s">
        <v>609</v>
      </c>
      <c r="J315" s="4">
        <v>42644.0</v>
      </c>
      <c r="K315" s="1">
        <v>500.0</v>
      </c>
      <c r="L315" s="1">
        <v>500.0</v>
      </c>
      <c r="M315" s="1">
        <v>5.0</v>
      </c>
    </row>
    <row r="316">
      <c r="A316" s="1" t="s">
        <v>727</v>
      </c>
      <c r="B316" s="3" t="s">
        <v>728</v>
      </c>
      <c r="C316" s="1" t="s">
        <v>16</v>
      </c>
      <c r="D316" s="1" t="s">
        <v>713</v>
      </c>
      <c r="E316" s="1" t="s">
        <v>718</v>
      </c>
      <c r="F316" s="1" t="str">
        <f>IFERROR(__xludf.DUMMYFUNCTION("SPLIT(E316,""&gt;"")"),"BitGirls")</f>
        <v>BitGirls</v>
      </c>
      <c r="G316" s="1" t="str">
        <f>IFERROR(__xludf.DUMMYFUNCTION("""COMPUTED_VALUE"""),"Block1")</f>
        <v>Block1</v>
      </c>
      <c r="H316" s="1" t="s">
        <v>713</v>
      </c>
      <c r="I316" s="1" t="s">
        <v>609</v>
      </c>
      <c r="J316" s="4">
        <v>42644.0</v>
      </c>
      <c r="K316" s="1">
        <v>500.0</v>
      </c>
      <c r="L316" s="1">
        <v>500.0</v>
      </c>
      <c r="M316" s="1">
        <v>6.0</v>
      </c>
    </row>
    <row r="317" hidden="1">
      <c r="A317" s="1" t="s">
        <v>727</v>
      </c>
      <c r="B317" s="3" t="s">
        <v>1589</v>
      </c>
      <c r="C317" s="1" t="s">
        <v>1569</v>
      </c>
      <c r="D317" s="1" t="s">
        <v>713</v>
      </c>
      <c r="E317" s="1" t="s">
        <v>718</v>
      </c>
      <c r="F317" s="1"/>
      <c r="G317" s="1"/>
      <c r="H317" s="1" t="s">
        <v>713</v>
      </c>
      <c r="I317" s="1" t="s">
        <v>609</v>
      </c>
      <c r="J317" s="4">
        <v>42644.0</v>
      </c>
      <c r="K317" s="1">
        <v>500.0</v>
      </c>
      <c r="L317" s="1">
        <v>500.0</v>
      </c>
      <c r="M317" s="1">
        <v>6.0</v>
      </c>
    </row>
    <row r="318">
      <c r="A318" s="1" t="s">
        <v>729</v>
      </c>
      <c r="B318" s="3" t="s">
        <v>730</v>
      </c>
      <c r="C318" s="1" t="s">
        <v>16</v>
      </c>
      <c r="D318" s="1" t="s">
        <v>713</v>
      </c>
      <c r="E318" s="1" t="s">
        <v>731</v>
      </c>
      <c r="F318" s="1" t="str">
        <f>IFERROR(__xludf.DUMMYFUNCTION("SPLIT(E318,""&gt;"")"),"BitGirls")</f>
        <v>BitGirls</v>
      </c>
      <c r="G318" s="1" t="str">
        <f>IFERROR(__xludf.DUMMYFUNCTION("""COMPUTED_VALUE"""),"Block2")</f>
        <v>Block2</v>
      </c>
      <c r="H318" s="1" t="s">
        <v>713</v>
      </c>
      <c r="I318" s="1" t="s">
        <v>622</v>
      </c>
      <c r="J318" s="4">
        <v>42675.0</v>
      </c>
      <c r="K318" s="1">
        <v>500.0</v>
      </c>
      <c r="L318" s="1">
        <v>500.0</v>
      </c>
      <c r="M318" s="1">
        <v>7.0</v>
      </c>
    </row>
    <row r="319" hidden="1">
      <c r="A319" s="1" t="s">
        <v>729</v>
      </c>
      <c r="B319" s="3" t="s">
        <v>1590</v>
      </c>
      <c r="C319" s="1" t="s">
        <v>1569</v>
      </c>
      <c r="D319" s="1" t="s">
        <v>713</v>
      </c>
      <c r="E319" s="1" t="s">
        <v>731</v>
      </c>
      <c r="F319" s="1"/>
      <c r="G319" s="1"/>
      <c r="H319" s="1" t="s">
        <v>713</v>
      </c>
      <c r="I319" s="1" t="s">
        <v>622</v>
      </c>
      <c r="J319" s="4">
        <v>42675.0</v>
      </c>
      <c r="K319" s="1">
        <v>500.0</v>
      </c>
      <c r="L319" s="1">
        <v>500.0</v>
      </c>
      <c r="M319" s="1">
        <v>7.0</v>
      </c>
    </row>
    <row r="320">
      <c r="A320" s="1" t="s">
        <v>732</v>
      </c>
      <c r="B320" s="3" t="s">
        <v>733</v>
      </c>
      <c r="C320" s="1" t="s">
        <v>16</v>
      </c>
      <c r="D320" s="1" t="s">
        <v>713</v>
      </c>
      <c r="E320" s="1" t="s">
        <v>731</v>
      </c>
      <c r="F320" s="1" t="str">
        <f>IFERROR(__xludf.DUMMYFUNCTION("SPLIT(E320,""&gt;"")"),"BitGirls")</f>
        <v>BitGirls</v>
      </c>
      <c r="G320" s="1" t="str">
        <f>IFERROR(__xludf.DUMMYFUNCTION("""COMPUTED_VALUE"""),"Block2")</f>
        <v>Block2</v>
      </c>
      <c r="H320" s="1" t="s">
        <v>713</v>
      </c>
      <c r="I320" s="1" t="s">
        <v>622</v>
      </c>
      <c r="J320" s="4">
        <v>42675.0</v>
      </c>
      <c r="K320" s="1">
        <v>500.0</v>
      </c>
      <c r="L320" s="1">
        <v>500.0</v>
      </c>
      <c r="M320" s="1">
        <v>8.0</v>
      </c>
    </row>
    <row r="321" hidden="1">
      <c r="A321" s="1" t="s">
        <v>732</v>
      </c>
      <c r="B321" s="3" t="s">
        <v>1591</v>
      </c>
      <c r="C321" s="1" t="s">
        <v>1569</v>
      </c>
      <c r="D321" s="1" t="s">
        <v>713</v>
      </c>
      <c r="E321" s="1" t="s">
        <v>731</v>
      </c>
      <c r="F321" s="1"/>
      <c r="G321" s="1"/>
      <c r="H321" s="1" t="s">
        <v>713</v>
      </c>
      <c r="I321" s="1" t="s">
        <v>622</v>
      </c>
      <c r="J321" s="4">
        <v>42675.0</v>
      </c>
      <c r="K321" s="1">
        <v>500.0</v>
      </c>
      <c r="L321" s="1">
        <v>500.0</v>
      </c>
      <c r="M321" s="1">
        <v>8.0</v>
      </c>
    </row>
    <row r="322">
      <c r="A322" s="1" t="s">
        <v>734</v>
      </c>
      <c r="B322" s="3" t="s">
        <v>735</v>
      </c>
      <c r="C322" s="1" t="s">
        <v>16</v>
      </c>
      <c r="D322" s="1" t="s">
        <v>713</v>
      </c>
      <c r="E322" s="1" t="s">
        <v>731</v>
      </c>
      <c r="F322" s="1" t="str">
        <f>IFERROR(__xludf.DUMMYFUNCTION("SPLIT(E322,""&gt;"")"),"BitGirls")</f>
        <v>BitGirls</v>
      </c>
      <c r="G322" s="1" t="str">
        <f>IFERROR(__xludf.DUMMYFUNCTION("""COMPUTED_VALUE"""),"Block2")</f>
        <v>Block2</v>
      </c>
      <c r="H322" s="1" t="s">
        <v>713</v>
      </c>
      <c r="I322" s="1" t="s">
        <v>622</v>
      </c>
      <c r="J322" s="4">
        <v>42675.0</v>
      </c>
      <c r="K322" s="1">
        <v>500.0</v>
      </c>
      <c r="L322" s="1">
        <v>500.0</v>
      </c>
      <c r="M322" s="1">
        <v>9.0</v>
      </c>
    </row>
    <row r="323" hidden="1">
      <c r="A323" s="1" t="s">
        <v>734</v>
      </c>
      <c r="B323" s="3" t="s">
        <v>1592</v>
      </c>
      <c r="C323" s="1" t="s">
        <v>1569</v>
      </c>
      <c r="D323" s="1" t="s">
        <v>713</v>
      </c>
      <c r="E323" s="1" t="s">
        <v>731</v>
      </c>
      <c r="F323" s="1"/>
      <c r="G323" s="1"/>
      <c r="H323" s="1" t="s">
        <v>713</v>
      </c>
      <c r="I323" s="1" t="s">
        <v>622</v>
      </c>
      <c r="J323" s="4">
        <v>42675.0</v>
      </c>
      <c r="K323" s="1">
        <v>500.0</v>
      </c>
      <c r="L323" s="1">
        <v>500.0</v>
      </c>
      <c r="M323" s="1">
        <v>9.0</v>
      </c>
    </row>
    <row r="324">
      <c r="A324" s="1" t="s">
        <v>736</v>
      </c>
      <c r="B324" s="3" t="s">
        <v>737</v>
      </c>
      <c r="C324" s="1" t="s">
        <v>16</v>
      </c>
      <c r="D324" s="1" t="s">
        <v>713</v>
      </c>
      <c r="E324" s="1" t="s">
        <v>731</v>
      </c>
      <c r="F324" s="1" t="str">
        <f>IFERROR(__xludf.DUMMYFUNCTION("SPLIT(E324,""&gt;"")"),"BitGirls")</f>
        <v>BitGirls</v>
      </c>
      <c r="G324" s="1" t="str">
        <f>IFERROR(__xludf.DUMMYFUNCTION("""COMPUTED_VALUE"""),"Block2")</f>
        <v>Block2</v>
      </c>
      <c r="H324" s="1" t="s">
        <v>713</v>
      </c>
      <c r="I324" s="1" t="s">
        <v>622</v>
      </c>
      <c r="J324" s="4">
        <v>42675.0</v>
      </c>
      <c r="K324" s="1">
        <v>500.0</v>
      </c>
      <c r="L324" s="1">
        <v>500.0</v>
      </c>
      <c r="M324" s="1">
        <v>10.0</v>
      </c>
    </row>
    <row r="325" hidden="1">
      <c r="A325" s="1" t="s">
        <v>736</v>
      </c>
      <c r="B325" s="3" t="s">
        <v>1593</v>
      </c>
      <c r="C325" s="1" t="s">
        <v>1569</v>
      </c>
      <c r="D325" s="1" t="s">
        <v>713</v>
      </c>
      <c r="E325" s="1" t="s">
        <v>731</v>
      </c>
      <c r="F325" s="1"/>
      <c r="G325" s="1"/>
      <c r="H325" s="1" t="s">
        <v>713</v>
      </c>
      <c r="I325" s="1" t="s">
        <v>622</v>
      </c>
      <c r="J325" s="4">
        <v>42675.0</v>
      </c>
      <c r="K325" s="1">
        <v>500.0</v>
      </c>
      <c r="L325" s="1">
        <v>500.0</v>
      </c>
      <c r="M325" s="1">
        <v>10.0</v>
      </c>
    </row>
    <row r="326">
      <c r="A326" s="1" t="s">
        <v>738</v>
      </c>
      <c r="B326" s="3" t="s">
        <v>739</v>
      </c>
      <c r="C326" s="1" t="s">
        <v>16</v>
      </c>
      <c r="D326" s="1" t="s">
        <v>713</v>
      </c>
      <c r="E326" s="1" t="s">
        <v>731</v>
      </c>
      <c r="F326" s="1" t="str">
        <f>IFERROR(__xludf.DUMMYFUNCTION("SPLIT(E326,""&gt;"")"),"BitGirls")</f>
        <v>BitGirls</v>
      </c>
      <c r="G326" s="1" t="str">
        <f>IFERROR(__xludf.DUMMYFUNCTION("""COMPUTED_VALUE"""),"Block2")</f>
        <v>Block2</v>
      </c>
      <c r="H326" s="1" t="s">
        <v>713</v>
      </c>
      <c r="I326" s="1" t="s">
        <v>622</v>
      </c>
      <c r="J326" s="4">
        <v>42675.0</v>
      </c>
      <c r="K326" s="1">
        <v>500.0</v>
      </c>
      <c r="L326" s="1">
        <v>500.0</v>
      </c>
      <c r="M326" s="1">
        <v>11.0</v>
      </c>
    </row>
    <row r="327" hidden="1">
      <c r="A327" s="1" t="s">
        <v>738</v>
      </c>
      <c r="B327" s="3" t="s">
        <v>1594</v>
      </c>
      <c r="C327" s="1" t="s">
        <v>1569</v>
      </c>
      <c r="D327" s="1" t="s">
        <v>713</v>
      </c>
      <c r="E327" s="1" t="s">
        <v>731</v>
      </c>
      <c r="F327" s="1"/>
      <c r="G327" s="1"/>
      <c r="H327" s="1" t="s">
        <v>713</v>
      </c>
      <c r="I327" s="1" t="s">
        <v>622</v>
      </c>
      <c r="J327" s="4">
        <v>42675.0</v>
      </c>
      <c r="K327" s="1">
        <v>500.0</v>
      </c>
      <c r="L327" s="1">
        <v>500.0</v>
      </c>
      <c r="M327" s="1">
        <v>11.0</v>
      </c>
    </row>
    <row r="328">
      <c r="A328" s="1" t="s">
        <v>740</v>
      </c>
      <c r="B328" s="3" t="s">
        <v>741</v>
      </c>
      <c r="C328" s="1" t="s">
        <v>16</v>
      </c>
      <c r="D328" s="1" t="s">
        <v>713</v>
      </c>
      <c r="E328" s="1" t="s">
        <v>731</v>
      </c>
      <c r="F328" s="1" t="str">
        <f>IFERROR(__xludf.DUMMYFUNCTION("SPLIT(E328,""&gt;"")"),"BitGirls")</f>
        <v>BitGirls</v>
      </c>
      <c r="G328" s="1" t="str">
        <f>IFERROR(__xludf.DUMMYFUNCTION("""COMPUTED_VALUE"""),"Block2")</f>
        <v>Block2</v>
      </c>
      <c r="H328" s="1" t="s">
        <v>713</v>
      </c>
      <c r="I328" s="1" t="s">
        <v>622</v>
      </c>
      <c r="J328" s="4">
        <v>42675.0</v>
      </c>
      <c r="K328" s="1">
        <v>500.0</v>
      </c>
      <c r="L328" s="1">
        <v>500.0</v>
      </c>
      <c r="M328" s="1">
        <v>12.0</v>
      </c>
    </row>
    <row r="329" hidden="1">
      <c r="A329" s="1" t="s">
        <v>740</v>
      </c>
      <c r="B329" s="3" t="s">
        <v>1595</v>
      </c>
      <c r="C329" s="1" t="s">
        <v>1569</v>
      </c>
      <c r="D329" s="1" t="s">
        <v>713</v>
      </c>
      <c r="E329" s="1" t="s">
        <v>731</v>
      </c>
      <c r="F329" s="1"/>
      <c r="G329" s="1"/>
      <c r="H329" s="1" t="s">
        <v>713</v>
      </c>
      <c r="I329" s="1" t="s">
        <v>622</v>
      </c>
      <c r="J329" s="4">
        <v>42675.0</v>
      </c>
      <c r="K329" s="1">
        <v>500.0</v>
      </c>
      <c r="L329" s="1">
        <v>500.0</v>
      </c>
      <c r="M329" s="1">
        <v>12.0</v>
      </c>
    </row>
    <row r="330">
      <c r="A330" s="1" t="s">
        <v>742</v>
      </c>
      <c r="B330" s="3" t="s">
        <v>743</v>
      </c>
      <c r="C330" s="1" t="s">
        <v>16</v>
      </c>
      <c r="D330" s="1" t="s">
        <v>713</v>
      </c>
      <c r="E330" s="1" t="s">
        <v>744</v>
      </c>
      <c r="F330" s="1" t="str">
        <f>IFERROR(__xludf.DUMMYFUNCTION("SPLIT(E330,""&gt;"")"),"BitGirls")</f>
        <v>BitGirls</v>
      </c>
      <c r="G330" s="1" t="str">
        <f>IFERROR(__xludf.DUMMYFUNCTION("""COMPUTED_VALUE"""),"Christmas")</f>
        <v>Christmas</v>
      </c>
      <c r="H330" s="1" t="s">
        <v>713</v>
      </c>
      <c r="I330" s="1" t="s">
        <v>636</v>
      </c>
      <c r="J330" s="4">
        <v>42705.0</v>
      </c>
      <c r="K330" s="1">
        <v>1000.0</v>
      </c>
      <c r="L330" s="1">
        <v>1000.0</v>
      </c>
      <c r="M330" s="1">
        <v>13.0</v>
      </c>
    </row>
    <row r="331" hidden="1">
      <c r="A331" s="1" t="s">
        <v>742</v>
      </c>
      <c r="B331" s="3" t="s">
        <v>1596</v>
      </c>
      <c r="C331" s="1" t="s">
        <v>1569</v>
      </c>
      <c r="D331" s="1" t="s">
        <v>713</v>
      </c>
      <c r="E331" s="1" t="s">
        <v>744</v>
      </c>
      <c r="F331" s="1"/>
      <c r="G331" s="1"/>
      <c r="H331" s="1" t="s">
        <v>713</v>
      </c>
      <c r="I331" s="1" t="s">
        <v>636</v>
      </c>
      <c r="J331" s="4">
        <v>42705.0</v>
      </c>
      <c r="K331" s="1">
        <v>1000.0</v>
      </c>
      <c r="L331" s="1">
        <v>1000.0</v>
      </c>
      <c r="M331" s="1">
        <v>13.0</v>
      </c>
    </row>
    <row r="332">
      <c r="A332" s="1" t="s">
        <v>745</v>
      </c>
      <c r="B332" s="3" t="s">
        <v>746</v>
      </c>
      <c r="C332" s="1" t="s">
        <v>16</v>
      </c>
      <c r="D332" s="1" t="s">
        <v>713</v>
      </c>
      <c r="E332" s="1" t="s">
        <v>744</v>
      </c>
      <c r="F332" s="1" t="str">
        <f>IFERROR(__xludf.DUMMYFUNCTION("SPLIT(E332,""&gt;"")"),"BitGirls")</f>
        <v>BitGirls</v>
      </c>
      <c r="G332" s="1" t="str">
        <f>IFERROR(__xludf.DUMMYFUNCTION("""COMPUTED_VALUE"""),"Christmas")</f>
        <v>Christmas</v>
      </c>
      <c r="H332" s="1" t="s">
        <v>713</v>
      </c>
      <c r="I332" s="1" t="s">
        <v>636</v>
      </c>
      <c r="J332" s="4">
        <v>42705.0</v>
      </c>
      <c r="K332" s="1">
        <v>1000.0</v>
      </c>
      <c r="L332" s="1">
        <v>1000.0</v>
      </c>
      <c r="M332" s="1">
        <v>14.0</v>
      </c>
    </row>
    <row r="333" hidden="1">
      <c r="A333" s="1" t="s">
        <v>745</v>
      </c>
      <c r="B333" s="3" t="s">
        <v>1597</v>
      </c>
      <c r="C333" s="1" t="s">
        <v>1569</v>
      </c>
      <c r="D333" s="1" t="s">
        <v>713</v>
      </c>
      <c r="E333" s="1" t="s">
        <v>744</v>
      </c>
      <c r="F333" s="1"/>
      <c r="G333" s="1"/>
      <c r="H333" s="1" t="s">
        <v>713</v>
      </c>
      <c r="I333" s="1" t="s">
        <v>636</v>
      </c>
      <c r="J333" s="4">
        <v>42705.0</v>
      </c>
      <c r="K333" s="1">
        <v>1000.0</v>
      </c>
      <c r="L333" s="1">
        <v>1000.0</v>
      </c>
      <c r="M333" s="1">
        <v>14.0</v>
      </c>
    </row>
    <row r="334">
      <c r="A334" s="1" t="s">
        <v>747</v>
      </c>
      <c r="B334" s="3" t="s">
        <v>748</v>
      </c>
      <c r="C334" s="1" t="s">
        <v>16</v>
      </c>
      <c r="D334" s="1" t="s">
        <v>713</v>
      </c>
      <c r="E334" s="1" t="s">
        <v>744</v>
      </c>
      <c r="F334" s="1" t="str">
        <f>IFERROR(__xludf.DUMMYFUNCTION("SPLIT(E334,""&gt;"")"),"BitGirls")</f>
        <v>BitGirls</v>
      </c>
      <c r="G334" s="1" t="str">
        <f>IFERROR(__xludf.DUMMYFUNCTION("""COMPUTED_VALUE"""),"Christmas")</f>
        <v>Christmas</v>
      </c>
      <c r="H334" s="1" t="s">
        <v>713</v>
      </c>
      <c r="I334" s="1" t="s">
        <v>636</v>
      </c>
      <c r="J334" s="4">
        <v>42705.0</v>
      </c>
      <c r="K334" s="1">
        <v>1000.0</v>
      </c>
      <c r="L334" s="1">
        <v>1000.0</v>
      </c>
      <c r="M334" s="1">
        <v>15.0</v>
      </c>
    </row>
    <row r="335" hidden="1">
      <c r="A335" s="1" t="s">
        <v>747</v>
      </c>
      <c r="B335" s="3" t="s">
        <v>1598</v>
      </c>
      <c r="C335" s="1" t="s">
        <v>1569</v>
      </c>
      <c r="D335" s="1" t="s">
        <v>713</v>
      </c>
      <c r="E335" s="1" t="s">
        <v>744</v>
      </c>
      <c r="F335" s="1"/>
      <c r="G335" s="1"/>
      <c r="H335" s="1" t="s">
        <v>713</v>
      </c>
      <c r="I335" s="1" t="s">
        <v>636</v>
      </c>
      <c r="J335" s="4">
        <v>42705.0</v>
      </c>
      <c r="K335" s="1">
        <v>1000.0</v>
      </c>
      <c r="L335" s="1">
        <v>1000.0</v>
      </c>
      <c r="M335" s="1">
        <v>15.0</v>
      </c>
    </row>
    <row r="336">
      <c r="A336" s="1" t="s">
        <v>749</v>
      </c>
      <c r="B336" s="3" t="s">
        <v>750</v>
      </c>
      <c r="C336" s="1" t="s">
        <v>16</v>
      </c>
      <c r="D336" s="1" t="s">
        <v>713</v>
      </c>
      <c r="E336" s="1" t="s">
        <v>744</v>
      </c>
      <c r="F336" s="1" t="str">
        <f>IFERROR(__xludf.DUMMYFUNCTION("SPLIT(E336,""&gt;"")"),"BitGirls")</f>
        <v>BitGirls</v>
      </c>
      <c r="G336" s="1" t="str">
        <f>IFERROR(__xludf.DUMMYFUNCTION("""COMPUTED_VALUE"""),"Christmas")</f>
        <v>Christmas</v>
      </c>
      <c r="H336" s="1" t="s">
        <v>713</v>
      </c>
      <c r="I336" s="1" t="s">
        <v>636</v>
      </c>
      <c r="J336" s="4">
        <v>42705.0</v>
      </c>
      <c r="K336" s="1">
        <v>1000.0</v>
      </c>
      <c r="L336" s="1">
        <v>1000.0</v>
      </c>
      <c r="M336" s="1">
        <v>16.0</v>
      </c>
    </row>
    <row r="337" hidden="1">
      <c r="A337" s="1" t="s">
        <v>749</v>
      </c>
      <c r="B337" s="3" t="s">
        <v>1599</v>
      </c>
      <c r="C337" s="1" t="s">
        <v>1569</v>
      </c>
      <c r="D337" s="1" t="s">
        <v>713</v>
      </c>
      <c r="E337" s="1" t="s">
        <v>744</v>
      </c>
      <c r="F337" s="1"/>
      <c r="G337" s="1"/>
      <c r="H337" s="1" t="s">
        <v>713</v>
      </c>
      <c r="I337" s="1" t="s">
        <v>636</v>
      </c>
      <c r="J337" s="4">
        <v>42705.0</v>
      </c>
      <c r="K337" s="1">
        <v>1000.0</v>
      </c>
      <c r="L337" s="1">
        <v>1000.0</v>
      </c>
      <c r="M337" s="1">
        <v>16.0</v>
      </c>
    </row>
    <row r="338">
      <c r="A338" s="1" t="s">
        <v>751</v>
      </c>
      <c r="B338" s="3" t="s">
        <v>752</v>
      </c>
      <c r="C338" s="1" t="s">
        <v>16</v>
      </c>
      <c r="D338" s="1" t="s">
        <v>713</v>
      </c>
      <c r="E338" s="1" t="s">
        <v>744</v>
      </c>
      <c r="F338" s="1" t="str">
        <f>IFERROR(__xludf.DUMMYFUNCTION("SPLIT(E338,""&gt;"")"),"BitGirls")</f>
        <v>BitGirls</v>
      </c>
      <c r="G338" s="1" t="str">
        <f>IFERROR(__xludf.DUMMYFUNCTION("""COMPUTED_VALUE"""),"Christmas")</f>
        <v>Christmas</v>
      </c>
      <c r="H338" s="1" t="s">
        <v>713</v>
      </c>
      <c r="I338" s="1" t="s">
        <v>636</v>
      </c>
      <c r="J338" s="4">
        <v>42705.0</v>
      </c>
      <c r="K338" s="1">
        <v>1000.0</v>
      </c>
      <c r="L338" s="1">
        <v>1000.0</v>
      </c>
      <c r="M338" s="1">
        <v>17.0</v>
      </c>
    </row>
    <row r="339" hidden="1">
      <c r="A339" s="1" t="s">
        <v>751</v>
      </c>
      <c r="B339" s="3" t="s">
        <v>1600</v>
      </c>
      <c r="C339" s="1" t="s">
        <v>1569</v>
      </c>
      <c r="D339" s="1" t="s">
        <v>713</v>
      </c>
      <c r="E339" s="1" t="s">
        <v>744</v>
      </c>
      <c r="F339" s="1"/>
      <c r="G339" s="1"/>
      <c r="H339" s="1" t="s">
        <v>713</v>
      </c>
      <c r="I339" s="1" t="s">
        <v>636</v>
      </c>
      <c r="J339" s="4">
        <v>42705.0</v>
      </c>
      <c r="K339" s="1">
        <v>1000.0</v>
      </c>
      <c r="L339" s="1">
        <v>1000.0</v>
      </c>
      <c r="M339" s="1">
        <v>17.0</v>
      </c>
    </row>
    <row r="340">
      <c r="A340" s="1" t="s">
        <v>753</v>
      </c>
      <c r="B340" s="3" t="s">
        <v>754</v>
      </c>
      <c r="C340" s="1" t="s">
        <v>16</v>
      </c>
      <c r="D340" s="1" t="s">
        <v>713</v>
      </c>
      <c r="E340" s="1" t="s">
        <v>744</v>
      </c>
      <c r="F340" s="1" t="str">
        <f>IFERROR(__xludf.DUMMYFUNCTION("SPLIT(E340,""&gt;"")"),"BitGirls")</f>
        <v>BitGirls</v>
      </c>
      <c r="G340" s="1" t="str">
        <f>IFERROR(__xludf.DUMMYFUNCTION("""COMPUTED_VALUE"""),"Christmas")</f>
        <v>Christmas</v>
      </c>
      <c r="H340" s="1" t="s">
        <v>713</v>
      </c>
      <c r="I340" s="1" t="s">
        <v>636</v>
      </c>
      <c r="J340" s="4">
        <v>42705.0</v>
      </c>
      <c r="K340" s="1">
        <v>1000.0</v>
      </c>
      <c r="L340" s="1">
        <v>1000.0</v>
      </c>
      <c r="M340" s="1">
        <v>18.0</v>
      </c>
    </row>
    <row r="341" hidden="1">
      <c r="A341" s="1" t="s">
        <v>753</v>
      </c>
      <c r="B341" s="3" t="s">
        <v>1601</v>
      </c>
      <c r="C341" s="1" t="s">
        <v>1569</v>
      </c>
      <c r="D341" s="1" t="s">
        <v>713</v>
      </c>
      <c r="E341" s="1" t="s">
        <v>744</v>
      </c>
      <c r="F341" s="1"/>
      <c r="G341" s="1"/>
      <c r="H341" s="1" t="s">
        <v>713</v>
      </c>
      <c r="I341" s="1" t="s">
        <v>636</v>
      </c>
      <c r="J341" s="4">
        <v>42705.0</v>
      </c>
      <c r="K341" s="1">
        <v>1000.0</v>
      </c>
      <c r="L341" s="1">
        <v>1000.0</v>
      </c>
      <c r="M341" s="1">
        <v>18.0</v>
      </c>
    </row>
    <row r="342">
      <c r="A342" s="1" t="s">
        <v>755</v>
      </c>
      <c r="B342" s="3" t="s">
        <v>756</v>
      </c>
      <c r="C342" s="1" t="s">
        <v>16</v>
      </c>
      <c r="D342" s="1" t="s">
        <v>84</v>
      </c>
      <c r="E342" s="1" t="s">
        <v>589</v>
      </c>
      <c r="F342" s="1" t="str">
        <f>IFERROR(__xludf.DUMMYFUNCTION("SPLIT(E342,""&gt;"")"),"Japanese Rarepepe")</f>
        <v>Japanese Rarepepe</v>
      </c>
      <c r="G342" s="1" t="str">
        <f>IFERROR(__xludf.DUMMYFUNCTION("""COMPUTED_VALUE"""),"Series 17")</f>
        <v>Series 17</v>
      </c>
      <c r="H342" s="1" t="s">
        <v>84</v>
      </c>
      <c r="I342" s="1" t="s">
        <v>590</v>
      </c>
      <c r="J342" s="4">
        <v>42795.0</v>
      </c>
      <c r="K342" s="1">
        <v>200.0</v>
      </c>
      <c r="L342" s="1">
        <v>200.0</v>
      </c>
      <c r="M342" s="1">
        <v>849.0</v>
      </c>
    </row>
    <row r="343" hidden="1">
      <c r="A343" s="1" t="s">
        <v>755</v>
      </c>
      <c r="B343" s="3" t="s">
        <v>1602</v>
      </c>
      <c r="C343" s="1" t="s">
        <v>1569</v>
      </c>
      <c r="D343" s="1" t="s">
        <v>84</v>
      </c>
      <c r="E343" s="1" t="s">
        <v>589</v>
      </c>
      <c r="F343" s="1"/>
      <c r="G343" s="1"/>
      <c r="H343" s="1" t="s">
        <v>84</v>
      </c>
      <c r="I343" s="1" t="s">
        <v>590</v>
      </c>
      <c r="J343" s="4">
        <v>42795.0</v>
      </c>
      <c r="K343" s="1">
        <v>200.0</v>
      </c>
      <c r="L343" s="1">
        <v>200.0</v>
      </c>
      <c r="M343" s="1">
        <v>849.0</v>
      </c>
    </row>
    <row r="344">
      <c r="A344" s="1" t="s">
        <v>757</v>
      </c>
      <c r="B344" s="3" t="s">
        <v>758</v>
      </c>
      <c r="C344" s="1" t="s">
        <v>16</v>
      </c>
      <c r="D344" s="1" t="s">
        <v>84</v>
      </c>
      <c r="E344" s="1" t="s">
        <v>759</v>
      </c>
      <c r="F344" s="1" t="str">
        <f>IFERROR(__xludf.DUMMYFUNCTION("SPLIT(E344,""&gt;"")"),"Japanese Rarepepe")</f>
        <v>Japanese Rarepepe</v>
      </c>
      <c r="G344" s="1" t="str">
        <f>IFERROR(__xludf.DUMMYFUNCTION("""COMPUTED_VALUE"""),"Series 18")</f>
        <v>Series 18</v>
      </c>
      <c r="H344" s="1" t="s">
        <v>84</v>
      </c>
      <c r="I344" s="1" t="s">
        <v>590</v>
      </c>
      <c r="J344" s="4">
        <v>42795.0</v>
      </c>
      <c r="K344" s="1">
        <v>200.0</v>
      </c>
      <c r="L344" s="1">
        <v>200.0</v>
      </c>
      <c r="M344" s="1">
        <v>859.0</v>
      </c>
    </row>
    <row r="345" hidden="1">
      <c r="A345" s="1" t="s">
        <v>757</v>
      </c>
      <c r="B345" s="3" t="s">
        <v>1603</v>
      </c>
      <c r="C345" s="1" t="s">
        <v>1569</v>
      </c>
      <c r="D345" s="1" t="s">
        <v>84</v>
      </c>
      <c r="E345" s="1" t="s">
        <v>759</v>
      </c>
      <c r="F345" s="1"/>
      <c r="G345" s="1"/>
      <c r="H345" s="1" t="s">
        <v>84</v>
      </c>
      <c r="I345" s="1" t="s">
        <v>590</v>
      </c>
      <c r="J345" s="4">
        <v>42795.0</v>
      </c>
      <c r="K345" s="1">
        <v>200.0</v>
      </c>
      <c r="L345" s="1">
        <v>200.0</v>
      </c>
      <c r="M345" s="1">
        <v>859.0</v>
      </c>
    </row>
    <row r="346">
      <c r="A346" s="1" t="s">
        <v>760</v>
      </c>
      <c r="B346" s="3" t="s">
        <v>761</v>
      </c>
      <c r="C346" s="1" t="s">
        <v>16</v>
      </c>
      <c r="D346" s="1" t="s">
        <v>84</v>
      </c>
      <c r="E346" s="1" t="s">
        <v>759</v>
      </c>
      <c r="F346" s="1" t="str">
        <f>IFERROR(__xludf.DUMMYFUNCTION("SPLIT(E346,""&gt;"")"),"Japanese Rarepepe")</f>
        <v>Japanese Rarepepe</v>
      </c>
      <c r="G346" s="1" t="str">
        <f>IFERROR(__xludf.DUMMYFUNCTION("""COMPUTED_VALUE"""),"Series 18")</f>
        <v>Series 18</v>
      </c>
      <c r="H346" s="1" t="s">
        <v>84</v>
      </c>
      <c r="I346" s="1" t="s">
        <v>590</v>
      </c>
      <c r="J346" s="4">
        <v>42795.0</v>
      </c>
      <c r="K346" s="1">
        <v>200.0</v>
      </c>
      <c r="L346" s="1">
        <v>200.0</v>
      </c>
      <c r="M346" s="1">
        <v>871.0</v>
      </c>
    </row>
    <row r="347" hidden="1">
      <c r="A347" s="1" t="s">
        <v>760</v>
      </c>
      <c r="B347" s="3" t="s">
        <v>1604</v>
      </c>
      <c r="C347" s="1" t="s">
        <v>1569</v>
      </c>
      <c r="D347" s="1" t="s">
        <v>84</v>
      </c>
      <c r="E347" s="1" t="s">
        <v>759</v>
      </c>
      <c r="F347" s="1"/>
      <c r="G347" s="1"/>
      <c r="H347" s="1" t="s">
        <v>84</v>
      </c>
      <c r="I347" s="1" t="s">
        <v>590</v>
      </c>
      <c r="J347" s="4">
        <v>42795.0</v>
      </c>
      <c r="K347" s="1">
        <v>200.0</v>
      </c>
      <c r="L347" s="1">
        <v>200.0</v>
      </c>
      <c r="M347" s="1">
        <v>871.0</v>
      </c>
    </row>
    <row r="348">
      <c r="A348" s="1" t="s">
        <v>762</v>
      </c>
      <c r="B348" s="3" t="s">
        <v>763</v>
      </c>
      <c r="C348" s="1" t="s">
        <v>16</v>
      </c>
      <c r="D348" s="1" t="s">
        <v>84</v>
      </c>
      <c r="E348" s="1" t="s">
        <v>674</v>
      </c>
      <c r="F348" s="1" t="str">
        <f>IFERROR(__xludf.DUMMYFUNCTION("SPLIT(E348,""&gt;"")"),"Japanese Rarepepe")</f>
        <v>Japanese Rarepepe</v>
      </c>
      <c r="G348" s="1" t="str">
        <f>IFERROR(__xludf.DUMMYFUNCTION("""COMPUTED_VALUE"""),"Series 20")</f>
        <v>Series 20</v>
      </c>
      <c r="H348" s="1" t="s">
        <v>84</v>
      </c>
      <c r="I348" s="1" t="s">
        <v>132</v>
      </c>
      <c r="J348" s="4">
        <v>42856.0</v>
      </c>
      <c r="K348" s="1">
        <v>10000.0</v>
      </c>
      <c r="L348" s="1">
        <v>10000.0</v>
      </c>
      <c r="M348" s="1">
        <v>958.0</v>
      </c>
    </row>
    <row r="349" hidden="1">
      <c r="A349" s="1" t="s">
        <v>762</v>
      </c>
      <c r="B349" s="3" t="s">
        <v>1605</v>
      </c>
      <c r="C349" s="1" t="s">
        <v>1569</v>
      </c>
      <c r="D349" s="1" t="s">
        <v>84</v>
      </c>
      <c r="E349" s="1" t="s">
        <v>674</v>
      </c>
      <c r="F349" s="1"/>
      <c r="G349" s="1"/>
      <c r="H349" s="1" t="s">
        <v>84</v>
      </c>
      <c r="I349" s="1" t="s">
        <v>132</v>
      </c>
      <c r="J349" s="4">
        <v>42856.0</v>
      </c>
      <c r="K349" s="1">
        <v>10000.0</v>
      </c>
      <c r="L349" s="1">
        <v>10000.0</v>
      </c>
      <c r="M349" s="1">
        <v>958.0</v>
      </c>
    </row>
    <row r="350">
      <c r="A350" s="1" t="s">
        <v>764</v>
      </c>
      <c r="B350" s="3" t="s">
        <v>765</v>
      </c>
      <c r="C350" s="1" t="s">
        <v>16</v>
      </c>
      <c r="D350" s="1" t="s">
        <v>76</v>
      </c>
      <c r="E350" s="1" t="s">
        <v>632</v>
      </c>
      <c r="F350" s="1" t="str">
        <f>IFERROR(__xludf.DUMMYFUNCTION("SPLIT(E350,""&gt;"")"),"Japanese Rarepepe")</f>
        <v>Japanese Rarepepe</v>
      </c>
      <c r="G350" s="1" t="str">
        <f>IFERROR(__xludf.DUMMYFUNCTION("""COMPUTED_VALUE"""),"Series 09")</f>
        <v>Series 09</v>
      </c>
      <c r="H350" s="1" t="s">
        <v>76</v>
      </c>
      <c r="I350" s="1" t="s">
        <v>636</v>
      </c>
      <c r="J350" s="4">
        <v>42705.0</v>
      </c>
      <c r="K350" s="1">
        <v>999999.0</v>
      </c>
      <c r="L350" s="1">
        <v>999999.0</v>
      </c>
      <c r="M350" s="1">
        <v>444.0</v>
      </c>
    </row>
    <row r="351" hidden="1">
      <c r="A351" s="1" t="s">
        <v>764</v>
      </c>
      <c r="B351" s="3" t="s">
        <v>1606</v>
      </c>
      <c r="C351" s="1" t="s">
        <v>1569</v>
      </c>
      <c r="D351" s="1" t="s">
        <v>76</v>
      </c>
      <c r="E351" s="1" t="s">
        <v>632</v>
      </c>
      <c r="F351" s="1"/>
      <c r="G351" s="1"/>
      <c r="H351" s="1" t="s">
        <v>76</v>
      </c>
      <c r="I351" s="1" t="s">
        <v>636</v>
      </c>
      <c r="J351" s="4">
        <v>42705.0</v>
      </c>
      <c r="K351" s="1">
        <v>999999.0</v>
      </c>
      <c r="L351" s="1">
        <v>999999.0</v>
      </c>
      <c r="M351" s="1">
        <v>444.0</v>
      </c>
    </row>
    <row r="352">
      <c r="A352" s="1" t="s">
        <v>766</v>
      </c>
      <c r="B352" s="3" t="s">
        <v>767</v>
      </c>
      <c r="C352" s="1" t="s">
        <v>16</v>
      </c>
      <c r="D352" s="1" t="s">
        <v>76</v>
      </c>
      <c r="E352" s="1" t="s">
        <v>635</v>
      </c>
      <c r="F352" s="1" t="str">
        <f>IFERROR(__xludf.DUMMYFUNCTION("SPLIT(E352,""&gt;"")"),"Japanese Rarepepe")</f>
        <v>Japanese Rarepepe</v>
      </c>
      <c r="G352" s="1" t="str">
        <f>IFERROR(__xludf.DUMMYFUNCTION("""COMPUTED_VALUE"""),"Series 10")</f>
        <v>Series 10</v>
      </c>
      <c r="H352" s="1" t="s">
        <v>76</v>
      </c>
      <c r="I352" s="1" t="s">
        <v>636</v>
      </c>
      <c r="J352" s="4">
        <v>42705.0</v>
      </c>
      <c r="K352" s="1">
        <v>999999.0</v>
      </c>
      <c r="L352" s="1">
        <v>999999.0</v>
      </c>
      <c r="M352" s="1">
        <v>455.0</v>
      </c>
    </row>
    <row r="353" hidden="1">
      <c r="A353" s="1" t="s">
        <v>766</v>
      </c>
      <c r="B353" s="3" t="s">
        <v>1607</v>
      </c>
      <c r="C353" s="1" t="s">
        <v>1569</v>
      </c>
      <c r="D353" s="1" t="s">
        <v>76</v>
      </c>
      <c r="E353" s="1" t="s">
        <v>635</v>
      </c>
      <c r="F353" s="1"/>
      <c r="G353" s="1"/>
      <c r="H353" s="1" t="s">
        <v>76</v>
      </c>
      <c r="I353" s="1" t="s">
        <v>636</v>
      </c>
      <c r="J353" s="4">
        <v>42705.0</v>
      </c>
      <c r="K353" s="1">
        <v>999999.0</v>
      </c>
      <c r="L353" s="1">
        <v>999999.0</v>
      </c>
      <c r="M353" s="1">
        <v>455.0</v>
      </c>
    </row>
    <row r="354">
      <c r="A354" s="1" t="s">
        <v>768</v>
      </c>
      <c r="B354" s="3" t="s">
        <v>769</v>
      </c>
      <c r="C354" s="1" t="s">
        <v>16</v>
      </c>
      <c r="D354" s="1" t="s">
        <v>76</v>
      </c>
      <c r="E354" s="1" t="s">
        <v>635</v>
      </c>
      <c r="F354" s="1" t="str">
        <f>IFERROR(__xludf.DUMMYFUNCTION("SPLIT(E354,""&gt;"")"),"Japanese Rarepepe")</f>
        <v>Japanese Rarepepe</v>
      </c>
      <c r="G354" s="1" t="str">
        <f>IFERROR(__xludf.DUMMYFUNCTION("""COMPUTED_VALUE"""),"Series 10")</f>
        <v>Series 10</v>
      </c>
      <c r="H354" s="1" t="s">
        <v>76</v>
      </c>
      <c r="I354" s="1" t="s">
        <v>715</v>
      </c>
      <c r="J354" s="4">
        <v>42736.0</v>
      </c>
      <c r="K354" s="1">
        <v>999999.0</v>
      </c>
      <c r="L354" s="1">
        <v>999999.0</v>
      </c>
      <c r="M354" s="1">
        <v>484.0</v>
      </c>
    </row>
    <row r="355" hidden="1">
      <c r="A355" s="1" t="s">
        <v>768</v>
      </c>
      <c r="B355" s="3" t="s">
        <v>1608</v>
      </c>
      <c r="C355" s="1" t="s">
        <v>1569</v>
      </c>
      <c r="D355" s="1" t="s">
        <v>76</v>
      </c>
      <c r="E355" s="1" t="s">
        <v>635</v>
      </c>
      <c r="F355" s="1"/>
      <c r="G355" s="1"/>
      <c r="H355" s="1" t="s">
        <v>76</v>
      </c>
      <c r="I355" s="1" t="s">
        <v>715</v>
      </c>
      <c r="J355" s="4">
        <v>42736.0</v>
      </c>
      <c r="K355" s="1">
        <v>999999.0</v>
      </c>
      <c r="L355" s="1">
        <v>999999.0</v>
      </c>
      <c r="M355" s="1">
        <v>484.0</v>
      </c>
    </row>
    <row r="356">
      <c r="A356" s="1" t="s">
        <v>770</v>
      </c>
      <c r="B356" s="3" t="s">
        <v>771</v>
      </c>
      <c r="C356" s="1" t="s">
        <v>16</v>
      </c>
      <c r="D356" s="1" t="s">
        <v>76</v>
      </c>
      <c r="E356" s="1" t="s">
        <v>772</v>
      </c>
      <c r="F356" s="1" t="str">
        <f>IFERROR(__xludf.DUMMYFUNCTION("SPLIT(E356,""&gt;"")"),"Japanese Rarepepe")</f>
        <v>Japanese Rarepepe</v>
      </c>
      <c r="G356" s="1" t="str">
        <f>IFERROR(__xludf.DUMMYFUNCTION("""COMPUTED_VALUE"""),"Series 16")</f>
        <v>Series 16</v>
      </c>
      <c r="H356" s="1" t="s">
        <v>76</v>
      </c>
      <c r="I356" s="1" t="s">
        <v>590</v>
      </c>
      <c r="J356" s="4">
        <v>42795.0</v>
      </c>
      <c r="K356" s="1">
        <v>3333.0</v>
      </c>
      <c r="L356" s="1">
        <v>3333.0</v>
      </c>
      <c r="M356" s="1">
        <v>767.0</v>
      </c>
    </row>
    <row r="357" hidden="1">
      <c r="A357" s="1" t="s">
        <v>770</v>
      </c>
      <c r="B357" s="3" t="s">
        <v>1609</v>
      </c>
      <c r="C357" s="1" t="s">
        <v>1569</v>
      </c>
      <c r="D357" s="1" t="s">
        <v>76</v>
      </c>
      <c r="E357" s="1" t="s">
        <v>772</v>
      </c>
      <c r="F357" s="1"/>
      <c r="G357" s="1"/>
      <c r="H357" s="1" t="s">
        <v>76</v>
      </c>
      <c r="I357" s="1" t="s">
        <v>590</v>
      </c>
      <c r="J357" s="4">
        <v>42795.0</v>
      </c>
      <c r="K357" s="1">
        <v>3333.0</v>
      </c>
      <c r="L357" s="1">
        <v>3333.0</v>
      </c>
      <c r="M357" s="1">
        <v>767.0</v>
      </c>
    </row>
    <row r="358">
      <c r="A358" s="1" t="s">
        <v>773</v>
      </c>
      <c r="B358" s="3" t="s">
        <v>774</v>
      </c>
      <c r="C358" s="1" t="s">
        <v>16</v>
      </c>
      <c r="D358" s="1" t="s">
        <v>76</v>
      </c>
      <c r="E358" s="1" t="s">
        <v>674</v>
      </c>
      <c r="F358" s="1" t="str">
        <f>IFERROR(__xludf.DUMMYFUNCTION("SPLIT(E358,""&gt;"")"),"Japanese Rarepepe")</f>
        <v>Japanese Rarepepe</v>
      </c>
      <c r="G358" s="1" t="str">
        <f>IFERROR(__xludf.DUMMYFUNCTION("""COMPUTED_VALUE"""),"Series 20")</f>
        <v>Series 20</v>
      </c>
      <c r="H358" s="1" t="s">
        <v>76</v>
      </c>
      <c r="I358" s="1" t="s">
        <v>132</v>
      </c>
      <c r="J358" s="4">
        <v>42856.0</v>
      </c>
      <c r="K358" s="1">
        <v>3333.0</v>
      </c>
      <c r="L358" s="1">
        <v>3333.0</v>
      </c>
      <c r="M358" s="1">
        <v>956.0</v>
      </c>
    </row>
    <row r="359" hidden="1">
      <c r="A359" s="1" t="s">
        <v>773</v>
      </c>
      <c r="B359" s="3" t="s">
        <v>1610</v>
      </c>
      <c r="C359" s="1" t="s">
        <v>1569</v>
      </c>
      <c r="D359" s="1" t="s">
        <v>76</v>
      </c>
      <c r="E359" s="1" t="s">
        <v>674</v>
      </c>
      <c r="F359" s="1"/>
      <c r="G359" s="1"/>
      <c r="H359" s="1" t="s">
        <v>76</v>
      </c>
      <c r="I359" s="1" t="s">
        <v>132</v>
      </c>
      <c r="J359" s="4">
        <v>42856.0</v>
      </c>
      <c r="K359" s="1">
        <v>3333.0</v>
      </c>
      <c r="L359" s="1">
        <v>3333.0</v>
      </c>
      <c r="M359" s="1">
        <v>956.0</v>
      </c>
    </row>
    <row r="360">
      <c r="A360" s="1" t="s">
        <v>775</v>
      </c>
      <c r="B360" s="3" t="s">
        <v>776</v>
      </c>
      <c r="C360" s="1" t="s">
        <v>16</v>
      </c>
      <c r="D360" s="1" t="s">
        <v>76</v>
      </c>
      <c r="E360" s="1" t="s">
        <v>578</v>
      </c>
      <c r="F360" s="1" t="str">
        <f>IFERROR(__xludf.DUMMYFUNCTION("SPLIT(E360,""&gt;"")"),"Japanese Rarepepe")</f>
        <v>Japanese Rarepepe</v>
      </c>
      <c r="G360" s="1" t="str">
        <f>IFERROR(__xludf.DUMMYFUNCTION("""COMPUTED_VALUE"""),"Series 21")</f>
        <v>Series 21</v>
      </c>
      <c r="H360" s="1" t="s">
        <v>76</v>
      </c>
      <c r="I360" s="1" t="s">
        <v>288</v>
      </c>
      <c r="J360" s="4">
        <v>42917.0</v>
      </c>
      <c r="K360" s="1">
        <v>3333.0</v>
      </c>
      <c r="L360" s="1">
        <v>3333.0</v>
      </c>
      <c r="M360" s="1">
        <v>1004.0</v>
      </c>
    </row>
    <row r="361" hidden="1">
      <c r="A361" s="1" t="s">
        <v>775</v>
      </c>
      <c r="B361" s="3" t="s">
        <v>1611</v>
      </c>
      <c r="C361" s="1" t="s">
        <v>1569</v>
      </c>
      <c r="D361" s="1" t="s">
        <v>76</v>
      </c>
      <c r="E361" s="1" t="s">
        <v>578</v>
      </c>
      <c r="F361" s="1"/>
      <c r="G361" s="1"/>
      <c r="H361" s="1" t="s">
        <v>76</v>
      </c>
      <c r="I361" s="1" t="s">
        <v>288</v>
      </c>
      <c r="J361" s="4">
        <v>42917.0</v>
      </c>
      <c r="K361" s="1">
        <v>3333.0</v>
      </c>
      <c r="L361" s="1">
        <v>3333.0</v>
      </c>
      <c r="M361" s="1">
        <v>1004.0</v>
      </c>
    </row>
    <row r="362">
      <c r="A362" s="1" t="s">
        <v>777</v>
      </c>
      <c r="B362" s="3" t="s">
        <v>778</v>
      </c>
      <c r="C362" s="1" t="s">
        <v>16</v>
      </c>
      <c r="D362" s="1" t="s">
        <v>76</v>
      </c>
      <c r="E362" s="1" t="s">
        <v>596</v>
      </c>
      <c r="F362" s="1" t="str">
        <f>IFERROR(__xludf.DUMMYFUNCTION("SPLIT(E362,""&gt;"")"),"Japanese Rarepepe")</f>
        <v>Japanese Rarepepe</v>
      </c>
      <c r="G362" s="1" t="str">
        <f>IFERROR(__xludf.DUMMYFUNCTION("""COMPUTED_VALUE"""),"Series 26")</f>
        <v>Series 26</v>
      </c>
      <c r="H362" s="1" t="s">
        <v>76</v>
      </c>
      <c r="I362" s="1" t="s">
        <v>395</v>
      </c>
      <c r="J362" s="4">
        <v>42948.0</v>
      </c>
      <c r="K362" s="1">
        <v>333.0</v>
      </c>
      <c r="L362" s="1">
        <v>333.0</v>
      </c>
      <c r="M362" s="1">
        <v>1255.0</v>
      </c>
    </row>
    <row r="363" hidden="1">
      <c r="A363" s="1" t="s">
        <v>777</v>
      </c>
      <c r="B363" s="3" t="s">
        <v>1612</v>
      </c>
      <c r="C363" s="1" t="s">
        <v>1569</v>
      </c>
      <c r="D363" s="1" t="s">
        <v>76</v>
      </c>
      <c r="E363" s="1" t="s">
        <v>596</v>
      </c>
      <c r="F363" s="1"/>
      <c r="G363" s="1"/>
      <c r="H363" s="1" t="s">
        <v>76</v>
      </c>
      <c r="I363" s="1" t="s">
        <v>395</v>
      </c>
      <c r="J363" s="4">
        <v>42948.0</v>
      </c>
      <c r="K363" s="1">
        <v>333.0</v>
      </c>
      <c r="L363" s="1">
        <v>333.0</v>
      </c>
      <c r="M363" s="1">
        <v>1255.0</v>
      </c>
    </row>
    <row r="364">
      <c r="A364" s="1" t="s">
        <v>779</v>
      </c>
      <c r="B364" s="3" t="s">
        <v>780</v>
      </c>
      <c r="C364" s="1" t="s">
        <v>16</v>
      </c>
      <c r="D364" s="1" t="s">
        <v>76</v>
      </c>
      <c r="E364" s="1" t="s">
        <v>781</v>
      </c>
      <c r="F364" s="1" t="str">
        <f>IFERROR(__xludf.DUMMYFUNCTION("SPLIT(E364,""&gt;"")"),"Japanese Rarepepe")</f>
        <v>Japanese Rarepepe</v>
      </c>
      <c r="G364" s="1" t="str">
        <f>IFERROR(__xludf.DUMMYFUNCTION("""COMPUTED_VALUE"""),"Series 32")</f>
        <v>Series 32</v>
      </c>
      <c r="H364" s="1" t="s">
        <v>76</v>
      </c>
      <c r="I364" s="1" t="s">
        <v>782</v>
      </c>
      <c r="J364" s="4">
        <v>43101.0</v>
      </c>
      <c r="K364" s="1">
        <v>300.0</v>
      </c>
      <c r="L364" s="1">
        <v>300.0</v>
      </c>
      <c r="M364" s="1">
        <v>1577.0</v>
      </c>
    </row>
    <row r="365" hidden="1">
      <c r="A365" s="1" t="s">
        <v>779</v>
      </c>
      <c r="B365" s="3" t="s">
        <v>1613</v>
      </c>
      <c r="C365" s="1" t="s">
        <v>1569</v>
      </c>
      <c r="D365" s="1" t="s">
        <v>76</v>
      </c>
      <c r="E365" s="1" t="s">
        <v>781</v>
      </c>
      <c r="F365" s="1"/>
      <c r="G365" s="1"/>
      <c r="H365" s="1" t="s">
        <v>76</v>
      </c>
      <c r="I365" s="1" t="s">
        <v>782</v>
      </c>
      <c r="J365" s="4">
        <v>43101.0</v>
      </c>
      <c r="K365" s="1">
        <v>300.0</v>
      </c>
      <c r="L365" s="1">
        <v>300.0</v>
      </c>
      <c r="M365" s="1">
        <v>1577.0</v>
      </c>
    </row>
    <row r="366">
      <c r="A366" s="1" t="s">
        <v>783</v>
      </c>
      <c r="B366" s="3" t="s">
        <v>784</v>
      </c>
      <c r="C366" s="1" t="s">
        <v>16</v>
      </c>
      <c r="D366" s="1" t="s">
        <v>89</v>
      </c>
      <c r="E366" s="1" t="s">
        <v>578</v>
      </c>
      <c r="F366" s="1" t="str">
        <f>IFERROR(__xludf.DUMMYFUNCTION("SPLIT(E366,""&gt;"")"),"Japanese Rarepepe")</f>
        <v>Japanese Rarepepe</v>
      </c>
      <c r="G366" s="1" t="str">
        <f>IFERROR(__xludf.DUMMYFUNCTION("""COMPUTED_VALUE"""),"Series 21")</f>
        <v>Series 21</v>
      </c>
      <c r="H366" s="1" t="s">
        <v>89</v>
      </c>
      <c r="I366" s="1" t="s">
        <v>288</v>
      </c>
      <c r="J366" s="4">
        <v>42917.0</v>
      </c>
      <c r="K366" s="1">
        <v>300.0</v>
      </c>
      <c r="L366" s="1">
        <v>300.0</v>
      </c>
      <c r="M366" s="1">
        <v>1047.0</v>
      </c>
    </row>
    <row r="367" hidden="1">
      <c r="A367" s="1" t="s">
        <v>783</v>
      </c>
      <c r="B367" s="3" t="s">
        <v>1614</v>
      </c>
      <c r="C367" s="1" t="s">
        <v>1569</v>
      </c>
      <c r="D367" s="1" t="s">
        <v>89</v>
      </c>
      <c r="E367" s="1" t="s">
        <v>578</v>
      </c>
      <c r="F367" s="1"/>
      <c r="G367" s="1"/>
      <c r="H367" s="1" t="s">
        <v>89</v>
      </c>
      <c r="I367" s="1" t="s">
        <v>288</v>
      </c>
      <c r="J367" s="4">
        <v>42917.0</v>
      </c>
      <c r="K367" s="1">
        <v>300.0</v>
      </c>
      <c r="L367" s="1">
        <v>300.0</v>
      </c>
      <c r="M367" s="1">
        <v>1047.0</v>
      </c>
    </row>
    <row r="368">
      <c r="A368" s="1" t="s">
        <v>785</v>
      </c>
      <c r="B368" s="3" t="s">
        <v>786</v>
      </c>
      <c r="C368" s="1" t="s">
        <v>16</v>
      </c>
      <c r="D368" s="1" t="s">
        <v>89</v>
      </c>
      <c r="E368" s="1" t="s">
        <v>679</v>
      </c>
      <c r="F368" s="1" t="str">
        <f>IFERROR(__xludf.DUMMYFUNCTION("SPLIT(E368,""&gt;"")"),"Japanese Rarepepe")</f>
        <v>Japanese Rarepepe</v>
      </c>
      <c r="G368" s="1" t="str">
        <f>IFERROR(__xludf.DUMMYFUNCTION("""COMPUTED_VALUE"""),"Series 23")</f>
        <v>Series 23</v>
      </c>
      <c r="H368" s="1" t="s">
        <v>89</v>
      </c>
      <c r="I368" s="1" t="s">
        <v>787</v>
      </c>
      <c r="J368" s="4">
        <v>42917.0</v>
      </c>
      <c r="K368" s="1">
        <v>200.0</v>
      </c>
      <c r="L368" s="1">
        <v>200.0</v>
      </c>
      <c r="M368" s="1">
        <v>1116.0</v>
      </c>
    </row>
    <row r="369" hidden="1">
      <c r="A369" s="1" t="s">
        <v>785</v>
      </c>
      <c r="B369" s="3" t="s">
        <v>1615</v>
      </c>
      <c r="C369" s="1" t="s">
        <v>1569</v>
      </c>
      <c r="D369" s="1" t="s">
        <v>89</v>
      </c>
      <c r="E369" s="1" t="s">
        <v>679</v>
      </c>
      <c r="F369" s="1"/>
      <c r="G369" s="1"/>
      <c r="H369" s="1" t="s">
        <v>89</v>
      </c>
      <c r="I369" s="1" t="s">
        <v>787</v>
      </c>
      <c r="J369" s="4">
        <v>42917.0</v>
      </c>
      <c r="K369" s="1">
        <v>200.0</v>
      </c>
      <c r="L369" s="1">
        <v>200.0</v>
      </c>
      <c r="M369" s="1">
        <v>1116.0</v>
      </c>
    </row>
    <row r="370">
      <c r="A370" s="1" t="s">
        <v>788</v>
      </c>
      <c r="B370" s="3" t="s">
        <v>789</v>
      </c>
      <c r="C370" s="1" t="s">
        <v>16</v>
      </c>
      <c r="D370" s="1" t="s">
        <v>89</v>
      </c>
      <c r="E370" s="1" t="s">
        <v>581</v>
      </c>
      <c r="F370" s="1" t="str">
        <f>IFERROR(__xludf.DUMMYFUNCTION("SPLIT(E370,""&gt;"")"),"Japanese Rarepepe")</f>
        <v>Japanese Rarepepe</v>
      </c>
      <c r="G370" s="1" t="str">
        <f>IFERROR(__xludf.DUMMYFUNCTION("""COMPUTED_VALUE"""),"Series 24")</f>
        <v>Series 24</v>
      </c>
      <c r="H370" s="1" t="s">
        <v>89</v>
      </c>
      <c r="I370" s="1" t="s">
        <v>288</v>
      </c>
      <c r="J370" s="4">
        <v>42917.0</v>
      </c>
      <c r="K370" s="1">
        <v>300.0</v>
      </c>
      <c r="L370" s="1">
        <v>300.0</v>
      </c>
      <c r="M370" s="1">
        <v>1159.0</v>
      </c>
    </row>
    <row r="371" hidden="1">
      <c r="A371" s="1" t="s">
        <v>788</v>
      </c>
      <c r="B371" s="3" t="s">
        <v>1616</v>
      </c>
      <c r="C371" s="1" t="s">
        <v>1569</v>
      </c>
      <c r="D371" s="1" t="s">
        <v>89</v>
      </c>
      <c r="E371" s="1" t="s">
        <v>581</v>
      </c>
      <c r="F371" s="1"/>
      <c r="G371" s="1"/>
      <c r="H371" s="1" t="s">
        <v>89</v>
      </c>
      <c r="I371" s="1" t="s">
        <v>288</v>
      </c>
      <c r="J371" s="4">
        <v>42917.0</v>
      </c>
      <c r="K371" s="1">
        <v>300.0</v>
      </c>
      <c r="L371" s="1">
        <v>300.0</v>
      </c>
      <c r="M371" s="1">
        <v>1159.0</v>
      </c>
    </row>
    <row r="372">
      <c r="A372" s="1" t="s">
        <v>790</v>
      </c>
      <c r="B372" s="3" t="s">
        <v>791</v>
      </c>
      <c r="C372" s="1" t="s">
        <v>16</v>
      </c>
      <c r="D372" s="1" t="s">
        <v>89</v>
      </c>
      <c r="E372" s="1" t="s">
        <v>792</v>
      </c>
      <c r="F372" s="1" t="str">
        <f>IFERROR(__xludf.DUMMYFUNCTION("SPLIT(E372,""&gt;"")"),"Japanese Rarepepe")</f>
        <v>Japanese Rarepepe</v>
      </c>
      <c r="G372" s="1" t="str">
        <f>IFERROR(__xludf.DUMMYFUNCTION("""COMPUTED_VALUE"""),"Series 25")</f>
        <v>Series 25</v>
      </c>
      <c r="H372" s="1" t="s">
        <v>89</v>
      </c>
      <c r="I372" s="1" t="s">
        <v>395</v>
      </c>
      <c r="J372" s="4">
        <v>42948.0</v>
      </c>
      <c r="K372" s="1">
        <v>300.0</v>
      </c>
      <c r="L372" s="1">
        <v>300.0</v>
      </c>
      <c r="M372" s="1">
        <v>1224.0</v>
      </c>
    </row>
    <row r="373" hidden="1">
      <c r="A373" s="1" t="s">
        <v>790</v>
      </c>
      <c r="B373" s="3" t="s">
        <v>1617</v>
      </c>
      <c r="C373" s="1" t="s">
        <v>1569</v>
      </c>
      <c r="D373" s="1" t="s">
        <v>89</v>
      </c>
      <c r="E373" s="1" t="s">
        <v>792</v>
      </c>
      <c r="F373" s="1"/>
      <c r="G373" s="1"/>
      <c r="H373" s="1" t="s">
        <v>89</v>
      </c>
      <c r="I373" s="1" t="s">
        <v>395</v>
      </c>
      <c r="J373" s="4">
        <v>42948.0</v>
      </c>
      <c r="K373" s="1">
        <v>300.0</v>
      </c>
      <c r="L373" s="1">
        <v>300.0</v>
      </c>
      <c r="M373" s="1">
        <v>1224.0</v>
      </c>
    </row>
    <row r="374">
      <c r="A374" s="1" t="s">
        <v>793</v>
      </c>
      <c r="B374" s="3" t="s">
        <v>794</v>
      </c>
      <c r="C374" s="1" t="s">
        <v>16</v>
      </c>
      <c r="D374" s="1" t="s">
        <v>89</v>
      </c>
      <c r="E374" s="1" t="s">
        <v>596</v>
      </c>
      <c r="F374" s="1" t="str">
        <f>IFERROR(__xludf.DUMMYFUNCTION("SPLIT(E374,""&gt;"")"),"Japanese Rarepepe")</f>
        <v>Japanese Rarepepe</v>
      </c>
      <c r="G374" s="1" t="str">
        <f>IFERROR(__xludf.DUMMYFUNCTION("""COMPUTED_VALUE"""),"Series 26")</f>
        <v>Series 26</v>
      </c>
      <c r="H374" s="1" t="s">
        <v>89</v>
      </c>
      <c r="I374" s="1" t="s">
        <v>395</v>
      </c>
      <c r="J374" s="4">
        <v>42948.0</v>
      </c>
      <c r="K374" s="1">
        <v>222.0</v>
      </c>
      <c r="L374" s="1">
        <v>222.0</v>
      </c>
      <c r="M374" s="1">
        <v>1295.0</v>
      </c>
    </row>
    <row r="375" hidden="1">
      <c r="A375" s="1" t="s">
        <v>793</v>
      </c>
      <c r="B375" s="3" t="s">
        <v>1618</v>
      </c>
      <c r="C375" s="1" t="s">
        <v>1569</v>
      </c>
      <c r="D375" s="1" t="s">
        <v>89</v>
      </c>
      <c r="E375" s="1" t="s">
        <v>596</v>
      </c>
      <c r="F375" s="1"/>
      <c r="G375" s="1"/>
      <c r="H375" s="1" t="s">
        <v>89</v>
      </c>
      <c r="I375" s="1" t="s">
        <v>395</v>
      </c>
      <c r="J375" s="4">
        <v>42948.0</v>
      </c>
      <c r="K375" s="1">
        <v>222.0</v>
      </c>
      <c r="L375" s="1">
        <v>222.0</v>
      </c>
      <c r="M375" s="1">
        <v>1295.0</v>
      </c>
    </row>
    <row r="376">
      <c r="A376" s="1" t="s">
        <v>795</v>
      </c>
      <c r="B376" s="3" t="s">
        <v>796</v>
      </c>
      <c r="C376" s="1" t="s">
        <v>16</v>
      </c>
      <c r="D376" s="1" t="s">
        <v>89</v>
      </c>
      <c r="E376" s="1" t="s">
        <v>797</v>
      </c>
      <c r="F376" s="1" t="str">
        <f>IFERROR(__xludf.DUMMYFUNCTION("SPLIT(E376,""&gt;"")"),"Japanese Rarepepe")</f>
        <v>Japanese Rarepepe</v>
      </c>
      <c r="G376" s="1" t="str">
        <f>IFERROR(__xludf.DUMMYFUNCTION("""COMPUTED_VALUE"""),"Series 30")</f>
        <v>Series 30</v>
      </c>
      <c r="H376" s="1" t="s">
        <v>89</v>
      </c>
      <c r="I376" s="1" t="s">
        <v>798</v>
      </c>
      <c r="J376" s="4">
        <v>43009.0</v>
      </c>
      <c r="K376" s="1">
        <v>300.0</v>
      </c>
      <c r="L376" s="1">
        <v>121.0</v>
      </c>
      <c r="M376" s="1">
        <v>1494.0</v>
      </c>
    </row>
    <row r="377" hidden="1">
      <c r="A377" s="1" t="s">
        <v>795</v>
      </c>
      <c r="B377" s="3" t="s">
        <v>1619</v>
      </c>
      <c r="C377" s="1" t="s">
        <v>1569</v>
      </c>
      <c r="D377" s="1" t="s">
        <v>89</v>
      </c>
      <c r="E377" s="1" t="s">
        <v>797</v>
      </c>
      <c r="F377" s="1"/>
      <c r="G377" s="1"/>
      <c r="H377" s="1" t="s">
        <v>89</v>
      </c>
      <c r="I377" s="1" t="s">
        <v>798</v>
      </c>
      <c r="J377" s="4">
        <v>43009.0</v>
      </c>
      <c r="K377" s="1">
        <v>300.0</v>
      </c>
      <c r="L377" s="1">
        <v>121.0</v>
      </c>
      <c r="M377" s="1">
        <v>1494.0</v>
      </c>
    </row>
    <row r="378">
      <c r="A378" s="1" t="s">
        <v>799</v>
      </c>
      <c r="B378" s="3" t="s">
        <v>800</v>
      </c>
      <c r="C378" s="1" t="s">
        <v>16</v>
      </c>
      <c r="D378" s="1" t="s">
        <v>92</v>
      </c>
      <c r="E378" s="1" t="s">
        <v>612</v>
      </c>
      <c r="F378" s="1" t="str">
        <f>IFERROR(__xludf.DUMMYFUNCTION("SPLIT(E378,""&gt;"")"),"Japanese Rarepepe")</f>
        <v>Japanese Rarepepe</v>
      </c>
      <c r="G378" s="1" t="str">
        <f>IFERROR(__xludf.DUMMYFUNCTION("""COMPUTED_VALUE"""),"Series 06")</f>
        <v>Series 06</v>
      </c>
      <c r="H378" s="1" t="s">
        <v>92</v>
      </c>
      <c r="I378" s="1" t="s">
        <v>609</v>
      </c>
      <c r="J378" s="4">
        <v>42644.0</v>
      </c>
      <c r="K378" s="1">
        <v>1927.0</v>
      </c>
      <c r="L378" s="1">
        <v>1927.0</v>
      </c>
      <c r="M378" s="1">
        <v>294.0</v>
      </c>
    </row>
    <row r="379" hidden="1">
      <c r="A379" s="1" t="s">
        <v>799</v>
      </c>
      <c r="B379" s="3" t="s">
        <v>1620</v>
      </c>
      <c r="C379" s="1" t="s">
        <v>1569</v>
      </c>
      <c r="D379" s="1" t="s">
        <v>92</v>
      </c>
      <c r="E379" s="1" t="s">
        <v>612</v>
      </c>
      <c r="F379" s="1"/>
      <c r="G379" s="1"/>
      <c r="H379" s="1" t="s">
        <v>92</v>
      </c>
      <c r="I379" s="1" t="s">
        <v>609</v>
      </c>
      <c r="J379" s="4">
        <v>42644.0</v>
      </c>
      <c r="K379" s="1">
        <v>1927.0</v>
      </c>
      <c r="L379" s="1">
        <v>1927.0</v>
      </c>
      <c r="M379" s="1">
        <v>294.0</v>
      </c>
    </row>
    <row r="380">
      <c r="A380" s="1" t="s">
        <v>801</v>
      </c>
      <c r="B380" s="3" t="s">
        <v>802</v>
      </c>
      <c r="C380" s="1" t="s">
        <v>16</v>
      </c>
      <c r="D380" s="1" t="s">
        <v>92</v>
      </c>
      <c r="E380" s="1" t="s">
        <v>665</v>
      </c>
      <c r="F380" s="1" t="str">
        <f>IFERROR(__xludf.DUMMYFUNCTION("SPLIT(E380,""&gt;"")"),"Japanese Rarepepe")</f>
        <v>Japanese Rarepepe</v>
      </c>
      <c r="G380" s="1" t="str">
        <f>IFERROR(__xludf.DUMMYFUNCTION("""COMPUTED_VALUE"""),"Series 12")</f>
        <v>Series 12</v>
      </c>
      <c r="H380" s="1" t="s">
        <v>92</v>
      </c>
      <c r="I380" s="1" t="s">
        <v>666</v>
      </c>
      <c r="J380" s="4">
        <v>42767.0</v>
      </c>
      <c r="K380" s="1">
        <v>666.0</v>
      </c>
      <c r="L380" s="1">
        <v>666.0</v>
      </c>
      <c r="M380" s="1">
        <v>596.0</v>
      </c>
    </row>
    <row r="381" hidden="1">
      <c r="A381" s="1" t="s">
        <v>801</v>
      </c>
      <c r="B381" s="3" t="s">
        <v>1621</v>
      </c>
      <c r="C381" s="1" t="s">
        <v>1569</v>
      </c>
      <c r="D381" s="1" t="s">
        <v>92</v>
      </c>
      <c r="E381" s="1" t="s">
        <v>665</v>
      </c>
      <c r="F381" s="1"/>
      <c r="G381" s="1"/>
      <c r="H381" s="1" t="s">
        <v>92</v>
      </c>
      <c r="I381" s="1" t="s">
        <v>666</v>
      </c>
      <c r="J381" s="4">
        <v>42767.0</v>
      </c>
      <c r="K381" s="1">
        <v>666.0</v>
      </c>
      <c r="L381" s="1">
        <v>666.0</v>
      </c>
      <c r="M381" s="1">
        <v>596.0</v>
      </c>
    </row>
    <row r="382">
      <c r="A382" s="1" t="s">
        <v>803</v>
      </c>
      <c r="B382" s="3" t="s">
        <v>804</v>
      </c>
      <c r="C382" s="1" t="s">
        <v>16</v>
      </c>
      <c r="D382" s="1" t="s">
        <v>95</v>
      </c>
      <c r="E382" s="1" t="s">
        <v>581</v>
      </c>
      <c r="F382" s="1" t="str">
        <f>IFERROR(__xludf.DUMMYFUNCTION("SPLIT(E382,""&gt;"")"),"Japanese Rarepepe")</f>
        <v>Japanese Rarepepe</v>
      </c>
      <c r="G382" s="1" t="str">
        <f>IFERROR(__xludf.DUMMYFUNCTION("""COMPUTED_VALUE"""),"Series 24")</f>
        <v>Series 24</v>
      </c>
      <c r="H382" s="1" t="s">
        <v>95</v>
      </c>
      <c r="I382" s="1" t="s">
        <v>288</v>
      </c>
      <c r="J382" s="4">
        <v>42917.0</v>
      </c>
      <c r="K382" s="1">
        <v>300.0</v>
      </c>
      <c r="L382" s="1">
        <v>300.0</v>
      </c>
      <c r="M382" s="1">
        <v>1177.0</v>
      </c>
    </row>
    <row r="383" hidden="1">
      <c r="A383" s="1" t="s">
        <v>803</v>
      </c>
      <c r="B383" s="3" t="s">
        <v>1622</v>
      </c>
      <c r="C383" s="1" t="s">
        <v>1569</v>
      </c>
      <c r="D383" s="1" t="s">
        <v>95</v>
      </c>
      <c r="E383" s="1" t="s">
        <v>581</v>
      </c>
      <c r="F383" s="1"/>
      <c r="G383" s="1"/>
      <c r="H383" s="1" t="s">
        <v>95</v>
      </c>
      <c r="I383" s="1" t="s">
        <v>288</v>
      </c>
      <c r="J383" s="4">
        <v>42917.0</v>
      </c>
      <c r="K383" s="1">
        <v>300.0</v>
      </c>
      <c r="L383" s="1">
        <v>300.0</v>
      </c>
      <c r="M383" s="1">
        <v>1177.0</v>
      </c>
    </row>
    <row r="384">
      <c r="A384" s="1" t="s">
        <v>805</v>
      </c>
      <c r="B384" s="3" t="s">
        <v>806</v>
      </c>
      <c r="C384" s="1" t="s">
        <v>16</v>
      </c>
      <c r="D384" s="1" t="s">
        <v>95</v>
      </c>
      <c r="E384" s="1" t="s">
        <v>581</v>
      </c>
      <c r="F384" s="1" t="str">
        <f>IFERROR(__xludf.DUMMYFUNCTION("SPLIT(E384,""&gt;"")"),"Japanese Rarepepe")</f>
        <v>Japanese Rarepepe</v>
      </c>
      <c r="G384" s="1" t="str">
        <f>IFERROR(__xludf.DUMMYFUNCTION("""COMPUTED_VALUE"""),"Series 24")</f>
        <v>Series 24</v>
      </c>
      <c r="H384" s="1" t="s">
        <v>95</v>
      </c>
      <c r="I384" s="1" t="s">
        <v>288</v>
      </c>
      <c r="J384" s="4">
        <v>42917.0</v>
      </c>
      <c r="K384" s="1">
        <v>300.0</v>
      </c>
      <c r="L384" s="1">
        <v>300.0</v>
      </c>
      <c r="M384" s="1">
        <v>1188.0</v>
      </c>
    </row>
    <row r="385" hidden="1">
      <c r="A385" s="1" t="s">
        <v>805</v>
      </c>
      <c r="B385" s="3" t="s">
        <v>1623</v>
      </c>
      <c r="C385" s="1" t="s">
        <v>1569</v>
      </c>
      <c r="D385" s="1" t="s">
        <v>95</v>
      </c>
      <c r="E385" s="1" t="s">
        <v>581</v>
      </c>
      <c r="F385" s="1"/>
      <c r="G385" s="1"/>
      <c r="H385" s="1" t="s">
        <v>95</v>
      </c>
      <c r="I385" s="1" t="s">
        <v>288</v>
      </c>
      <c r="J385" s="4">
        <v>42917.0</v>
      </c>
      <c r="K385" s="1">
        <v>300.0</v>
      </c>
      <c r="L385" s="1">
        <v>300.0</v>
      </c>
      <c r="M385" s="1">
        <v>1188.0</v>
      </c>
    </row>
    <row r="386">
      <c r="A386" s="1" t="s">
        <v>807</v>
      </c>
      <c r="B386" s="3" t="s">
        <v>808</v>
      </c>
      <c r="C386" s="1" t="s">
        <v>16</v>
      </c>
      <c r="D386" s="1" t="s">
        <v>95</v>
      </c>
      <c r="E386" s="1" t="s">
        <v>596</v>
      </c>
      <c r="F386" s="1" t="str">
        <f>IFERROR(__xludf.DUMMYFUNCTION("SPLIT(E386,""&gt;"")"),"Japanese Rarepepe")</f>
        <v>Japanese Rarepepe</v>
      </c>
      <c r="G386" s="1" t="str">
        <f>IFERROR(__xludf.DUMMYFUNCTION("""COMPUTED_VALUE"""),"Series 26")</f>
        <v>Series 26</v>
      </c>
      <c r="H386" s="1" t="s">
        <v>95</v>
      </c>
      <c r="I386" s="1" t="s">
        <v>395</v>
      </c>
      <c r="J386" s="4">
        <v>42948.0</v>
      </c>
      <c r="K386" s="1">
        <v>300.0</v>
      </c>
      <c r="L386" s="1">
        <v>300.0</v>
      </c>
      <c r="M386" s="1">
        <v>1268.0</v>
      </c>
    </row>
    <row r="387" hidden="1">
      <c r="A387" s="1" t="s">
        <v>807</v>
      </c>
      <c r="B387" s="3" t="s">
        <v>1624</v>
      </c>
      <c r="C387" s="1" t="s">
        <v>1569</v>
      </c>
      <c r="D387" s="1" t="s">
        <v>95</v>
      </c>
      <c r="E387" s="1" t="s">
        <v>596</v>
      </c>
      <c r="F387" s="1"/>
      <c r="G387" s="1"/>
      <c r="H387" s="1" t="s">
        <v>95</v>
      </c>
      <c r="I387" s="1" t="s">
        <v>395</v>
      </c>
      <c r="J387" s="4">
        <v>42948.0</v>
      </c>
      <c r="K387" s="1">
        <v>300.0</v>
      </c>
      <c r="L387" s="1">
        <v>300.0</v>
      </c>
      <c r="M387" s="1">
        <v>1268.0</v>
      </c>
    </row>
    <row r="388">
      <c r="A388" s="1" t="s">
        <v>809</v>
      </c>
      <c r="B388" s="3" t="s">
        <v>810</v>
      </c>
      <c r="C388" s="1" t="s">
        <v>16</v>
      </c>
      <c r="D388" s="1" t="s">
        <v>95</v>
      </c>
      <c r="E388" s="1" t="s">
        <v>596</v>
      </c>
      <c r="F388" s="1" t="str">
        <f>IFERROR(__xludf.DUMMYFUNCTION("SPLIT(E388,""&gt;"")"),"Japanese Rarepepe")</f>
        <v>Japanese Rarepepe</v>
      </c>
      <c r="G388" s="1" t="str">
        <f>IFERROR(__xludf.DUMMYFUNCTION("""COMPUTED_VALUE"""),"Series 26")</f>
        <v>Series 26</v>
      </c>
      <c r="H388" s="1" t="s">
        <v>95</v>
      </c>
      <c r="I388" s="1" t="s">
        <v>395</v>
      </c>
      <c r="J388" s="4">
        <v>42948.0</v>
      </c>
      <c r="K388" s="1">
        <v>300.0</v>
      </c>
      <c r="L388" s="1">
        <v>300.0</v>
      </c>
      <c r="M388" s="1">
        <v>1291.0</v>
      </c>
    </row>
    <row r="389" hidden="1">
      <c r="A389" s="1" t="s">
        <v>809</v>
      </c>
      <c r="B389" s="3" t="s">
        <v>1625</v>
      </c>
      <c r="C389" s="1" t="s">
        <v>1569</v>
      </c>
      <c r="D389" s="1" t="s">
        <v>95</v>
      </c>
      <c r="E389" s="1" t="s">
        <v>596</v>
      </c>
      <c r="F389" s="1"/>
      <c r="G389" s="1"/>
      <c r="H389" s="1" t="s">
        <v>95</v>
      </c>
      <c r="I389" s="1" t="s">
        <v>395</v>
      </c>
      <c r="J389" s="4">
        <v>42948.0</v>
      </c>
      <c r="K389" s="1">
        <v>300.0</v>
      </c>
      <c r="L389" s="1">
        <v>300.0</v>
      </c>
      <c r="M389" s="1">
        <v>1291.0</v>
      </c>
    </row>
    <row r="390">
      <c r="A390" s="1" t="s">
        <v>811</v>
      </c>
      <c r="B390" s="3" t="s">
        <v>812</v>
      </c>
      <c r="C390" s="1" t="s">
        <v>16</v>
      </c>
      <c r="D390" s="1" t="s">
        <v>95</v>
      </c>
      <c r="E390" s="1" t="s">
        <v>813</v>
      </c>
      <c r="F390" s="1" t="str">
        <f>IFERROR(__xludf.DUMMYFUNCTION("SPLIT(E390,""&gt;"")"),"Japanese Rarepepe")</f>
        <v>Japanese Rarepepe</v>
      </c>
      <c r="G390" s="1" t="str">
        <f>IFERROR(__xludf.DUMMYFUNCTION("""COMPUTED_VALUE"""),"Series 31")</f>
        <v>Series 31</v>
      </c>
      <c r="H390" s="1" t="s">
        <v>95</v>
      </c>
      <c r="I390" s="1" t="s">
        <v>782</v>
      </c>
      <c r="J390" s="4">
        <v>43101.0</v>
      </c>
      <c r="K390" s="1">
        <v>300.0</v>
      </c>
      <c r="L390" s="1">
        <v>300.0</v>
      </c>
      <c r="M390" s="1">
        <v>1524.0</v>
      </c>
    </row>
    <row r="391" hidden="1">
      <c r="A391" s="1" t="s">
        <v>811</v>
      </c>
      <c r="B391" s="3" t="s">
        <v>1626</v>
      </c>
      <c r="C391" s="1" t="s">
        <v>1569</v>
      </c>
      <c r="D391" s="1" t="s">
        <v>95</v>
      </c>
      <c r="E391" s="1" t="s">
        <v>813</v>
      </c>
      <c r="F391" s="1"/>
      <c r="G391" s="1"/>
      <c r="H391" s="1" t="s">
        <v>95</v>
      </c>
      <c r="I391" s="1" t="s">
        <v>782</v>
      </c>
      <c r="J391" s="4">
        <v>43101.0</v>
      </c>
      <c r="K391" s="1">
        <v>300.0</v>
      </c>
      <c r="L391" s="1">
        <v>300.0</v>
      </c>
      <c r="M391" s="1">
        <v>1524.0</v>
      </c>
    </row>
    <row r="392">
      <c r="A392" s="1" t="s">
        <v>814</v>
      </c>
      <c r="B392" s="3" t="s">
        <v>815</v>
      </c>
      <c r="C392" s="1" t="s">
        <v>16</v>
      </c>
      <c r="D392" s="1" t="s">
        <v>95</v>
      </c>
      <c r="E392" s="1" t="s">
        <v>816</v>
      </c>
      <c r="F392" s="1" t="str">
        <f>IFERROR(__xludf.DUMMYFUNCTION("SPLIT(E392,""&gt;"")"),"Japanese Rarepepe")</f>
        <v>Japanese Rarepepe</v>
      </c>
      <c r="G392" s="1" t="str">
        <f>IFERROR(__xludf.DUMMYFUNCTION("""COMPUTED_VALUE"""),"Series 33")</f>
        <v>Series 33</v>
      </c>
      <c r="H392" s="1" t="s">
        <v>95</v>
      </c>
      <c r="I392" s="1" t="s">
        <v>817</v>
      </c>
      <c r="J392" s="4">
        <v>43132.0</v>
      </c>
      <c r="K392" s="1">
        <v>100.0</v>
      </c>
      <c r="L392" s="1">
        <v>100.0</v>
      </c>
      <c r="M392" s="1">
        <v>1628.0</v>
      </c>
    </row>
    <row r="393" hidden="1">
      <c r="A393" s="1" t="s">
        <v>814</v>
      </c>
      <c r="B393" s="3" t="s">
        <v>1627</v>
      </c>
      <c r="C393" s="1" t="s">
        <v>1569</v>
      </c>
      <c r="D393" s="1" t="s">
        <v>95</v>
      </c>
      <c r="E393" s="1" t="s">
        <v>816</v>
      </c>
      <c r="F393" s="1"/>
      <c r="G393" s="1"/>
      <c r="H393" s="1" t="s">
        <v>95</v>
      </c>
      <c r="I393" s="1" t="s">
        <v>817</v>
      </c>
      <c r="J393" s="4">
        <v>43132.0</v>
      </c>
      <c r="K393" s="1">
        <v>100.0</v>
      </c>
      <c r="L393" s="1">
        <v>100.0</v>
      </c>
      <c r="M393" s="1">
        <v>1628.0</v>
      </c>
    </row>
    <row r="394">
      <c r="A394" s="1" t="s">
        <v>818</v>
      </c>
      <c r="B394" s="3" t="s">
        <v>819</v>
      </c>
      <c r="C394" s="1" t="s">
        <v>16</v>
      </c>
      <c r="D394" s="1" t="s">
        <v>95</v>
      </c>
      <c r="E394" s="1" t="s">
        <v>816</v>
      </c>
      <c r="F394" s="1" t="str">
        <f>IFERROR(__xludf.DUMMYFUNCTION("SPLIT(E394,""&gt;"")"),"Japanese Rarepepe")</f>
        <v>Japanese Rarepepe</v>
      </c>
      <c r="G394" s="1" t="str">
        <f>IFERROR(__xludf.DUMMYFUNCTION("""COMPUTED_VALUE"""),"Series 33")</f>
        <v>Series 33</v>
      </c>
      <c r="H394" s="1" t="s">
        <v>95</v>
      </c>
      <c r="I394" s="1" t="s">
        <v>817</v>
      </c>
      <c r="J394" s="4">
        <v>43132.0</v>
      </c>
      <c r="K394" s="1">
        <v>100.0</v>
      </c>
      <c r="L394" s="1">
        <v>100.0</v>
      </c>
      <c r="M394" s="1">
        <v>1642.0</v>
      </c>
    </row>
    <row r="395" hidden="1">
      <c r="A395" s="1" t="s">
        <v>818</v>
      </c>
      <c r="B395" s="3" t="s">
        <v>1628</v>
      </c>
      <c r="C395" s="1" t="s">
        <v>1569</v>
      </c>
      <c r="D395" s="1" t="s">
        <v>95</v>
      </c>
      <c r="E395" s="1" t="s">
        <v>816</v>
      </c>
      <c r="F395" s="1"/>
      <c r="G395" s="1"/>
      <c r="H395" s="1" t="s">
        <v>95</v>
      </c>
      <c r="I395" s="1" t="s">
        <v>817</v>
      </c>
      <c r="J395" s="4">
        <v>43132.0</v>
      </c>
      <c r="K395" s="1">
        <v>100.0</v>
      </c>
      <c r="L395" s="1">
        <v>100.0</v>
      </c>
      <c r="M395" s="1">
        <v>1642.0</v>
      </c>
    </row>
    <row r="396">
      <c r="A396" s="1" t="s">
        <v>820</v>
      </c>
      <c r="B396" s="3" t="s">
        <v>821</v>
      </c>
      <c r="C396" s="1" t="s">
        <v>16</v>
      </c>
      <c r="D396" s="1" t="s">
        <v>95</v>
      </c>
      <c r="E396" s="1" t="s">
        <v>822</v>
      </c>
      <c r="F396" s="1" t="str">
        <f>IFERROR(__xludf.DUMMYFUNCTION("SPLIT(E396,""&gt;"")"),"Japanese Rarepepe")</f>
        <v>Japanese Rarepepe</v>
      </c>
      <c r="G396" s="1" t="str">
        <f>IFERROR(__xludf.DUMMYFUNCTION("""COMPUTED_VALUE"""),"Series 35")</f>
        <v>Series 35</v>
      </c>
      <c r="H396" s="1" t="s">
        <v>95</v>
      </c>
      <c r="I396" s="1" t="s">
        <v>823</v>
      </c>
      <c r="J396" s="4">
        <v>43160.0</v>
      </c>
      <c r="K396" s="1">
        <v>300.0</v>
      </c>
      <c r="L396" s="1">
        <v>300.0</v>
      </c>
      <c r="M396" s="1">
        <v>1711.0</v>
      </c>
    </row>
    <row r="397" hidden="1">
      <c r="A397" s="1" t="s">
        <v>820</v>
      </c>
      <c r="B397" s="3" t="s">
        <v>1629</v>
      </c>
      <c r="C397" s="1" t="s">
        <v>1569</v>
      </c>
      <c r="D397" s="1" t="s">
        <v>95</v>
      </c>
      <c r="E397" s="1" t="s">
        <v>822</v>
      </c>
      <c r="F397" s="1"/>
      <c r="G397" s="1"/>
      <c r="H397" s="1" t="s">
        <v>95</v>
      </c>
      <c r="I397" s="1" t="s">
        <v>823</v>
      </c>
      <c r="J397" s="4">
        <v>43160.0</v>
      </c>
      <c r="K397" s="1">
        <v>300.0</v>
      </c>
      <c r="L397" s="1">
        <v>300.0</v>
      </c>
      <c r="M397" s="1">
        <v>1711.0</v>
      </c>
    </row>
    <row r="398">
      <c r="A398" s="1" t="s">
        <v>824</v>
      </c>
      <c r="B398" s="3" t="s">
        <v>825</v>
      </c>
      <c r="C398" s="1" t="s">
        <v>16</v>
      </c>
      <c r="D398" s="1" t="s">
        <v>95</v>
      </c>
      <c r="E398" s="1" t="s">
        <v>826</v>
      </c>
      <c r="F398" s="1" t="str">
        <f>IFERROR(__xludf.DUMMYFUNCTION("SPLIT(E398,""&gt;"")"),"Japanese Rarepepe")</f>
        <v>Japanese Rarepepe</v>
      </c>
      <c r="G398" s="1" t="str">
        <f>IFERROR(__xludf.DUMMYFUNCTION("""COMPUTED_VALUE"""),"Series 36")</f>
        <v>Series 36</v>
      </c>
      <c r="H398" s="1" t="s">
        <v>95</v>
      </c>
      <c r="I398" s="1" t="s">
        <v>823</v>
      </c>
      <c r="J398" s="4">
        <v>43160.0</v>
      </c>
      <c r="K398" s="1">
        <v>300.0</v>
      </c>
      <c r="L398" s="1">
        <v>300.0</v>
      </c>
      <c r="M398" s="1">
        <v>1765.0</v>
      </c>
    </row>
    <row r="399" hidden="1">
      <c r="A399" s="1" t="s">
        <v>824</v>
      </c>
      <c r="B399" s="3" t="s">
        <v>1630</v>
      </c>
      <c r="C399" s="1" t="s">
        <v>1569</v>
      </c>
      <c r="D399" s="1" t="s">
        <v>95</v>
      </c>
      <c r="E399" s="1" t="s">
        <v>826</v>
      </c>
      <c r="F399" s="1"/>
      <c r="G399" s="1"/>
      <c r="H399" s="1" t="s">
        <v>95</v>
      </c>
      <c r="I399" s="1" t="s">
        <v>823</v>
      </c>
      <c r="J399" s="4">
        <v>43160.0</v>
      </c>
      <c r="K399" s="1">
        <v>300.0</v>
      </c>
      <c r="L399" s="1">
        <v>300.0</v>
      </c>
      <c r="M399" s="1">
        <v>1765.0</v>
      </c>
    </row>
    <row r="400">
      <c r="A400" s="1" t="s">
        <v>827</v>
      </c>
      <c r="B400" s="3" t="s">
        <v>828</v>
      </c>
      <c r="C400" s="1" t="s">
        <v>16</v>
      </c>
      <c r="D400" s="1" t="s">
        <v>23</v>
      </c>
      <c r="E400" s="1" t="s">
        <v>617</v>
      </c>
      <c r="F400" s="1" t="str">
        <f>IFERROR(__xludf.DUMMYFUNCTION("SPLIT(E400,""&gt;"")"),"Japanese Rarepepe")</f>
        <v>Japanese Rarepepe</v>
      </c>
      <c r="G400" s="1" t="str">
        <f>IFERROR(__xludf.DUMMYFUNCTION("""COMPUTED_VALUE"""),"Series 07")</f>
        <v>Series 07</v>
      </c>
      <c r="H400" s="1" t="s">
        <v>23</v>
      </c>
      <c r="I400" s="1" t="s">
        <v>622</v>
      </c>
      <c r="J400" s="4">
        <v>42675.0</v>
      </c>
      <c r="K400" s="1">
        <v>216.0</v>
      </c>
      <c r="L400" s="1">
        <v>216.0</v>
      </c>
      <c r="M400" s="1">
        <v>347.0</v>
      </c>
    </row>
    <row r="401" hidden="1">
      <c r="A401" s="1" t="s">
        <v>827</v>
      </c>
      <c r="B401" s="3" t="s">
        <v>1631</v>
      </c>
      <c r="C401" s="1" t="s">
        <v>1569</v>
      </c>
      <c r="D401" s="1" t="s">
        <v>23</v>
      </c>
      <c r="E401" s="1" t="s">
        <v>617</v>
      </c>
      <c r="F401" s="1"/>
      <c r="G401" s="1"/>
      <c r="H401" s="1" t="s">
        <v>23</v>
      </c>
      <c r="I401" s="1" t="s">
        <v>622</v>
      </c>
      <c r="J401" s="4">
        <v>42675.0</v>
      </c>
      <c r="K401" s="1">
        <v>216.0</v>
      </c>
      <c r="L401" s="1">
        <v>216.0</v>
      </c>
      <c r="M401" s="1">
        <v>347.0</v>
      </c>
    </row>
    <row r="402">
      <c r="A402" s="1" t="s">
        <v>829</v>
      </c>
      <c r="B402" s="3" t="s">
        <v>830</v>
      </c>
      <c r="C402" s="1" t="s">
        <v>16</v>
      </c>
      <c r="D402" s="1" t="s">
        <v>23</v>
      </c>
      <c r="E402" s="1" t="s">
        <v>625</v>
      </c>
      <c r="F402" s="1" t="str">
        <f>IFERROR(__xludf.DUMMYFUNCTION("SPLIT(E402,""&gt;"")"),"Japanese Rarepepe")</f>
        <v>Japanese Rarepepe</v>
      </c>
      <c r="G402" s="1" t="str">
        <f>IFERROR(__xludf.DUMMYFUNCTION("""COMPUTED_VALUE"""),"Series 08")</f>
        <v>Series 08</v>
      </c>
      <c r="H402" s="1" t="s">
        <v>23</v>
      </c>
      <c r="I402" s="1" t="s">
        <v>622</v>
      </c>
      <c r="J402" s="4">
        <v>42675.0</v>
      </c>
      <c r="K402" s="1">
        <v>216.0</v>
      </c>
      <c r="L402" s="1">
        <v>216.0</v>
      </c>
      <c r="M402" s="1">
        <v>357.0</v>
      </c>
    </row>
    <row r="403" hidden="1">
      <c r="A403" s="1" t="s">
        <v>829</v>
      </c>
      <c r="B403" s="3" t="s">
        <v>1632</v>
      </c>
      <c r="C403" s="1" t="s">
        <v>1569</v>
      </c>
      <c r="D403" s="1" t="s">
        <v>23</v>
      </c>
      <c r="E403" s="1" t="s">
        <v>625</v>
      </c>
      <c r="F403" s="1"/>
      <c r="G403" s="1"/>
      <c r="H403" s="1" t="s">
        <v>23</v>
      </c>
      <c r="I403" s="1" t="s">
        <v>622</v>
      </c>
      <c r="J403" s="4">
        <v>42675.0</v>
      </c>
      <c r="K403" s="1">
        <v>216.0</v>
      </c>
      <c r="L403" s="1">
        <v>216.0</v>
      </c>
      <c r="M403" s="1">
        <v>357.0</v>
      </c>
    </row>
    <row r="404">
      <c r="A404" s="1" t="s">
        <v>831</v>
      </c>
      <c r="B404" s="3" t="s">
        <v>832</v>
      </c>
      <c r="C404" s="1" t="s">
        <v>16</v>
      </c>
      <c r="D404" s="1" t="s">
        <v>23</v>
      </c>
      <c r="E404" s="1" t="s">
        <v>632</v>
      </c>
      <c r="F404" s="1" t="str">
        <f>IFERROR(__xludf.DUMMYFUNCTION("SPLIT(E404,""&gt;"")"),"Japanese Rarepepe")</f>
        <v>Japanese Rarepepe</v>
      </c>
      <c r="G404" s="1" t="str">
        <f>IFERROR(__xludf.DUMMYFUNCTION("""COMPUTED_VALUE"""),"Series 09")</f>
        <v>Series 09</v>
      </c>
      <c r="H404" s="1" t="s">
        <v>23</v>
      </c>
      <c r="I404" s="1" t="s">
        <v>636</v>
      </c>
      <c r="J404" s="4">
        <v>42705.0</v>
      </c>
      <c r="K404" s="1">
        <v>216.0</v>
      </c>
      <c r="L404" s="1">
        <v>216.0</v>
      </c>
      <c r="M404" s="1">
        <v>434.0</v>
      </c>
    </row>
    <row r="405" hidden="1">
      <c r="A405" s="1" t="s">
        <v>831</v>
      </c>
      <c r="B405" s="3" t="s">
        <v>1633</v>
      </c>
      <c r="C405" s="1" t="s">
        <v>1569</v>
      </c>
      <c r="D405" s="1" t="s">
        <v>23</v>
      </c>
      <c r="E405" s="1" t="s">
        <v>632</v>
      </c>
      <c r="F405" s="1"/>
      <c r="G405" s="1"/>
      <c r="H405" s="1" t="s">
        <v>23</v>
      </c>
      <c r="I405" s="1" t="s">
        <v>636</v>
      </c>
      <c r="J405" s="4">
        <v>42705.0</v>
      </c>
      <c r="K405" s="1">
        <v>216.0</v>
      </c>
      <c r="L405" s="1">
        <v>216.0</v>
      </c>
      <c r="M405" s="1">
        <v>434.0</v>
      </c>
    </row>
    <row r="406">
      <c r="A406" s="1" t="s">
        <v>833</v>
      </c>
      <c r="B406" s="3" t="s">
        <v>834</v>
      </c>
      <c r="C406" s="1" t="s">
        <v>16</v>
      </c>
      <c r="D406" s="1" t="s">
        <v>23</v>
      </c>
      <c r="E406" s="1" t="s">
        <v>635</v>
      </c>
      <c r="F406" s="1" t="str">
        <f>IFERROR(__xludf.DUMMYFUNCTION("SPLIT(E406,""&gt;"")"),"Japanese Rarepepe")</f>
        <v>Japanese Rarepepe</v>
      </c>
      <c r="G406" s="1" t="str">
        <f>IFERROR(__xludf.DUMMYFUNCTION("""COMPUTED_VALUE"""),"Series 10")</f>
        <v>Series 10</v>
      </c>
      <c r="H406" s="1" t="s">
        <v>23</v>
      </c>
      <c r="I406" s="1" t="s">
        <v>636</v>
      </c>
      <c r="J406" s="4">
        <v>42705.0</v>
      </c>
      <c r="K406" s="1">
        <v>108.0</v>
      </c>
      <c r="L406" s="1">
        <v>18.0</v>
      </c>
      <c r="M406" s="1">
        <v>452.0</v>
      </c>
    </row>
    <row r="407" hidden="1">
      <c r="A407" s="1" t="s">
        <v>833</v>
      </c>
      <c r="B407" s="3" t="s">
        <v>1634</v>
      </c>
      <c r="C407" s="1" t="s">
        <v>1569</v>
      </c>
      <c r="D407" s="1" t="s">
        <v>23</v>
      </c>
      <c r="E407" s="1" t="s">
        <v>635</v>
      </c>
      <c r="F407" s="1"/>
      <c r="G407" s="1"/>
      <c r="H407" s="1" t="s">
        <v>23</v>
      </c>
      <c r="I407" s="1" t="s">
        <v>636</v>
      </c>
      <c r="J407" s="4">
        <v>42705.0</v>
      </c>
      <c r="K407" s="1">
        <v>108.0</v>
      </c>
      <c r="L407" s="1">
        <v>18.0</v>
      </c>
      <c r="M407" s="1">
        <v>452.0</v>
      </c>
    </row>
    <row r="408">
      <c r="A408" s="1" t="s">
        <v>835</v>
      </c>
      <c r="B408" s="3" t="s">
        <v>836</v>
      </c>
      <c r="C408" s="1" t="s">
        <v>16</v>
      </c>
      <c r="D408" s="1" t="s">
        <v>23</v>
      </c>
      <c r="E408" s="1" t="s">
        <v>635</v>
      </c>
      <c r="F408" s="1" t="str">
        <f>IFERROR(__xludf.DUMMYFUNCTION("SPLIT(E408,""&gt;"")"),"Japanese Rarepepe")</f>
        <v>Japanese Rarepepe</v>
      </c>
      <c r="G408" s="1" t="str">
        <f>IFERROR(__xludf.DUMMYFUNCTION("""COMPUTED_VALUE"""),"Series 10")</f>
        <v>Series 10</v>
      </c>
      <c r="H408" s="1" t="s">
        <v>23</v>
      </c>
      <c r="I408" s="1" t="s">
        <v>715</v>
      </c>
      <c r="J408" s="4">
        <v>42736.0</v>
      </c>
      <c r="K408" s="1">
        <v>3333.0</v>
      </c>
      <c r="L408" s="1">
        <v>3332.0</v>
      </c>
      <c r="M408" s="1">
        <v>480.0</v>
      </c>
    </row>
    <row r="409" hidden="1">
      <c r="A409" s="1" t="s">
        <v>835</v>
      </c>
      <c r="B409" s="3" t="s">
        <v>1635</v>
      </c>
      <c r="C409" s="1" t="s">
        <v>1569</v>
      </c>
      <c r="D409" s="1" t="s">
        <v>23</v>
      </c>
      <c r="E409" s="1" t="s">
        <v>635</v>
      </c>
      <c r="F409" s="1"/>
      <c r="G409" s="1"/>
      <c r="H409" s="1" t="s">
        <v>23</v>
      </c>
      <c r="I409" s="1" t="s">
        <v>715</v>
      </c>
      <c r="J409" s="4">
        <v>42736.0</v>
      </c>
      <c r="K409" s="1">
        <v>3333.0</v>
      </c>
      <c r="L409" s="1">
        <v>3332.0</v>
      </c>
      <c r="M409" s="1">
        <v>480.0</v>
      </c>
    </row>
    <row r="410">
      <c r="A410" s="1" t="s">
        <v>837</v>
      </c>
      <c r="B410" s="3" t="s">
        <v>838</v>
      </c>
      <c r="C410" s="1" t="s">
        <v>16</v>
      </c>
      <c r="D410" s="1" t="s">
        <v>23</v>
      </c>
      <c r="E410" s="1" t="s">
        <v>674</v>
      </c>
      <c r="F410" s="1" t="str">
        <f>IFERROR(__xludf.DUMMYFUNCTION("SPLIT(E410,""&gt;"")"),"Japanese Rarepepe")</f>
        <v>Japanese Rarepepe</v>
      </c>
      <c r="G410" s="1" t="str">
        <f>IFERROR(__xludf.DUMMYFUNCTION("""COMPUTED_VALUE"""),"Series 20")</f>
        <v>Series 20</v>
      </c>
      <c r="H410" s="1" t="s">
        <v>23</v>
      </c>
      <c r="I410" s="1" t="s">
        <v>132</v>
      </c>
      <c r="J410" s="4">
        <v>42856.0</v>
      </c>
      <c r="K410" s="1">
        <v>500.0</v>
      </c>
      <c r="L410" s="1">
        <v>101.0</v>
      </c>
      <c r="M410" s="1">
        <v>998.0</v>
      </c>
    </row>
    <row r="411" hidden="1">
      <c r="A411" s="1" t="s">
        <v>837</v>
      </c>
      <c r="B411" s="3" t="s">
        <v>1636</v>
      </c>
      <c r="C411" s="1" t="s">
        <v>1569</v>
      </c>
      <c r="D411" s="1" t="s">
        <v>23</v>
      </c>
      <c r="E411" s="1" t="s">
        <v>674</v>
      </c>
      <c r="F411" s="1"/>
      <c r="G411" s="1"/>
      <c r="H411" s="1" t="s">
        <v>23</v>
      </c>
      <c r="I411" s="1" t="s">
        <v>132</v>
      </c>
      <c r="J411" s="4">
        <v>42856.0</v>
      </c>
      <c r="K411" s="1">
        <v>500.0</v>
      </c>
      <c r="L411" s="1">
        <v>101.0</v>
      </c>
      <c r="M411" s="1">
        <v>998.0</v>
      </c>
    </row>
    <row r="412">
      <c r="A412" s="1" t="s">
        <v>839</v>
      </c>
      <c r="B412" s="3" t="s">
        <v>840</v>
      </c>
      <c r="C412" s="1" t="s">
        <v>16</v>
      </c>
      <c r="D412" s="1" t="s">
        <v>23</v>
      </c>
      <c r="E412" s="1" t="s">
        <v>679</v>
      </c>
      <c r="F412" s="1" t="str">
        <f>IFERROR(__xludf.DUMMYFUNCTION("SPLIT(E412,""&gt;"")"),"Japanese Rarepepe")</f>
        <v>Japanese Rarepepe</v>
      </c>
      <c r="G412" s="1" t="str">
        <f>IFERROR(__xludf.DUMMYFUNCTION("""COMPUTED_VALUE"""),"Series 23")</f>
        <v>Series 23</v>
      </c>
      <c r="H412" s="1" t="s">
        <v>23</v>
      </c>
      <c r="I412" s="1" t="s">
        <v>288</v>
      </c>
      <c r="J412" s="4">
        <v>42917.0</v>
      </c>
      <c r="K412" s="1">
        <v>1000.0</v>
      </c>
      <c r="L412" s="1">
        <v>200.0</v>
      </c>
      <c r="M412" s="1">
        <v>1140.0</v>
      </c>
    </row>
    <row r="413" hidden="1">
      <c r="A413" s="1" t="s">
        <v>839</v>
      </c>
      <c r="B413" s="3" t="s">
        <v>1637</v>
      </c>
      <c r="C413" s="1" t="s">
        <v>1569</v>
      </c>
      <c r="D413" s="1" t="s">
        <v>23</v>
      </c>
      <c r="E413" s="1" t="s">
        <v>679</v>
      </c>
      <c r="F413" s="1"/>
      <c r="G413" s="1"/>
      <c r="H413" s="1" t="s">
        <v>23</v>
      </c>
      <c r="I413" s="1" t="s">
        <v>288</v>
      </c>
      <c r="J413" s="4">
        <v>42917.0</v>
      </c>
      <c r="K413" s="1">
        <v>1000.0</v>
      </c>
      <c r="L413" s="1">
        <v>200.0</v>
      </c>
      <c r="M413" s="1">
        <v>1140.0</v>
      </c>
    </row>
    <row r="414">
      <c r="A414" s="1" t="s">
        <v>841</v>
      </c>
      <c r="B414" s="3" t="s">
        <v>842</v>
      </c>
      <c r="C414" s="1" t="s">
        <v>16</v>
      </c>
      <c r="D414" s="1" t="s">
        <v>123</v>
      </c>
      <c r="E414" s="1" t="s">
        <v>635</v>
      </c>
      <c r="F414" s="1" t="str">
        <f>IFERROR(__xludf.DUMMYFUNCTION("SPLIT(E414,""&gt;"")"),"Japanese Rarepepe")</f>
        <v>Japanese Rarepepe</v>
      </c>
      <c r="G414" s="1" t="str">
        <f>IFERROR(__xludf.DUMMYFUNCTION("""COMPUTED_VALUE"""),"Series 10")</f>
        <v>Series 10</v>
      </c>
      <c r="H414" s="1" t="s">
        <v>123</v>
      </c>
      <c r="I414" s="1" t="s">
        <v>636</v>
      </c>
      <c r="J414" s="4">
        <v>42705.0</v>
      </c>
      <c r="K414" s="1">
        <v>300.0</v>
      </c>
      <c r="L414" s="1">
        <v>300.0</v>
      </c>
      <c r="M414" s="1">
        <v>449.0</v>
      </c>
    </row>
    <row r="415" hidden="1">
      <c r="A415" s="1" t="s">
        <v>841</v>
      </c>
      <c r="B415" s="3" t="s">
        <v>1638</v>
      </c>
      <c r="C415" s="1" t="s">
        <v>1569</v>
      </c>
      <c r="D415" s="1" t="s">
        <v>123</v>
      </c>
      <c r="E415" s="1" t="s">
        <v>635</v>
      </c>
      <c r="F415" s="1"/>
      <c r="G415" s="1"/>
      <c r="H415" s="1" t="s">
        <v>123</v>
      </c>
      <c r="I415" s="1" t="s">
        <v>636</v>
      </c>
      <c r="J415" s="4">
        <v>42705.0</v>
      </c>
      <c r="K415" s="1">
        <v>300.0</v>
      </c>
      <c r="L415" s="1">
        <v>300.0</v>
      </c>
      <c r="M415" s="1">
        <v>449.0</v>
      </c>
    </row>
    <row r="416">
      <c r="A416" s="1" t="s">
        <v>843</v>
      </c>
      <c r="B416" s="3" t="s">
        <v>844</v>
      </c>
      <c r="C416" s="1" t="s">
        <v>16</v>
      </c>
      <c r="D416" s="1" t="s">
        <v>159</v>
      </c>
      <c r="E416" s="1" t="s">
        <v>792</v>
      </c>
      <c r="F416" s="1" t="str">
        <f>IFERROR(__xludf.DUMMYFUNCTION("SPLIT(E416,""&gt;"")"),"Japanese Rarepepe")</f>
        <v>Japanese Rarepepe</v>
      </c>
      <c r="G416" s="1" t="str">
        <f>IFERROR(__xludf.DUMMYFUNCTION("""COMPUTED_VALUE"""),"Series 25")</f>
        <v>Series 25</v>
      </c>
      <c r="H416" s="1" t="s">
        <v>159</v>
      </c>
      <c r="I416" s="1" t="s">
        <v>395</v>
      </c>
      <c r="J416" s="4">
        <v>42948.0</v>
      </c>
      <c r="K416" s="1">
        <v>100.0</v>
      </c>
      <c r="L416" s="1">
        <v>100.0</v>
      </c>
      <c r="M416" s="1">
        <v>1214.0</v>
      </c>
    </row>
    <row r="417" hidden="1">
      <c r="A417" s="1" t="s">
        <v>843</v>
      </c>
      <c r="B417" s="3" t="s">
        <v>1639</v>
      </c>
      <c r="C417" s="1" t="s">
        <v>1569</v>
      </c>
      <c r="D417" s="1" t="s">
        <v>159</v>
      </c>
      <c r="E417" s="1" t="s">
        <v>792</v>
      </c>
      <c r="F417" s="1"/>
      <c r="G417" s="1"/>
      <c r="H417" s="1" t="s">
        <v>159</v>
      </c>
      <c r="I417" s="1" t="s">
        <v>395</v>
      </c>
      <c r="J417" s="4">
        <v>42948.0</v>
      </c>
      <c r="K417" s="1">
        <v>100.0</v>
      </c>
      <c r="L417" s="1">
        <v>100.0</v>
      </c>
      <c r="M417" s="1">
        <v>1214.0</v>
      </c>
    </row>
    <row r="418">
      <c r="A418" s="1" t="s">
        <v>845</v>
      </c>
      <c r="B418" s="3" t="s">
        <v>846</v>
      </c>
      <c r="C418" s="1" t="s">
        <v>16</v>
      </c>
      <c r="D418" s="1" t="s">
        <v>159</v>
      </c>
      <c r="E418" s="1" t="s">
        <v>584</v>
      </c>
      <c r="F418" s="1" t="str">
        <f>IFERROR(__xludf.DUMMYFUNCTION("SPLIT(E418,""&gt;"")"),"Japanese Rarepepe")</f>
        <v>Japanese Rarepepe</v>
      </c>
      <c r="G418" s="1" t="str">
        <f>IFERROR(__xludf.DUMMYFUNCTION("""COMPUTED_VALUE"""),"Series 27")</f>
        <v>Series 27</v>
      </c>
      <c r="H418" s="1" t="s">
        <v>159</v>
      </c>
      <c r="I418" s="1" t="s">
        <v>395</v>
      </c>
      <c r="J418" s="4">
        <v>42948.0</v>
      </c>
      <c r="K418" s="1">
        <v>100.0</v>
      </c>
      <c r="L418" s="1">
        <v>100.0</v>
      </c>
      <c r="M418" s="1">
        <v>1321.0</v>
      </c>
    </row>
    <row r="419" hidden="1">
      <c r="A419" s="1" t="s">
        <v>845</v>
      </c>
      <c r="B419" s="3" t="s">
        <v>1640</v>
      </c>
      <c r="C419" s="1" t="s">
        <v>1569</v>
      </c>
      <c r="D419" s="1" t="s">
        <v>159</v>
      </c>
      <c r="E419" s="1" t="s">
        <v>584</v>
      </c>
      <c r="F419" s="1"/>
      <c r="G419" s="1"/>
      <c r="H419" s="1" t="s">
        <v>159</v>
      </c>
      <c r="I419" s="1" t="s">
        <v>395</v>
      </c>
      <c r="J419" s="4">
        <v>42948.0</v>
      </c>
      <c r="K419" s="1">
        <v>100.0</v>
      </c>
      <c r="L419" s="1">
        <v>100.0</v>
      </c>
      <c r="M419" s="1">
        <v>1321.0</v>
      </c>
    </row>
    <row r="420">
      <c r="A420" s="1" t="s">
        <v>847</v>
      </c>
      <c r="B420" s="3" t="s">
        <v>848</v>
      </c>
      <c r="C420" s="1" t="s">
        <v>16</v>
      </c>
      <c r="D420" s="1" t="s">
        <v>159</v>
      </c>
      <c r="E420" s="1" t="s">
        <v>604</v>
      </c>
      <c r="F420" s="1" t="str">
        <f>IFERROR(__xludf.DUMMYFUNCTION("SPLIT(E420,""&gt;"")"),"Japanese Rarepepe")</f>
        <v>Japanese Rarepepe</v>
      </c>
      <c r="G420" s="1" t="str">
        <f>IFERROR(__xludf.DUMMYFUNCTION("""COMPUTED_VALUE"""),"Series 29")</f>
        <v>Series 29</v>
      </c>
      <c r="H420" s="1" t="s">
        <v>159</v>
      </c>
      <c r="I420" s="1" t="s">
        <v>545</v>
      </c>
      <c r="J420" s="4">
        <v>42979.0</v>
      </c>
      <c r="K420" s="1">
        <v>100.0</v>
      </c>
      <c r="L420" s="1">
        <v>100.0</v>
      </c>
      <c r="M420" s="1">
        <v>1400.0</v>
      </c>
    </row>
    <row r="421" hidden="1">
      <c r="A421" s="1" t="s">
        <v>847</v>
      </c>
      <c r="B421" s="3" t="s">
        <v>1641</v>
      </c>
      <c r="C421" s="1" t="s">
        <v>1569</v>
      </c>
      <c r="D421" s="1" t="s">
        <v>159</v>
      </c>
      <c r="E421" s="1" t="s">
        <v>604</v>
      </c>
      <c r="F421" s="1"/>
      <c r="G421" s="1"/>
      <c r="H421" s="1" t="s">
        <v>159</v>
      </c>
      <c r="I421" s="1" t="s">
        <v>545</v>
      </c>
      <c r="J421" s="4">
        <v>42979.0</v>
      </c>
      <c r="K421" s="1">
        <v>100.0</v>
      </c>
      <c r="L421" s="1">
        <v>100.0</v>
      </c>
      <c r="M421" s="1">
        <v>1400.0</v>
      </c>
    </row>
    <row r="422">
      <c r="A422" s="1" t="s">
        <v>849</v>
      </c>
      <c r="B422" s="3" t="s">
        <v>850</v>
      </c>
      <c r="C422" s="1" t="s">
        <v>16</v>
      </c>
      <c r="D422" s="1" t="s">
        <v>159</v>
      </c>
      <c r="E422" s="1" t="s">
        <v>604</v>
      </c>
      <c r="F422" s="1" t="str">
        <f>IFERROR(__xludf.DUMMYFUNCTION("SPLIT(E422,""&gt;"")"),"Japanese Rarepepe")</f>
        <v>Japanese Rarepepe</v>
      </c>
      <c r="G422" s="1" t="str">
        <f>IFERROR(__xludf.DUMMYFUNCTION("""COMPUTED_VALUE"""),"Series 29")</f>
        <v>Series 29</v>
      </c>
      <c r="H422" s="1" t="s">
        <v>159</v>
      </c>
      <c r="I422" s="1" t="s">
        <v>545</v>
      </c>
      <c r="J422" s="4">
        <v>42979.0</v>
      </c>
      <c r="K422" s="1">
        <v>100.0</v>
      </c>
      <c r="L422" s="1">
        <v>100.0</v>
      </c>
      <c r="M422" s="1">
        <v>1445.0</v>
      </c>
    </row>
    <row r="423" hidden="1">
      <c r="A423" s="1" t="s">
        <v>849</v>
      </c>
      <c r="B423" s="3" t="s">
        <v>1642</v>
      </c>
      <c r="C423" s="1" t="s">
        <v>1569</v>
      </c>
      <c r="D423" s="1" t="s">
        <v>159</v>
      </c>
      <c r="E423" s="1" t="s">
        <v>604</v>
      </c>
      <c r="F423" s="1"/>
      <c r="G423" s="1"/>
      <c r="H423" s="1" t="s">
        <v>159</v>
      </c>
      <c r="I423" s="1" t="s">
        <v>545</v>
      </c>
      <c r="J423" s="4">
        <v>42979.0</v>
      </c>
      <c r="K423" s="1">
        <v>100.0</v>
      </c>
      <c r="L423" s="1">
        <v>100.0</v>
      </c>
      <c r="M423" s="1">
        <v>1445.0</v>
      </c>
    </row>
    <row r="424">
      <c r="A424" s="1" t="s">
        <v>851</v>
      </c>
      <c r="B424" s="3" t="s">
        <v>852</v>
      </c>
      <c r="C424" s="1" t="s">
        <v>16</v>
      </c>
      <c r="D424" s="1" t="s">
        <v>159</v>
      </c>
      <c r="E424" s="1" t="s">
        <v>797</v>
      </c>
      <c r="F424" s="1" t="str">
        <f>IFERROR(__xludf.DUMMYFUNCTION("SPLIT(E424,""&gt;"")"),"Japanese Rarepepe")</f>
        <v>Japanese Rarepepe</v>
      </c>
      <c r="G424" s="1" t="str">
        <f>IFERROR(__xludf.DUMMYFUNCTION("""COMPUTED_VALUE"""),"Series 30")</f>
        <v>Series 30</v>
      </c>
      <c r="H424" s="1" t="s">
        <v>159</v>
      </c>
      <c r="I424" s="1" t="s">
        <v>853</v>
      </c>
      <c r="J424" s="4">
        <v>43009.0</v>
      </c>
      <c r="K424" s="1">
        <v>100.0</v>
      </c>
      <c r="L424" s="1">
        <v>100.0</v>
      </c>
      <c r="M424" s="1">
        <v>1471.0</v>
      </c>
    </row>
    <row r="425" hidden="1">
      <c r="A425" s="1" t="s">
        <v>851</v>
      </c>
      <c r="B425" s="3" t="s">
        <v>1643</v>
      </c>
      <c r="C425" s="1" t="s">
        <v>1569</v>
      </c>
      <c r="D425" s="1" t="s">
        <v>159</v>
      </c>
      <c r="E425" s="1" t="s">
        <v>797</v>
      </c>
      <c r="F425" s="1"/>
      <c r="G425" s="1"/>
      <c r="H425" s="1" t="s">
        <v>159</v>
      </c>
      <c r="I425" s="1" t="s">
        <v>853</v>
      </c>
      <c r="J425" s="4">
        <v>43009.0</v>
      </c>
      <c r="K425" s="1">
        <v>100.0</v>
      </c>
      <c r="L425" s="1">
        <v>100.0</v>
      </c>
      <c r="M425" s="1">
        <v>1471.0</v>
      </c>
    </row>
    <row r="426">
      <c r="A426" s="1" t="s">
        <v>854</v>
      </c>
      <c r="B426" s="3" t="s">
        <v>855</v>
      </c>
      <c r="C426" s="1" t="s">
        <v>16</v>
      </c>
      <c r="D426" s="1" t="s">
        <v>159</v>
      </c>
      <c r="E426" s="1" t="s">
        <v>822</v>
      </c>
      <c r="F426" s="1" t="str">
        <f>IFERROR(__xludf.DUMMYFUNCTION("SPLIT(E426,""&gt;"")"),"Japanese Rarepepe")</f>
        <v>Japanese Rarepepe</v>
      </c>
      <c r="G426" s="1" t="str">
        <f>IFERROR(__xludf.DUMMYFUNCTION("""COMPUTED_VALUE"""),"Series 35")</f>
        <v>Series 35</v>
      </c>
      <c r="H426" s="1" t="s">
        <v>159</v>
      </c>
      <c r="I426" s="1" t="s">
        <v>823</v>
      </c>
      <c r="J426" s="4">
        <v>43160.0</v>
      </c>
      <c r="K426" s="1">
        <v>100.0</v>
      </c>
      <c r="L426" s="1">
        <v>100.0</v>
      </c>
      <c r="M426" s="1">
        <v>1707.0</v>
      </c>
    </row>
    <row r="427" hidden="1">
      <c r="A427" s="1" t="s">
        <v>854</v>
      </c>
      <c r="B427" s="3" t="s">
        <v>1644</v>
      </c>
      <c r="C427" s="1" t="s">
        <v>1569</v>
      </c>
      <c r="D427" s="1" t="s">
        <v>159</v>
      </c>
      <c r="E427" s="1" t="s">
        <v>822</v>
      </c>
      <c r="F427" s="1"/>
      <c r="G427" s="1"/>
      <c r="H427" s="1" t="s">
        <v>159</v>
      </c>
      <c r="I427" s="1" t="s">
        <v>823</v>
      </c>
      <c r="J427" s="4">
        <v>43160.0</v>
      </c>
      <c r="K427" s="1">
        <v>100.0</v>
      </c>
      <c r="L427" s="1">
        <v>100.0</v>
      </c>
      <c r="M427" s="1">
        <v>1707.0</v>
      </c>
    </row>
    <row r="428">
      <c r="A428" s="1" t="s">
        <v>856</v>
      </c>
      <c r="B428" s="3" t="s">
        <v>857</v>
      </c>
      <c r="C428" s="1" t="s">
        <v>16</v>
      </c>
      <c r="D428" s="1" t="s">
        <v>168</v>
      </c>
      <c r="E428" s="1" t="s">
        <v>599</v>
      </c>
      <c r="F428" s="1" t="str">
        <f>IFERROR(__xludf.DUMMYFUNCTION("SPLIT(E428,""&gt;"")"),"Japanese Rarepepe")</f>
        <v>Japanese Rarepepe</v>
      </c>
      <c r="G428" s="1" t="str">
        <f>IFERROR(__xludf.DUMMYFUNCTION("""COMPUTED_VALUE"""),"Series 22")</f>
        <v>Series 22</v>
      </c>
      <c r="H428" s="1" t="s">
        <v>168</v>
      </c>
      <c r="I428" s="1" t="s">
        <v>288</v>
      </c>
      <c r="J428" s="4">
        <v>42917.0</v>
      </c>
      <c r="K428" s="1">
        <v>300.0</v>
      </c>
      <c r="L428" s="1">
        <v>100.0</v>
      </c>
      <c r="M428" s="1">
        <v>1066.0</v>
      </c>
    </row>
    <row r="429" hidden="1">
      <c r="A429" s="1" t="s">
        <v>856</v>
      </c>
      <c r="B429" s="3" t="s">
        <v>1645</v>
      </c>
      <c r="C429" s="1" t="s">
        <v>1569</v>
      </c>
      <c r="D429" s="1" t="s">
        <v>168</v>
      </c>
      <c r="E429" s="1" t="s">
        <v>599</v>
      </c>
      <c r="F429" s="1"/>
      <c r="G429" s="1"/>
      <c r="H429" s="1" t="s">
        <v>168</v>
      </c>
      <c r="I429" s="1" t="s">
        <v>288</v>
      </c>
      <c r="J429" s="4">
        <v>42917.0</v>
      </c>
      <c r="K429" s="1">
        <v>300.0</v>
      </c>
      <c r="L429" s="1">
        <v>100.0</v>
      </c>
      <c r="M429" s="1">
        <v>1066.0</v>
      </c>
    </row>
    <row r="430">
      <c r="A430" s="1" t="s">
        <v>858</v>
      </c>
      <c r="B430" s="3" t="s">
        <v>859</v>
      </c>
      <c r="C430" s="1" t="s">
        <v>16</v>
      </c>
      <c r="D430" s="1" t="s">
        <v>179</v>
      </c>
      <c r="E430" s="1" t="s">
        <v>797</v>
      </c>
      <c r="F430" s="1" t="str">
        <f>IFERROR(__xludf.DUMMYFUNCTION("SPLIT(E430,""&gt;"")"),"Japanese Rarepepe")</f>
        <v>Japanese Rarepepe</v>
      </c>
      <c r="G430" s="1" t="str">
        <f>IFERROR(__xludf.DUMMYFUNCTION("""COMPUTED_VALUE"""),"Series 30")</f>
        <v>Series 30</v>
      </c>
      <c r="H430" s="1" t="s">
        <v>179</v>
      </c>
      <c r="I430" s="1" t="s">
        <v>853</v>
      </c>
      <c r="J430" s="4">
        <v>43009.0</v>
      </c>
      <c r="K430" s="1">
        <v>1000.0</v>
      </c>
      <c r="L430" s="1">
        <v>1000.0</v>
      </c>
      <c r="M430" s="1">
        <v>1472.0</v>
      </c>
    </row>
    <row r="431" hidden="1">
      <c r="A431" s="1" t="s">
        <v>858</v>
      </c>
      <c r="B431" s="3" t="s">
        <v>1646</v>
      </c>
      <c r="C431" s="1" t="s">
        <v>1569</v>
      </c>
      <c r="D431" s="1" t="s">
        <v>179</v>
      </c>
      <c r="E431" s="1" t="s">
        <v>797</v>
      </c>
      <c r="F431" s="1"/>
      <c r="G431" s="1"/>
      <c r="H431" s="1" t="s">
        <v>179</v>
      </c>
      <c r="I431" s="1" t="s">
        <v>853</v>
      </c>
      <c r="J431" s="4">
        <v>43009.0</v>
      </c>
      <c r="K431" s="1">
        <v>1000.0</v>
      </c>
      <c r="L431" s="1">
        <v>1000.0</v>
      </c>
      <c r="M431" s="1">
        <v>1472.0</v>
      </c>
    </row>
    <row r="432">
      <c r="A432" s="1" t="s">
        <v>860</v>
      </c>
      <c r="B432" s="3" t="s">
        <v>861</v>
      </c>
      <c r="C432" s="1" t="s">
        <v>16</v>
      </c>
      <c r="D432" s="1" t="s">
        <v>17</v>
      </c>
      <c r="E432" s="1" t="s">
        <v>679</v>
      </c>
      <c r="F432" s="1" t="str">
        <f>IFERROR(__xludf.DUMMYFUNCTION("SPLIT(E432,""&gt;"")"),"Japanese Rarepepe")</f>
        <v>Japanese Rarepepe</v>
      </c>
      <c r="G432" s="1" t="str">
        <f>IFERROR(__xludf.DUMMYFUNCTION("""COMPUTED_VALUE"""),"Series 23")</f>
        <v>Series 23</v>
      </c>
      <c r="H432" s="1" t="s">
        <v>17</v>
      </c>
      <c r="I432" s="1" t="s">
        <v>288</v>
      </c>
      <c r="J432" s="4">
        <v>42917.0</v>
      </c>
      <c r="K432" s="1">
        <v>100.0</v>
      </c>
      <c r="L432" s="1">
        <v>100.0</v>
      </c>
      <c r="M432" s="1">
        <v>1144.0</v>
      </c>
    </row>
    <row r="433" hidden="1">
      <c r="A433" s="1" t="s">
        <v>860</v>
      </c>
      <c r="B433" s="3" t="s">
        <v>1647</v>
      </c>
      <c r="C433" s="1" t="s">
        <v>1569</v>
      </c>
      <c r="D433" s="1" t="s">
        <v>17</v>
      </c>
      <c r="E433" s="1" t="s">
        <v>679</v>
      </c>
      <c r="F433" s="1"/>
      <c r="G433" s="1"/>
      <c r="H433" s="1" t="s">
        <v>17</v>
      </c>
      <c r="I433" s="1" t="s">
        <v>288</v>
      </c>
      <c r="J433" s="4">
        <v>42917.0</v>
      </c>
      <c r="K433" s="1">
        <v>100.0</v>
      </c>
      <c r="L433" s="1">
        <v>100.0</v>
      </c>
      <c r="M433" s="1">
        <v>1144.0</v>
      </c>
    </row>
    <row r="434">
      <c r="A434" s="1" t="s">
        <v>862</v>
      </c>
      <c r="B434" s="3" t="s">
        <v>863</v>
      </c>
      <c r="C434" s="1" t="s">
        <v>16</v>
      </c>
      <c r="D434" s="1" t="s">
        <v>17</v>
      </c>
      <c r="E434" s="1" t="s">
        <v>581</v>
      </c>
      <c r="F434" s="1" t="str">
        <f>IFERROR(__xludf.DUMMYFUNCTION("SPLIT(E434,""&gt;"")"),"Japanese Rarepepe")</f>
        <v>Japanese Rarepepe</v>
      </c>
      <c r="G434" s="1" t="str">
        <f>IFERROR(__xludf.DUMMYFUNCTION("""COMPUTED_VALUE"""),"Series 24")</f>
        <v>Series 24</v>
      </c>
      <c r="H434" s="1" t="s">
        <v>17</v>
      </c>
      <c r="I434" s="1" t="s">
        <v>288</v>
      </c>
      <c r="J434" s="4">
        <v>42917.0</v>
      </c>
      <c r="K434" s="1">
        <v>100.0</v>
      </c>
      <c r="L434" s="1">
        <v>100.0</v>
      </c>
      <c r="M434" s="1">
        <v>1162.0</v>
      </c>
    </row>
    <row r="435" hidden="1">
      <c r="A435" s="1" t="s">
        <v>862</v>
      </c>
      <c r="B435" s="3" t="s">
        <v>1648</v>
      </c>
      <c r="C435" s="1" t="s">
        <v>1569</v>
      </c>
      <c r="D435" s="1" t="s">
        <v>17</v>
      </c>
      <c r="E435" s="1" t="s">
        <v>581</v>
      </c>
      <c r="F435" s="1"/>
      <c r="G435" s="1"/>
      <c r="H435" s="1" t="s">
        <v>17</v>
      </c>
      <c r="I435" s="1" t="s">
        <v>288</v>
      </c>
      <c r="J435" s="4">
        <v>42917.0</v>
      </c>
      <c r="K435" s="1">
        <v>100.0</v>
      </c>
      <c r="L435" s="1">
        <v>100.0</v>
      </c>
      <c r="M435" s="1">
        <v>1162.0</v>
      </c>
    </row>
    <row r="436">
      <c r="A436" s="1" t="s">
        <v>864</v>
      </c>
      <c r="B436" s="3" t="s">
        <v>865</v>
      </c>
      <c r="C436" s="1" t="s">
        <v>16</v>
      </c>
      <c r="D436" s="1" t="s">
        <v>17</v>
      </c>
      <c r="E436" s="1" t="s">
        <v>581</v>
      </c>
      <c r="F436" s="1" t="str">
        <f>IFERROR(__xludf.DUMMYFUNCTION("SPLIT(E436,""&gt;"")"),"Japanese Rarepepe")</f>
        <v>Japanese Rarepepe</v>
      </c>
      <c r="G436" s="1" t="str">
        <f>IFERROR(__xludf.DUMMYFUNCTION("""COMPUTED_VALUE"""),"Series 24")</f>
        <v>Series 24</v>
      </c>
      <c r="H436" s="1" t="s">
        <v>17</v>
      </c>
      <c r="I436" s="1" t="s">
        <v>288</v>
      </c>
      <c r="J436" s="4">
        <v>42917.0</v>
      </c>
      <c r="K436" s="1">
        <v>100.0</v>
      </c>
      <c r="L436" s="1">
        <v>100.0</v>
      </c>
      <c r="M436" s="1">
        <v>1185.0</v>
      </c>
    </row>
    <row r="437" hidden="1">
      <c r="A437" s="1" t="s">
        <v>864</v>
      </c>
      <c r="B437" s="3" t="s">
        <v>1649</v>
      </c>
      <c r="C437" s="1" t="s">
        <v>1569</v>
      </c>
      <c r="D437" s="1" t="s">
        <v>17</v>
      </c>
      <c r="E437" s="1" t="s">
        <v>581</v>
      </c>
      <c r="F437" s="1"/>
      <c r="G437" s="1"/>
      <c r="H437" s="1" t="s">
        <v>17</v>
      </c>
      <c r="I437" s="1" t="s">
        <v>288</v>
      </c>
      <c r="J437" s="4">
        <v>42917.0</v>
      </c>
      <c r="K437" s="1">
        <v>100.0</v>
      </c>
      <c r="L437" s="1">
        <v>100.0</v>
      </c>
      <c r="M437" s="1">
        <v>1185.0</v>
      </c>
    </row>
    <row r="438">
      <c r="A438" s="1" t="s">
        <v>866</v>
      </c>
      <c r="B438" s="3" t="s">
        <v>867</v>
      </c>
      <c r="C438" s="1" t="s">
        <v>16</v>
      </c>
      <c r="D438" s="1" t="s">
        <v>17</v>
      </c>
      <c r="E438" s="1" t="s">
        <v>792</v>
      </c>
      <c r="F438" s="1" t="str">
        <f>IFERROR(__xludf.DUMMYFUNCTION("SPLIT(E438,""&gt;"")"),"Japanese Rarepepe")</f>
        <v>Japanese Rarepepe</v>
      </c>
      <c r="G438" s="1" t="str">
        <f>IFERROR(__xludf.DUMMYFUNCTION("""COMPUTED_VALUE"""),"Series 25")</f>
        <v>Series 25</v>
      </c>
      <c r="H438" s="1" t="s">
        <v>17</v>
      </c>
      <c r="I438" s="1" t="s">
        <v>395</v>
      </c>
      <c r="J438" s="4">
        <v>42948.0</v>
      </c>
      <c r="K438" s="1">
        <v>100.0</v>
      </c>
      <c r="L438" s="1">
        <v>100.0</v>
      </c>
      <c r="M438" s="1">
        <v>1225.0</v>
      </c>
    </row>
    <row r="439" hidden="1">
      <c r="A439" s="1" t="s">
        <v>866</v>
      </c>
      <c r="B439" s="3" t="s">
        <v>1650</v>
      </c>
      <c r="C439" s="1" t="s">
        <v>1569</v>
      </c>
      <c r="D439" s="1" t="s">
        <v>17</v>
      </c>
      <c r="E439" s="1" t="s">
        <v>792</v>
      </c>
      <c r="F439" s="1"/>
      <c r="G439" s="1"/>
      <c r="H439" s="1" t="s">
        <v>17</v>
      </c>
      <c r="I439" s="1" t="s">
        <v>395</v>
      </c>
      <c r="J439" s="4">
        <v>42948.0</v>
      </c>
      <c r="K439" s="1">
        <v>100.0</v>
      </c>
      <c r="L439" s="1">
        <v>100.0</v>
      </c>
      <c r="M439" s="1">
        <v>1225.0</v>
      </c>
    </row>
    <row r="440">
      <c r="A440" s="1" t="s">
        <v>868</v>
      </c>
      <c r="B440" s="3" t="s">
        <v>869</v>
      </c>
      <c r="C440" s="1" t="s">
        <v>16</v>
      </c>
      <c r="D440" s="1" t="s">
        <v>17</v>
      </c>
      <c r="E440" s="1" t="s">
        <v>596</v>
      </c>
      <c r="F440" s="1" t="str">
        <f>IFERROR(__xludf.DUMMYFUNCTION("SPLIT(E440,""&gt;"")"),"Japanese Rarepepe")</f>
        <v>Japanese Rarepepe</v>
      </c>
      <c r="G440" s="1" t="str">
        <f>IFERROR(__xludf.DUMMYFUNCTION("""COMPUTED_VALUE"""),"Series 26")</f>
        <v>Series 26</v>
      </c>
      <c r="H440" s="1" t="s">
        <v>17</v>
      </c>
      <c r="I440" s="1" t="s">
        <v>395</v>
      </c>
      <c r="J440" s="4">
        <v>42948.0</v>
      </c>
      <c r="K440" s="1">
        <v>200.0</v>
      </c>
      <c r="L440" s="1">
        <v>100.0</v>
      </c>
      <c r="M440" s="1">
        <v>1259.0</v>
      </c>
    </row>
    <row r="441" hidden="1">
      <c r="A441" s="1" t="s">
        <v>868</v>
      </c>
      <c r="B441" s="3" t="s">
        <v>1651</v>
      </c>
      <c r="C441" s="1" t="s">
        <v>1569</v>
      </c>
      <c r="D441" s="1" t="s">
        <v>17</v>
      </c>
      <c r="E441" s="1" t="s">
        <v>596</v>
      </c>
      <c r="F441" s="1"/>
      <c r="G441" s="1"/>
      <c r="H441" s="1" t="s">
        <v>17</v>
      </c>
      <c r="I441" s="1" t="s">
        <v>395</v>
      </c>
      <c r="J441" s="4">
        <v>42948.0</v>
      </c>
      <c r="K441" s="1">
        <v>200.0</v>
      </c>
      <c r="L441" s="1">
        <v>100.0</v>
      </c>
      <c r="M441" s="1">
        <v>1259.0</v>
      </c>
    </row>
    <row r="442">
      <c r="A442" s="1" t="s">
        <v>870</v>
      </c>
      <c r="B442" s="3" t="s">
        <v>871</v>
      </c>
      <c r="C442" s="1" t="s">
        <v>16</v>
      </c>
      <c r="D442" s="1" t="s">
        <v>17</v>
      </c>
      <c r="E442" s="1" t="s">
        <v>596</v>
      </c>
      <c r="F442" s="1" t="str">
        <f>IFERROR(__xludf.DUMMYFUNCTION("SPLIT(E442,""&gt;"")"),"Japanese Rarepepe")</f>
        <v>Japanese Rarepepe</v>
      </c>
      <c r="G442" s="1" t="str">
        <f>IFERROR(__xludf.DUMMYFUNCTION("""COMPUTED_VALUE"""),"Series 26")</f>
        <v>Series 26</v>
      </c>
      <c r="H442" s="1" t="s">
        <v>17</v>
      </c>
      <c r="I442" s="1" t="s">
        <v>395</v>
      </c>
      <c r="J442" s="4">
        <v>42948.0</v>
      </c>
      <c r="K442" s="1">
        <v>150.0</v>
      </c>
      <c r="L442" s="1">
        <v>150.0</v>
      </c>
      <c r="M442" s="1">
        <v>1283.0</v>
      </c>
    </row>
    <row r="443" hidden="1">
      <c r="A443" s="1" t="s">
        <v>870</v>
      </c>
      <c r="B443" s="3" t="s">
        <v>1652</v>
      </c>
      <c r="C443" s="1" t="s">
        <v>1569</v>
      </c>
      <c r="D443" s="1" t="s">
        <v>17</v>
      </c>
      <c r="E443" s="1" t="s">
        <v>596</v>
      </c>
      <c r="F443" s="1"/>
      <c r="G443" s="1"/>
      <c r="H443" s="1" t="s">
        <v>17</v>
      </c>
      <c r="I443" s="1" t="s">
        <v>395</v>
      </c>
      <c r="J443" s="4">
        <v>42948.0</v>
      </c>
      <c r="K443" s="1">
        <v>150.0</v>
      </c>
      <c r="L443" s="1">
        <v>150.0</v>
      </c>
      <c r="M443" s="1">
        <v>1283.0</v>
      </c>
    </row>
    <row r="444">
      <c r="A444" s="1" t="s">
        <v>872</v>
      </c>
      <c r="B444" s="3" t="s">
        <v>873</v>
      </c>
      <c r="C444" s="1" t="s">
        <v>16</v>
      </c>
      <c r="D444" s="1" t="s">
        <v>17</v>
      </c>
      <c r="E444" s="1" t="s">
        <v>584</v>
      </c>
      <c r="F444" s="1" t="str">
        <f>IFERROR(__xludf.DUMMYFUNCTION("SPLIT(E444,""&gt;"")"),"Japanese Rarepepe")</f>
        <v>Japanese Rarepepe</v>
      </c>
      <c r="G444" s="1" t="str">
        <f>IFERROR(__xludf.DUMMYFUNCTION("""COMPUTED_VALUE"""),"Series 27")</f>
        <v>Series 27</v>
      </c>
      <c r="H444" s="1" t="s">
        <v>17</v>
      </c>
      <c r="I444" s="1" t="s">
        <v>395</v>
      </c>
      <c r="J444" s="4">
        <v>42948.0</v>
      </c>
      <c r="K444" s="1">
        <v>200.0</v>
      </c>
      <c r="L444" s="1">
        <v>200.0</v>
      </c>
      <c r="M444" s="1">
        <v>1315.0</v>
      </c>
    </row>
    <row r="445" hidden="1">
      <c r="A445" s="1" t="s">
        <v>872</v>
      </c>
      <c r="B445" s="3" t="s">
        <v>1653</v>
      </c>
      <c r="C445" s="1" t="s">
        <v>1569</v>
      </c>
      <c r="D445" s="1" t="s">
        <v>17</v>
      </c>
      <c r="E445" s="1" t="s">
        <v>584</v>
      </c>
      <c r="F445" s="1"/>
      <c r="G445" s="1"/>
      <c r="H445" s="1" t="s">
        <v>17</v>
      </c>
      <c r="I445" s="1" t="s">
        <v>395</v>
      </c>
      <c r="J445" s="4">
        <v>42948.0</v>
      </c>
      <c r="K445" s="1">
        <v>200.0</v>
      </c>
      <c r="L445" s="1">
        <v>200.0</v>
      </c>
      <c r="M445" s="1">
        <v>1315.0</v>
      </c>
    </row>
    <row r="446">
      <c r="A446" s="1" t="s">
        <v>874</v>
      </c>
      <c r="B446" s="3" t="s">
        <v>875</v>
      </c>
      <c r="C446" s="1" t="s">
        <v>16</v>
      </c>
      <c r="D446" s="1" t="s">
        <v>17</v>
      </c>
      <c r="E446" s="1" t="s">
        <v>876</v>
      </c>
      <c r="F446" s="1" t="str">
        <f>IFERROR(__xludf.DUMMYFUNCTION("SPLIT(E446,""&gt;"")"),"Japanese Rarepepe")</f>
        <v>Japanese Rarepepe</v>
      </c>
      <c r="G446" s="1" t="str">
        <f>IFERROR(__xludf.DUMMYFUNCTION("""COMPUTED_VALUE"""),"Series 28")</f>
        <v>Series 28</v>
      </c>
      <c r="H446" s="1" t="s">
        <v>17</v>
      </c>
      <c r="I446" s="1" t="s">
        <v>545</v>
      </c>
      <c r="J446" s="4">
        <v>42979.0</v>
      </c>
      <c r="K446" s="1">
        <v>150.0</v>
      </c>
      <c r="L446" s="1">
        <v>150.0</v>
      </c>
      <c r="M446" s="1">
        <v>1360.0</v>
      </c>
    </row>
    <row r="447" hidden="1">
      <c r="A447" s="1" t="s">
        <v>874</v>
      </c>
      <c r="B447" s="3" t="s">
        <v>1654</v>
      </c>
      <c r="C447" s="1" t="s">
        <v>1569</v>
      </c>
      <c r="D447" s="1" t="s">
        <v>17</v>
      </c>
      <c r="E447" s="1" t="s">
        <v>876</v>
      </c>
      <c r="F447" s="1"/>
      <c r="G447" s="1"/>
      <c r="H447" s="1" t="s">
        <v>17</v>
      </c>
      <c r="I447" s="1" t="s">
        <v>545</v>
      </c>
      <c r="J447" s="4">
        <v>42979.0</v>
      </c>
      <c r="K447" s="1">
        <v>150.0</v>
      </c>
      <c r="L447" s="1">
        <v>150.0</v>
      </c>
      <c r="M447" s="1">
        <v>1360.0</v>
      </c>
    </row>
    <row r="448">
      <c r="A448" s="1" t="s">
        <v>877</v>
      </c>
      <c r="B448" s="3" t="s">
        <v>878</v>
      </c>
      <c r="C448" s="1" t="s">
        <v>16</v>
      </c>
      <c r="D448" s="1" t="s">
        <v>17</v>
      </c>
      <c r="E448" s="1" t="s">
        <v>876</v>
      </c>
      <c r="F448" s="1" t="str">
        <f>IFERROR(__xludf.DUMMYFUNCTION("SPLIT(E448,""&gt;"")"),"Japanese Rarepepe")</f>
        <v>Japanese Rarepepe</v>
      </c>
      <c r="G448" s="1" t="str">
        <f>IFERROR(__xludf.DUMMYFUNCTION("""COMPUTED_VALUE"""),"Series 28")</f>
        <v>Series 28</v>
      </c>
      <c r="H448" s="1" t="s">
        <v>17</v>
      </c>
      <c r="I448" s="1" t="s">
        <v>545</v>
      </c>
      <c r="J448" s="4">
        <v>42979.0</v>
      </c>
      <c r="K448" s="1">
        <v>150.0</v>
      </c>
      <c r="L448" s="1">
        <v>150.0</v>
      </c>
      <c r="M448" s="1">
        <v>1375.0</v>
      </c>
    </row>
    <row r="449" hidden="1">
      <c r="A449" s="1" t="s">
        <v>877</v>
      </c>
      <c r="B449" s="3" t="s">
        <v>1655</v>
      </c>
      <c r="C449" s="1" t="s">
        <v>1569</v>
      </c>
      <c r="D449" s="1" t="s">
        <v>17</v>
      </c>
      <c r="E449" s="1" t="s">
        <v>876</v>
      </c>
      <c r="F449" s="1"/>
      <c r="G449" s="1"/>
      <c r="H449" s="1" t="s">
        <v>17</v>
      </c>
      <c r="I449" s="1" t="s">
        <v>545</v>
      </c>
      <c r="J449" s="4">
        <v>42979.0</v>
      </c>
      <c r="K449" s="1">
        <v>150.0</v>
      </c>
      <c r="L449" s="1">
        <v>150.0</v>
      </c>
      <c r="M449" s="1">
        <v>1375.0</v>
      </c>
    </row>
    <row r="450">
      <c r="A450" s="1" t="s">
        <v>879</v>
      </c>
      <c r="B450" s="3" t="s">
        <v>880</v>
      </c>
      <c r="C450" s="1" t="s">
        <v>16</v>
      </c>
      <c r="D450" s="1" t="s">
        <v>17</v>
      </c>
      <c r="E450" s="1" t="s">
        <v>604</v>
      </c>
      <c r="F450" s="1" t="str">
        <f>IFERROR(__xludf.DUMMYFUNCTION("SPLIT(E450,""&gt;"")"),"Japanese Rarepepe")</f>
        <v>Japanese Rarepepe</v>
      </c>
      <c r="G450" s="1" t="str">
        <f>IFERROR(__xludf.DUMMYFUNCTION("""COMPUTED_VALUE"""),"Series 29")</f>
        <v>Series 29</v>
      </c>
      <c r="H450" s="1" t="s">
        <v>17</v>
      </c>
      <c r="I450" s="1" t="s">
        <v>545</v>
      </c>
      <c r="J450" s="4">
        <v>42979.0</v>
      </c>
      <c r="K450" s="1">
        <v>150.0</v>
      </c>
      <c r="L450" s="1">
        <v>150.0</v>
      </c>
      <c r="M450" s="1">
        <v>1442.0</v>
      </c>
    </row>
    <row r="451" hidden="1">
      <c r="A451" s="1" t="s">
        <v>879</v>
      </c>
      <c r="B451" s="3" t="s">
        <v>1656</v>
      </c>
      <c r="C451" s="1" t="s">
        <v>1569</v>
      </c>
      <c r="D451" s="1" t="s">
        <v>17</v>
      </c>
      <c r="E451" s="1" t="s">
        <v>604</v>
      </c>
      <c r="F451" s="1"/>
      <c r="G451" s="1"/>
      <c r="H451" s="1" t="s">
        <v>17</v>
      </c>
      <c r="I451" s="1" t="s">
        <v>545</v>
      </c>
      <c r="J451" s="4">
        <v>42979.0</v>
      </c>
      <c r="K451" s="1">
        <v>150.0</v>
      </c>
      <c r="L451" s="1">
        <v>150.0</v>
      </c>
      <c r="M451" s="1">
        <v>1442.0</v>
      </c>
    </row>
    <row r="452">
      <c r="A452" s="1" t="s">
        <v>881</v>
      </c>
      <c r="B452" s="3" t="s">
        <v>882</v>
      </c>
      <c r="C452" s="1" t="s">
        <v>16</v>
      </c>
      <c r="D452" s="1" t="s">
        <v>17</v>
      </c>
      <c r="E452" s="1" t="s">
        <v>797</v>
      </c>
      <c r="F452" s="1" t="str">
        <f>IFERROR(__xludf.DUMMYFUNCTION("SPLIT(E452,""&gt;"")"),"Japanese Rarepepe")</f>
        <v>Japanese Rarepepe</v>
      </c>
      <c r="G452" s="1" t="str">
        <f>IFERROR(__xludf.DUMMYFUNCTION("""COMPUTED_VALUE"""),"Series 30")</f>
        <v>Series 30</v>
      </c>
      <c r="H452" s="1" t="s">
        <v>17</v>
      </c>
      <c r="I452" s="1" t="s">
        <v>545</v>
      </c>
      <c r="J452" s="4">
        <v>42979.0</v>
      </c>
      <c r="K452" s="1">
        <v>100.0</v>
      </c>
      <c r="L452" s="1">
        <v>100.0</v>
      </c>
      <c r="M452" s="1">
        <v>1455.0</v>
      </c>
    </row>
    <row r="453" hidden="1">
      <c r="A453" s="1" t="s">
        <v>881</v>
      </c>
      <c r="B453" s="3" t="s">
        <v>1657</v>
      </c>
      <c r="C453" s="1" t="s">
        <v>1569</v>
      </c>
      <c r="D453" s="1" t="s">
        <v>17</v>
      </c>
      <c r="E453" s="1" t="s">
        <v>797</v>
      </c>
      <c r="F453" s="1"/>
      <c r="G453" s="1"/>
      <c r="H453" s="1" t="s">
        <v>17</v>
      </c>
      <c r="I453" s="1" t="s">
        <v>545</v>
      </c>
      <c r="J453" s="4">
        <v>42979.0</v>
      </c>
      <c r="K453" s="1">
        <v>100.0</v>
      </c>
      <c r="L453" s="1">
        <v>100.0</v>
      </c>
      <c r="M453" s="1">
        <v>1455.0</v>
      </c>
    </row>
    <row r="454">
      <c r="A454" s="1" t="s">
        <v>883</v>
      </c>
      <c r="B454" s="3" t="s">
        <v>884</v>
      </c>
      <c r="C454" s="1" t="s">
        <v>16</v>
      </c>
      <c r="D454" s="1" t="s">
        <v>252</v>
      </c>
      <c r="E454" s="1" t="s">
        <v>578</v>
      </c>
      <c r="F454" s="1" t="str">
        <f>IFERROR(__xludf.DUMMYFUNCTION("SPLIT(E454,""&gt;"")"),"Japanese Rarepepe")</f>
        <v>Japanese Rarepepe</v>
      </c>
      <c r="G454" s="1" t="str">
        <f>IFERROR(__xludf.DUMMYFUNCTION("""COMPUTED_VALUE"""),"Series 21")</f>
        <v>Series 21</v>
      </c>
      <c r="H454" s="1" t="s">
        <v>252</v>
      </c>
      <c r="I454" s="1" t="s">
        <v>288</v>
      </c>
      <c r="J454" s="4">
        <v>42917.0</v>
      </c>
      <c r="K454" s="1">
        <v>10000.0</v>
      </c>
      <c r="L454" s="1">
        <v>888.0</v>
      </c>
      <c r="M454" s="1">
        <v>1017.0</v>
      </c>
    </row>
    <row r="455" hidden="1">
      <c r="A455" s="1" t="s">
        <v>883</v>
      </c>
      <c r="B455" s="3" t="s">
        <v>1658</v>
      </c>
      <c r="C455" s="1" t="s">
        <v>1569</v>
      </c>
      <c r="D455" s="1" t="s">
        <v>252</v>
      </c>
      <c r="E455" s="1" t="s">
        <v>578</v>
      </c>
      <c r="F455" s="1"/>
      <c r="G455" s="1"/>
      <c r="H455" s="1" t="s">
        <v>252</v>
      </c>
      <c r="I455" s="1" t="s">
        <v>288</v>
      </c>
      <c r="J455" s="4">
        <v>42917.0</v>
      </c>
      <c r="K455" s="1">
        <v>10000.0</v>
      </c>
      <c r="L455" s="1">
        <v>888.0</v>
      </c>
      <c r="M455" s="1">
        <v>1017.0</v>
      </c>
    </row>
    <row r="456">
      <c r="A456" s="1" t="s">
        <v>885</v>
      </c>
      <c r="B456" s="3" t="s">
        <v>886</v>
      </c>
      <c r="C456" s="1" t="s">
        <v>16</v>
      </c>
      <c r="D456" s="1" t="s">
        <v>252</v>
      </c>
      <c r="E456" s="1" t="s">
        <v>578</v>
      </c>
      <c r="F456" s="1" t="str">
        <f>IFERROR(__xludf.DUMMYFUNCTION("SPLIT(E456,""&gt;"")"),"Japanese Rarepepe")</f>
        <v>Japanese Rarepepe</v>
      </c>
      <c r="G456" s="1" t="str">
        <f>IFERROR(__xludf.DUMMYFUNCTION("""COMPUTED_VALUE"""),"Series 21")</f>
        <v>Series 21</v>
      </c>
      <c r="H456" s="1" t="s">
        <v>252</v>
      </c>
      <c r="I456" s="1" t="s">
        <v>288</v>
      </c>
      <c r="J456" s="4">
        <v>42917.0</v>
      </c>
      <c r="K456" s="1">
        <v>200.0</v>
      </c>
      <c r="L456" s="1">
        <v>100.0</v>
      </c>
      <c r="M456" s="1">
        <v>1041.0</v>
      </c>
    </row>
    <row r="457" hidden="1">
      <c r="A457" s="1" t="s">
        <v>885</v>
      </c>
      <c r="B457" s="3" t="s">
        <v>1659</v>
      </c>
      <c r="C457" s="1" t="s">
        <v>1569</v>
      </c>
      <c r="D457" s="1" t="s">
        <v>252</v>
      </c>
      <c r="E457" s="1" t="s">
        <v>578</v>
      </c>
      <c r="F457" s="1"/>
      <c r="G457" s="1"/>
      <c r="H457" s="1" t="s">
        <v>252</v>
      </c>
      <c r="I457" s="1" t="s">
        <v>288</v>
      </c>
      <c r="J457" s="4">
        <v>42917.0</v>
      </c>
      <c r="K457" s="1">
        <v>200.0</v>
      </c>
      <c r="L457" s="1">
        <v>100.0</v>
      </c>
      <c r="M457" s="1">
        <v>1041.0</v>
      </c>
    </row>
    <row r="458">
      <c r="A458" s="1" t="s">
        <v>887</v>
      </c>
      <c r="B458" s="3" t="s">
        <v>888</v>
      </c>
      <c r="C458" s="1" t="s">
        <v>16</v>
      </c>
      <c r="D458" s="1" t="s">
        <v>252</v>
      </c>
      <c r="E458" s="1" t="s">
        <v>599</v>
      </c>
      <c r="F458" s="1" t="str">
        <f>IFERROR(__xludf.DUMMYFUNCTION("SPLIT(E458,""&gt;"")"),"Japanese Rarepepe")</f>
        <v>Japanese Rarepepe</v>
      </c>
      <c r="G458" s="1" t="str">
        <f>IFERROR(__xludf.DUMMYFUNCTION("""COMPUTED_VALUE"""),"Series 22")</f>
        <v>Series 22</v>
      </c>
      <c r="H458" s="1" t="s">
        <v>252</v>
      </c>
      <c r="I458" s="1" t="s">
        <v>288</v>
      </c>
      <c r="J458" s="4">
        <v>42917.0</v>
      </c>
      <c r="K458" s="1">
        <v>100.0</v>
      </c>
      <c r="L458" s="1">
        <v>100.0</v>
      </c>
      <c r="M458" s="1">
        <v>1072.0</v>
      </c>
    </row>
    <row r="459" hidden="1">
      <c r="A459" s="1" t="s">
        <v>887</v>
      </c>
      <c r="B459" s="3" t="s">
        <v>1660</v>
      </c>
      <c r="C459" s="1" t="s">
        <v>1569</v>
      </c>
      <c r="D459" s="1" t="s">
        <v>252</v>
      </c>
      <c r="E459" s="1" t="s">
        <v>599</v>
      </c>
      <c r="F459" s="1"/>
      <c r="G459" s="1"/>
      <c r="H459" s="1" t="s">
        <v>252</v>
      </c>
      <c r="I459" s="1" t="s">
        <v>288</v>
      </c>
      <c r="J459" s="4">
        <v>42917.0</v>
      </c>
      <c r="K459" s="1">
        <v>100.0</v>
      </c>
      <c r="L459" s="1">
        <v>100.0</v>
      </c>
      <c r="M459" s="1">
        <v>1072.0</v>
      </c>
    </row>
    <row r="460">
      <c r="A460" s="1" t="s">
        <v>889</v>
      </c>
      <c r="B460" s="3" t="s">
        <v>890</v>
      </c>
      <c r="C460" s="1" t="s">
        <v>16</v>
      </c>
      <c r="D460" s="1" t="s">
        <v>252</v>
      </c>
      <c r="E460" s="1" t="s">
        <v>679</v>
      </c>
      <c r="F460" s="1" t="str">
        <f>IFERROR(__xludf.DUMMYFUNCTION("SPLIT(E460,""&gt;"")"),"Japanese Rarepepe")</f>
        <v>Japanese Rarepepe</v>
      </c>
      <c r="G460" s="1" t="str">
        <f>IFERROR(__xludf.DUMMYFUNCTION("""COMPUTED_VALUE"""),"Series 23")</f>
        <v>Series 23</v>
      </c>
      <c r="H460" s="1" t="s">
        <v>252</v>
      </c>
      <c r="I460" s="1" t="s">
        <v>288</v>
      </c>
      <c r="J460" s="4">
        <v>42917.0</v>
      </c>
      <c r="K460" s="1">
        <v>100.0</v>
      </c>
      <c r="L460" s="1">
        <v>100.0</v>
      </c>
      <c r="M460" s="1">
        <v>1115.0</v>
      </c>
    </row>
    <row r="461" hidden="1">
      <c r="A461" s="1" t="s">
        <v>889</v>
      </c>
      <c r="B461" s="3" t="s">
        <v>1661</v>
      </c>
      <c r="C461" s="1" t="s">
        <v>1569</v>
      </c>
      <c r="D461" s="1" t="s">
        <v>252</v>
      </c>
      <c r="E461" s="1" t="s">
        <v>679</v>
      </c>
      <c r="F461" s="1"/>
      <c r="G461" s="1"/>
      <c r="H461" s="1" t="s">
        <v>252</v>
      </c>
      <c r="I461" s="1" t="s">
        <v>288</v>
      </c>
      <c r="J461" s="4">
        <v>42917.0</v>
      </c>
      <c r="K461" s="1">
        <v>100.0</v>
      </c>
      <c r="L461" s="1">
        <v>100.0</v>
      </c>
      <c r="M461" s="1">
        <v>1115.0</v>
      </c>
    </row>
    <row r="462">
      <c r="A462" s="1" t="s">
        <v>891</v>
      </c>
      <c r="B462" s="3" t="s">
        <v>892</v>
      </c>
      <c r="C462" s="1" t="s">
        <v>16</v>
      </c>
      <c r="D462" s="1" t="s">
        <v>252</v>
      </c>
      <c r="E462" s="1" t="s">
        <v>679</v>
      </c>
      <c r="F462" s="1" t="str">
        <f>IFERROR(__xludf.DUMMYFUNCTION("SPLIT(E462,""&gt;"")"),"Japanese Rarepepe")</f>
        <v>Japanese Rarepepe</v>
      </c>
      <c r="G462" s="1" t="str">
        <f>IFERROR(__xludf.DUMMYFUNCTION("""COMPUTED_VALUE"""),"Series 23")</f>
        <v>Series 23</v>
      </c>
      <c r="H462" s="1" t="s">
        <v>252</v>
      </c>
      <c r="I462" s="1" t="s">
        <v>288</v>
      </c>
      <c r="J462" s="4">
        <v>42917.0</v>
      </c>
      <c r="K462" s="1">
        <v>100.0</v>
      </c>
      <c r="L462" s="1">
        <v>100.0</v>
      </c>
      <c r="M462" s="1">
        <v>1147.0</v>
      </c>
    </row>
    <row r="463" hidden="1">
      <c r="A463" s="1" t="s">
        <v>891</v>
      </c>
      <c r="B463" s="3" t="s">
        <v>1662</v>
      </c>
      <c r="C463" s="1" t="s">
        <v>1569</v>
      </c>
      <c r="D463" s="1" t="s">
        <v>252</v>
      </c>
      <c r="E463" s="1" t="s">
        <v>679</v>
      </c>
      <c r="F463" s="1"/>
      <c r="G463" s="1"/>
      <c r="H463" s="1" t="s">
        <v>252</v>
      </c>
      <c r="I463" s="1" t="s">
        <v>288</v>
      </c>
      <c r="J463" s="4">
        <v>42917.0</v>
      </c>
      <c r="K463" s="1">
        <v>100.0</v>
      </c>
      <c r="L463" s="1">
        <v>100.0</v>
      </c>
      <c r="M463" s="1">
        <v>1147.0</v>
      </c>
    </row>
    <row r="464">
      <c r="A464" s="1" t="s">
        <v>893</v>
      </c>
      <c r="B464" s="3" t="s">
        <v>894</v>
      </c>
      <c r="C464" s="1" t="s">
        <v>16</v>
      </c>
      <c r="D464" s="1" t="s">
        <v>252</v>
      </c>
      <c r="E464" s="1" t="s">
        <v>792</v>
      </c>
      <c r="F464" s="1" t="str">
        <f>IFERROR(__xludf.DUMMYFUNCTION("SPLIT(E464,""&gt;"")"),"Japanese Rarepepe")</f>
        <v>Japanese Rarepepe</v>
      </c>
      <c r="G464" s="1" t="str">
        <f>IFERROR(__xludf.DUMMYFUNCTION("""COMPUTED_VALUE"""),"Series 25")</f>
        <v>Series 25</v>
      </c>
      <c r="H464" s="1" t="s">
        <v>252</v>
      </c>
      <c r="I464" s="1" t="s">
        <v>395</v>
      </c>
      <c r="J464" s="4">
        <v>42948.0</v>
      </c>
      <c r="K464" s="1">
        <v>100.0</v>
      </c>
      <c r="L464" s="1">
        <v>100.0</v>
      </c>
      <c r="M464" s="1">
        <v>1226.0</v>
      </c>
    </row>
    <row r="465" hidden="1">
      <c r="A465" s="1" t="s">
        <v>893</v>
      </c>
      <c r="B465" s="3" t="s">
        <v>1663</v>
      </c>
      <c r="C465" s="1" t="s">
        <v>1569</v>
      </c>
      <c r="D465" s="1" t="s">
        <v>252</v>
      </c>
      <c r="E465" s="1" t="s">
        <v>792</v>
      </c>
      <c r="F465" s="1"/>
      <c r="G465" s="1"/>
      <c r="H465" s="1" t="s">
        <v>252</v>
      </c>
      <c r="I465" s="1" t="s">
        <v>395</v>
      </c>
      <c r="J465" s="4">
        <v>42948.0</v>
      </c>
      <c r="K465" s="1">
        <v>100.0</v>
      </c>
      <c r="L465" s="1">
        <v>100.0</v>
      </c>
      <c r="M465" s="1">
        <v>1226.0</v>
      </c>
    </row>
    <row r="466">
      <c r="A466" s="1" t="s">
        <v>895</v>
      </c>
      <c r="B466" s="3" t="s">
        <v>896</v>
      </c>
      <c r="C466" s="1" t="s">
        <v>16</v>
      </c>
      <c r="D466" s="1" t="s">
        <v>252</v>
      </c>
      <c r="E466" s="1" t="s">
        <v>604</v>
      </c>
      <c r="F466" s="1" t="str">
        <f>IFERROR(__xludf.DUMMYFUNCTION("SPLIT(E466,""&gt;"")"),"Japanese Rarepepe")</f>
        <v>Japanese Rarepepe</v>
      </c>
      <c r="G466" s="1" t="str">
        <f>IFERROR(__xludf.DUMMYFUNCTION("""COMPUTED_VALUE"""),"Series 29")</f>
        <v>Series 29</v>
      </c>
      <c r="H466" s="1" t="s">
        <v>252</v>
      </c>
      <c r="I466" s="1" t="s">
        <v>545</v>
      </c>
      <c r="J466" s="4">
        <v>42979.0</v>
      </c>
      <c r="K466" s="1">
        <v>60.0</v>
      </c>
      <c r="L466" s="1">
        <v>60.0</v>
      </c>
      <c r="M466" s="1">
        <v>1423.0</v>
      </c>
    </row>
    <row r="467" hidden="1">
      <c r="A467" s="1" t="s">
        <v>895</v>
      </c>
      <c r="B467" s="3" t="s">
        <v>1664</v>
      </c>
      <c r="C467" s="1" t="s">
        <v>1569</v>
      </c>
      <c r="D467" s="1" t="s">
        <v>252</v>
      </c>
      <c r="E467" s="1" t="s">
        <v>604</v>
      </c>
      <c r="F467" s="1"/>
      <c r="G467" s="1"/>
      <c r="H467" s="1" t="s">
        <v>252</v>
      </c>
      <c r="I467" s="1" t="s">
        <v>545</v>
      </c>
      <c r="J467" s="4">
        <v>42979.0</v>
      </c>
      <c r="K467" s="1">
        <v>60.0</v>
      </c>
      <c r="L467" s="1">
        <v>60.0</v>
      </c>
      <c r="M467" s="1">
        <v>1423.0</v>
      </c>
    </row>
    <row r="468">
      <c r="A468" s="1" t="s">
        <v>897</v>
      </c>
      <c r="B468" s="3" t="s">
        <v>898</v>
      </c>
      <c r="C468" s="1" t="s">
        <v>16</v>
      </c>
      <c r="D468" s="1" t="s">
        <v>252</v>
      </c>
      <c r="E468" s="1" t="s">
        <v>604</v>
      </c>
      <c r="F468" s="1" t="str">
        <f>IFERROR(__xludf.DUMMYFUNCTION("SPLIT(E468,""&gt;"")"),"Japanese Rarepepe")</f>
        <v>Japanese Rarepepe</v>
      </c>
      <c r="G468" s="1" t="str">
        <f>IFERROR(__xludf.DUMMYFUNCTION("""COMPUTED_VALUE"""),"Series 29")</f>
        <v>Series 29</v>
      </c>
      <c r="H468" s="1" t="s">
        <v>252</v>
      </c>
      <c r="I468" s="1" t="s">
        <v>545</v>
      </c>
      <c r="J468" s="4">
        <v>42979.0</v>
      </c>
      <c r="K468" s="1">
        <v>100.0</v>
      </c>
      <c r="L468" s="1">
        <v>66.0</v>
      </c>
      <c r="M468" s="1">
        <v>1444.0</v>
      </c>
    </row>
    <row r="469" hidden="1">
      <c r="A469" s="1" t="s">
        <v>897</v>
      </c>
      <c r="B469" s="3" t="s">
        <v>1665</v>
      </c>
      <c r="C469" s="1" t="s">
        <v>1569</v>
      </c>
      <c r="D469" s="1" t="s">
        <v>252</v>
      </c>
      <c r="E469" s="1" t="s">
        <v>604</v>
      </c>
      <c r="F469" s="1"/>
      <c r="G469" s="1"/>
      <c r="H469" s="1" t="s">
        <v>252</v>
      </c>
      <c r="I469" s="1" t="s">
        <v>545</v>
      </c>
      <c r="J469" s="4">
        <v>42979.0</v>
      </c>
      <c r="K469" s="1">
        <v>100.0</v>
      </c>
      <c r="L469" s="1">
        <v>66.0</v>
      </c>
      <c r="M469" s="1">
        <v>1444.0</v>
      </c>
    </row>
    <row r="470">
      <c r="A470" s="1" t="s">
        <v>899</v>
      </c>
      <c r="B470" s="3" t="s">
        <v>900</v>
      </c>
      <c r="C470" s="1" t="s">
        <v>16</v>
      </c>
      <c r="D470" s="1" t="s">
        <v>252</v>
      </c>
      <c r="E470" s="1" t="s">
        <v>797</v>
      </c>
      <c r="F470" s="1" t="str">
        <f>IFERROR(__xludf.DUMMYFUNCTION("SPLIT(E470,""&gt;"")"),"Japanese Rarepepe")</f>
        <v>Japanese Rarepepe</v>
      </c>
      <c r="G470" s="1" t="str">
        <f>IFERROR(__xludf.DUMMYFUNCTION("""COMPUTED_VALUE"""),"Series 30")</f>
        <v>Series 30</v>
      </c>
      <c r="H470" s="1" t="s">
        <v>252</v>
      </c>
      <c r="I470" s="1" t="s">
        <v>545</v>
      </c>
      <c r="J470" s="4">
        <v>42979.0</v>
      </c>
      <c r="K470" s="1">
        <v>100.0</v>
      </c>
      <c r="L470" s="1">
        <v>55.0</v>
      </c>
      <c r="M470" s="1">
        <v>1450.0</v>
      </c>
    </row>
    <row r="471" hidden="1">
      <c r="A471" s="1" t="s">
        <v>899</v>
      </c>
      <c r="B471" s="3" t="s">
        <v>1666</v>
      </c>
      <c r="C471" s="1" t="s">
        <v>1569</v>
      </c>
      <c r="D471" s="1" t="s">
        <v>252</v>
      </c>
      <c r="E471" s="1" t="s">
        <v>797</v>
      </c>
      <c r="F471" s="1"/>
      <c r="G471" s="1"/>
      <c r="H471" s="1" t="s">
        <v>252</v>
      </c>
      <c r="I471" s="1" t="s">
        <v>545</v>
      </c>
      <c r="J471" s="4">
        <v>42979.0</v>
      </c>
      <c r="K471" s="1">
        <v>100.0</v>
      </c>
      <c r="L471" s="1">
        <v>55.0</v>
      </c>
      <c r="M471" s="1">
        <v>1450.0</v>
      </c>
    </row>
    <row r="472">
      <c r="A472" s="1" t="s">
        <v>901</v>
      </c>
      <c r="B472" s="3" t="s">
        <v>902</v>
      </c>
      <c r="C472" s="1" t="s">
        <v>16</v>
      </c>
      <c r="D472" s="1" t="s">
        <v>255</v>
      </c>
      <c r="E472" s="1" t="s">
        <v>797</v>
      </c>
      <c r="F472" s="1" t="str">
        <f>IFERROR(__xludf.DUMMYFUNCTION("SPLIT(E472,""&gt;"")"),"Japanese Rarepepe")</f>
        <v>Japanese Rarepepe</v>
      </c>
      <c r="G472" s="1" t="str">
        <f>IFERROR(__xludf.DUMMYFUNCTION("""COMPUTED_VALUE"""),"Series 30")</f>
        <v>Series 30</v>
      </c>
      <c r="H472" s="1" t="s">
        <v>255</v>
      </c>
      <c r="I472" s="1" t="s">
        <v>853</v>
      </c>
      <c r="J472" s="4">
        <v>43009.0</v>
      </c>
      <c r="K472" s="1">
        <v>100.0</v>
      </c>
      <c r="L472" s="1">
        <v>100.0</v>
      </c>
      <c r="M472" s="1">
        <v>1496.0</v>
      </c>
    </row>
    <row r="473" hidden="1">
      <c r="A473" s="1" t="s">
        <v>901</v>
      </c>
      <c r="B473" s="3" t="s">
        <v>1667</v>
      </c>
      <c r="C473" s="1" t="s">
        <v>1569</v>
      </c>
      <c r="D473" s="1" t="s">
        <v>255</v>
      </c>
      <c r="E473" s="1" t="s">
        <v>797</v>
      </c>
      <c r="F473" s="1"/>
      <c r="G473" s="1"/>
      <c r="H473" s="1" t="s">
        <v>255</v>
      </c>
      <c r="I473" s="1" t="s">
        <v>853</v>
      </c>
      <c r="J473" s="4">
        <v>43009.0</v>
      </c>
      <c r="K473" s="1">
        <v>100.0</v>
      </c>
      <c r="L473" s="1">
        <v>100.0</v>
      </c>
      <c r="M473" s="1">
        <v>1496.0</v>
      </c>
    </row>
    <row r="474" hidden="1">
      <c r="A474" s="1" t="s">
        <v>602</v>
      </c>
      <c r="B474" s="3" t="s">
        <v>1668</v>
      </c>
      <c r="C474" s="1" t="s">
        <v>1569</v>
      </c>
      <c r="D474" s="1" t="s">
        <v>17</v>
      </c>
      <c r="E474" s="1" t="s">
        <v>604</v>
      </c>
      <c r="F474" s="1"/>
      <c r="G474" s="1"/>
      <c r="H474" s="1" t="s">
        <v>17</v>
      </c>
      <c r="I474" s="1" t="s">
        <v>545</v>
      </c>
      <c r="J474" s="4">
        <v>42979.0</v>
      </c>
      <c r="K474" s="1">
        <v>300.0</v>
      </c>
      <c r="L474" s="1">
        <v>300.0</v>
      </c>
      <c r="M474" s="1">
        <v>1412.0</v>
      </c>
    </row>
    <row r="475">
      <c r="A475" s="1" t="s">
        <v>903</v>
      </c>
      <c r="B475" s="3" t="s">
        <v>904</v>
      </c>
      <c r="C475" s="1" t="s">
        <v>16</v>
      </c>
      <c r="D475" s="1" t="s">
        <v>286</v>
      </c>
      <c r="E475" s="1" t="s">
        <v>608</v>
      </c>
      <c r="F475" s="1" t="str">
        <f>IFERROR(__xludf.DUMMYFUNCTION("SPLIT(E475,""&gt;"")"),"Japanese Rarepepe")</f>
        <v>Japanese Rarepepe</v>
      </c>
      <c r="G475" s="1" t="str">
        <f>IFERROR(__xludf.DUMMYFUNCTION("""COMPUTED_VALUE"""),"Series 05")</f>
        <v>Series 05</v>
      </c>
      <c r="H475" s="1" t="s">
        <v>286</v>
      </c>
      <c r="I475" s="1" t="s">
        <v>609</v>
      </c>
      <c r="J475" s="4">
        <v>42644.0</v>
      </c>
      <c r="K475" s="1">
        <v>5000.0</v>
      </c>
      <c r="L475" s="1">
        <v>500.0</v>
      </c>
      <c r="M475" s="1">
        <v>218.0</v>
      </c>
    </row>
    <row r="476" hidden="1">
      <c r="A476" s="1" t="s">
        <v>903</v>
      </c>
      <c r="B476" s="3" t="s">
        <v>1669</v>
      </c>
      <c r="C476" s="1" t="s">
        <v>1569</v>
      </c>
      <c r="D476" s="1" t="s">
        <v>286</v>
      </c>
      <c r="E476" s="1" t="s">
        <v>608</v>
      </c>
      <c r="F476" s="1"/>
      <c r="G476" s="1"/>
      <c r="H476" s="1" t="s">
        <v>286</v>
      </c>
      <c r="I476" s="1" t="s">
        <v>609</v>
      </c>
      <c r="J476" s="4">
        <v>42644.0</v>
      </c>
      <c r="K476" s="1">
        <v>5000.0</v>
      </c>
      <c r="L476" s="1">
        <v>500.0</v>
      </c>
      <c r="M476" s="1">
        <v>218.0</v>
      </c>
    </row>
    <row r="477">
      <c r="A477" s="1" t="s">
        <v>905</v>
      </c>
      <c r="B477" s="3" t="s">
        <v>906</v>
      </c>
      <c r="C477" s="1" t="s">
        <v>16</v>
      </c>
      <c r="D477" s="1" t="s">
        <v>330</v>
      </c>
      <c r="E477" s="1" t="s">
        <v>581</v>
      </c>
      <c r="F477" s="1" t="str">
        <f>IFERROR(__xludf.DUMMYFUNCTION("SPLIT(E477,""&gt;"")"),"Japanese Rarepepe")</f>
        <v>Japanese Rarepepe</v>
      </c>
      <c r="G477" s="1" t="str">
        <f>IFERROR(__xludf.DUMMYFUNCTION("""COMPUTED_VALUE"""),"Series 24")</f>
        <v>Series 24</v>
      </c>
      <c r="H477" s="1" t="s">
        <v>330</v>
      </c>
      <c r="I477" s="1" t="s">
        <v>288</v>
      </c>
      <c r="J477" s="4">
        <v>42917.0</v>
      </c>
      <c r="K477" s="1">
        <v>200.0</v>
      </c>
      <c r="L477" s="1">
        <v>200.0</v>
      </c>
      <c r="M477" s="1">
        <v>1160.0</v>
      </c>
    </row>
    <row r="478" hidden="1">
      <c r="A478" s="1" t="s">
        <v>905</v>
      </c>
      <c r="B478" s="3" t="s">
        <v>1670</v>
      </c>
      <c r="C478" s="1" t="s">
        <v>1569</v>
      </c>
      <c r="D478" s="1" t="s">
        <v>330</v>
      </c>
      <c r="E478" s="1" t="s">
        <v>581</v>
      </c>
      <c r="F478" s="1"/>
      <c r="G478" s="1"/>
      <c r="H478" s="1" t="s">
        <v>330</v>
      </c>
      <c r="I478" s="1" t="s">
        <v>288</v>
      </c>
      <c r="J478" s="4">
        <v>42917.0</v>
      </c>
      <c r="K478" s="1">
        <v>200.0</v>
      </c>
      <c r="L478" s="1">
        <v>200.0</v>
      </c>
      <c r="M478" s="1">
        <v>1160.0</v>
      </c>
    </row>
    <row r="479">
      <c r="A479" s="1" t="s">
        <v>907</v>
      </c>
      <c r="B479" s="3" t="s">
        <v>908</v>
      </c>
      <c r="C479" s="1" t="s">
        <v>16</v>
      </c>
      <c r="D479" s="1" t="s">
        <v>330</v>
      </c>
      <c r="E479" s="1" t="s">
        <v>876</v>
      </c>
      <c r="F479" s="1" t="str">
        <f>IFERROR(__xludf.DUMMYFUNCTION("SPLIT(E479,""&gt;"")"),"Japanese Rarepepe")</f>
        <v>Japanese Rarepepe</v>
      </c>
      <c r="G479" s="1" t="str">
        <f>IFERROR(__xludf.DUMMYFUNCTION("""COMPUTED_VALUE"""),"Series 28")</f>
        <v>Series 28</v>
      </c>
      <c r="H479" s="1" t="s">
        <v>330</v>
      </c>
      <c r="I479" s="1" t="s">
        <v>545</v>
      </c>
      <c r="J479" s="4">
        <v>42979.0</v>
      </c>
      <c r="K479" s="1">
        <v>200.0</v>
      </c>
      <c r="L479" s="1">
        <v>200.0</v>
      </c>
      <c r="M479" s="1">
        <v>1367.0</v>
      </c>
    </row>
    <row r="480" hidden="1">
      <c r="A480" s="1" t="s">
        <v>907</v>
      </c>
      <c r="B480" s="3" t="s">
        <v>1671</v>
      </c>
      <c r="C480" s="1" t="s">
        <v>1569</v>
      </c>
      <c r="D480" s="1" t="s">
        <v>330</v>
      </c>
      <c r="E480" s="1" t="s">
        <v>876</v>
      </c>
      <c r="F480" s="1"/>
      <c r="G480" s="1"/>
      <c r="H480" s="1" t="s">
        <v>330</v>
      </c>
      <c r="I480" s="1" t="s">
        <v>545</v>
      </c>
      <c r="J480" s="4">
        <v>42979.0</v>
      </c>
      <c r="K480" s="1">
        <v>200.0</v>
      </c>
      <c r="L480" s="1">
        <v>200.0</v>
      </c>
      <c r="M480" s="1">
        <v>1367.0</v>
      </c>
    </row>
    <row r="481">
      <c r="A481" s="1" t="s">
        <v>909</v>
      </c>
      <c r="B481" s="3" t="s">
        <v>910</v>
      </c>
      <c r="C481" s="1" t="s">
        <v>16</v>
      </c>
      <c r="D481" s="1" t="s">
        <v>330</v>
      </c>
      <c r="E481" s="1" t="s">
        <v>876</v>
      </c>
      <c r="F481" s="1" t="str">
        <f>IFERROR(__xludf.DUMMYFUNCTION("SPLIT(E481,""&gt;"")"),"Japanese Rarepepe")</f>
        <v>Japanese Rarepepe</v>
      </c>
      <c r="G481" s="1" t="str">
        <f>IFERROR(__xludf.DUMMYFUNCTION("""COMPUTED_VALUE"""),"Series 28")</f>
        <v>Series 28</v>
      </c>
      <c r="H481" s="1" t="s">
        <v>330</v>
      </c>
      <c r="I481" s="1" t="s">
        <v>545</v>
      </c>
      <c r="J481" s="4">
        <v>42979.0</v>
      </c>
      <c r="K481" s="1">
        <v>250.0</v>
      </c>
      <c r="L481" s="1">
        <v>250.0</v>
      </c>
      <c r="M481" s="1">
        <v>1387.0</v>
      </c>
    </row>
    <row r="482" hidden="1">
      <c r="A482" s="1" t="s">
        <v>909</v>
      </c>
      <c r="B482" s="3" t="s">
        <v>1672</v>
      </c>
      <c r="C482" s="1" t="s">
        <v>1569</v>
      </c>
      <c r="D482" s="1" t="s">
        <v>330</v>
      </c>
      <c r="E482" s="1" t="s">
        <v>876</v>
      </c>
      <c r="F482" s="1"/>
      <c r="G482" s="1"/>
      <c r="H482" s="1" t="s">
        <v>330</v>
      </c>
      <c r="I482" s="1" t="s">
        <v>545</v>
      </c>
      <c r="J482" s="4">
        <v>42979.0</v>
      </c>
      <c r="K482" s="1">
        <v>250.0</v>
      </c>
      <c r="L482" s="1">
        <v>250.0</v>
      </c>
      <c r="M482" s="1">
        <v>1387.0</v>
      </c>
    </row>
    <row r="483">
      <c r="A483" s="1" t="s">
        <v>911</v>
      </c>
      <c r="B483" s="3" t="s">
        <v>912</v>
      </c>
      <c r="C483" s="1" t="s">
        <v>16</v>
      </c>
      <c r="D483" s="1" t="s">
        <v>330</v>
      </c>
      <c r="E483" s="1" t="s">
        <v>604</v>
      </c>
      <c r="F483" s="1" t="str">
        <f>IFERROR(__xludf.DUMMYFUNCTION("SPLIT(E483,""&gt;"")"),"Japanese Rarepepe")</f>
        <v>Japanese Rarepepe</v>
      </c>
      <c r="G483" s="1" t="str">
        <f>IFERROR(__xludf.DUMMYFUNCTION("""COMPUTED_VALUE"""),"Series 29")</f>
        <v>Series 29</v>
      </c>
      <c r="H483" s="1" t="s">
        <v>330</v>
      </c>
      <c r="I483" s="1" t="s">
        <v>545</v>
      </c>
      <c r="J483" s="4">
        <v>42979.0</v>
      </c>
      <c r="K483" s="1">
        <v>198.0</v>
      </c>
      <c r="L483" s="1">
        <v>198.0</v>
      </c>
      <c r="M483" s="1">
        <v>1426.0</v>
      </c>
    </row>
    <row r="484" hidden="1">
      <c r="A484" s="1" t="s">
        <v>911</v>
      </c>
      <c r="B484" s="3" t="s">
        <v>1673</v>
      </c>
      <c r="C484" s="1" t="s">
        <v>1569</v>
      </c>
      <c r="D484" s="1" t="s">
        <v>330</v>
      </c>
      <c r="E484" s="1" t="s">
        <v>604</v>
      </c>
      <c r="F484" s="1"/>
      <c r="G484" s="1"/>
      <c r="H484" s="1" t="s">
        <v>330</v>
      </c>
      <c r="I484" s="1" t="s">
        <v>545</v>
      </c>
      <c r="J484" s="4">
        <v>42979.0</v>
      </c>
      <c r="K484" s="1">
        <v>198.0</v>
      </c>
      <c r="L484" s="1">
        <v>198.0</v>
      </c>
      <c r="M484" s="1">
        <v>1426.0</v>
      </c>
    </row>
    <row r="485">
      <c r="A485" s="1" t="s">
        <v>913</v>
      </c>
      <c r="B485" s="3" t="s">
        <v>914</v>
      </c>
      <c r="C485" s="1" t="s">
        <v>16</v>
      </c>
      <c r="D485" s="1" t="s">
        <v>330</v>
      </c>
      <c r="E485" s="1" t="s">
        <v>797</v>
      </c>
      <c r="F485" s="1" t="str">
        <f>IFERROR(__xludf.DUMMYFUNCTION("SPLIT(E485,""&gt;"")"),"Japanese Rarepepe")</f>
        <v>Japanese Rarepepe</v>
      </c>
      <c r="G485" s="1" t="str">
        <f>IFERROR(__xludf.DUMMYFUNCTION("""COMPUTED_VALUE"""),"Series 30")</f>
        <v>Series 30</v>
      </c>
      <c r="H485" s="1" t="s">
        <v>330</v>
      </c>
      <c r="I485" s="1" t="s">
        <v>545</v>
      </c>
      <c r="J485" s="4">
        <v>42979.0</v>
      </c>
      <c r="K485" s="1">
        <v>195.0</v>
      </c>
      <c r="L485" s="1">
        <v>195.0</v>
      </c>
      <c r="M485" s="1">
        <v>1461.0</v>
      </c>
    </row>
    <row r="486" hidden="1">
      <c r="A486" s="1" t="s">
        <v>913</v>
      </c>
      <c r="B486" s="3" t="s">
        <v>1674</v>
      </c>
      <c r="C486" s="1" t="s">
        <v>1569</v>
      </c>
      <c r="D486" s="1" t="s">
        <v>330</v>
      </c>
      <c r="E486" s="1" t="s">
        <v>797</v>
      </c>
      <c r="F486" s="1"/>
      <c r="G486" s="1"/>
      <c r="H486" s="1" t="s">
        <v>330</v>
      </c>
      <c r="I486" s="1" t="s">
        <v>545</v>
      </c>
      <c r="J486" s="4">
        <v>42979.0</v>
      </c>
      <c r="K486" s="1">
        <v>195.0</v>
      </c>
      <c r="L486" s="1">
        <v>195.0</v>
      </c>
      <c r="M486" s="1">
        <v>1461.0</v>
      </c>
    </row>
    <row r="487">
      <c r="A487" s="1" t="s">
        <v>915</v>
      </c>
      <c r="B487" s="3" t="s">
        <v>916</v>
      </c>
      <c r="C487" s="1" t="s">
        <v>16</v>
      </c>
      <c r="D487" s="1" t="s">
        <v>330</v>
      </c>
      <c r="E487" s="1" t="s">
        <v>797</v>
      </c>
      <c r="F487" s="1" t="str">
        <f>IFERROR(__xludf.DUMMYFUNCTION("SPLIT(E487,""&gt;"")"),"Japanese Rarepepe")</f>
        <v>Japanese Rarepepe</v>
      </c>
      <c r="G487" s="1" t="str">
        <f>IFERROR(__xludf.DUMMYFUNCTION("""COMPUTED_VALUE"""),"Series 30")</f>
        <v>Series 30</v>
      </c>
      <c r="H487" s="1" t="s">
        <v>330</v>
      </c>
      <c r="I487" s="1" t="s">
        <v>853</v>
      </c>
      <c r="J487" s="4">
        <v>43009.0</v>
      </c>
      <c r="K487" s="1">
        <v>195.0</v>
      </c>
      <c r="L487" s="1">
        <v>195.0</v>
      </c>
      <c r="M487" s="1">
        <v>1483.0</v>
      </c>
    </row>
    <row r="488" hidden="1">
      <c r="A488" s="1" t="s">
        <v>915</v>
      </c>
      <c r="B488" s="3" t="s">
        <v>1675</v>
      </c>
      <c r="C488" s="1" t="s">
        <v>1569</v>
      </c>
      <c r="D488" s="1" t="s">
        <v>330</v>
      </c>
      <c r="E488" s="1" t="s">
        <v>797</v>
      </c>
      <c r="F488" s="1"/>
      <c r="G488" s="1"/>
      <c r="H488" s="1" t="s">
        <v>330</v>
      </c>
      <c r="I488" s="1" t="s">
        <v>853</v>
      </c>
      <c r="J488" s="4">
        <v>43009.0</v>
      </c>
      <c r="K488" s="1">
        <v>195.0</v>
      </c>
      <c r="L488" s="1">
        <v>195.0</v>
      </c>
      <c r="M488" s="1">
        <v>1483.0</v>
      </c>
    </row>
    <row r="489">
      <c r="A489" s="1" t="s">
        <v>917</v>
      </c>
      <c r="B489" s="3" t="s">
        <v>918</v>
      </c>
      <c r="C489" s="1" t="s">
        <v>16</v>
      </c>
      <c r="D489" s="1" t="s">
        <v>330</v>
      </c>
      <c r="E489" s="1" t="s">
        <v>781</v>
      </c>
      <c r="F489" s="1" t="str">
        <f>IFERROR(__xludf.DUMMYFUNCTION("SPLIT(E489,""&gt;"")"),"Japanese Rarepepe")</f>
        <v>Japanese Rarepepe</v>
      </c>
      <c r="G489" s="1" t="str">
        <f>IFERROR(__xludf.DUMMYFUNCTION("""COMPUTED_VALUE"""),"Series 32")</f>
        <v>Series 32</v>
      </c>
      <c r="H489" s="1" t="s">
        <v>330</v>
      </c>
      <c r="I489" s="1" t="s">
        <v>782</v>
      </c>
      <c r="J489" s="4">
        <v>43101.0</v>
      </c>
      <c r="K489" s="1">
        <v>100.0</v>
      </c>
      <c r="L489" s="1">
        <v>100.0</v>
      </c>
      <c r="M489" s="1">
        <v>1573.0</v>
      </c>
    </row>
    <row r="490" hidden="1">
      <c r="A490" s="1" t="s">
        <v>917</v>
      </c>
      <c r="B490" s="3" t="s">
        <v>1676</v>
      </c>
      <c r="C490" s="1" t="s">
        <v>1569</v>
      </c>
      <c r="D490" s="1" t="s">
        <v>330</v>
      </c>
      <c r="E490" s="1" t="s">
        <v>781</v>
      </c>
      <c r="F490" s="1"/>
      <c r="G490" s="1"/>
      <c r="H490" s="1" t="s">
        <v>330</v>
      </c>
      <c r="I490" s="1" t="s">
        <v>782</v>
      </c>
      <c r="J490" s="4">
        <v>43101.0</v>
      </c>
      <c r="K490" s="1">
        <v>100.0</v>
      </c>
      <c r="L490" s="1">
        <v>100.0</v>
      </c>
      <c r="M490" s="1">
        <v>1573.0</v>
      </c>
    </row>
    <row r="491">
      <c r="A491" s="1" t="s">
        <v>919</v>
      </c>
      <c r="B491" s="3" t="s">
        <v>920</v>
      </c>
      <c r="C491" s="1" t="s">
        <v>16</v>
      </c>
      <c r="D491" s="1" t="s">
        <v>330</v>
      </c>
      <c r="E491" s="1" t="s">
        <v>921</v>
      </c>
      <c r="F491" s="1" t="str">
        <f>IFERROR(__xludf.DUMMYFUNCTION("SPLIT(E491,""&gt;"")"),"Japanese Rarepepe")</f>
        <v>Japanese Rarepepe</v>
      </c>
      <c r="G491" s="1" t="str">
        <f>IFERROR(__xludf.DUMMYFUNCTION("""COMPUTED_VALUE"""),"Series 34")</f>
        <v>Series 34</v>
      </c>
      <c r="H491" s="1" t="s">
        <v>330</v>
      </c>
      <c r="I491" s="1" t="s">
        <v>823</v>
      </c>
      <c r="J491" s="4">
        <v>43160.0</v>
      </c>
      <c r="K491" s="1">
        <v>100.0</v>
      </c>
      <c r="L491" s="1">
        <v>100.0</v>
      </c>
      <c r="M491" s="1">
        <v>1677.0</v>
      </c>
    </row>
    <row r="492" hidden="1">
      <c r="A492" s="1" t="s">
        <v>919</v>
      </c>
      <c r="B492" s="3" t="s">
        <v>1677</v>
      </c>
      <c r="C492" s="1" t="s">
        <v>1569</v>
      </c>
      <c r="D492" s="1" t="s">
        <v>330</v>
      </c>
      <c r="E492" s="1" t="s">
        <v>921</v>
      </c>
      <c r="F492" s="1"/>
      <c r="G492" s="1"/>
      <c r="H492" s="1" t="s">
        <v>330</v>
      </c>
      <c r="I492" s="1" t="s">
        <v>823</v>
      </c>
      <c r="J492" s="4">
        <v>43160.0</v>
      </c>
      <c r="K492" s="1">
        <v>100.0</v>
      </c>
      <c r="L492" s="1">
        <v>100.0</v>
      </c>
      <c r="M492" s="1">
        <v>1677.0</v>
      </c>
    </row>
    <row r="493">
      <c r="A493" s="1" t="s">
        <v>922</v>
      </c>
      <c r="B493" s="3" t="s">
        <v>923</v>
      </c>
      <c r="C493" s="1" t="s">
        <v>16</v>
      </c>
      <c r="D493" s="1" t="s">
        <v>330</v>
      </c>
      <c r="E493" s="1" t="s">
        <v>921</v>
      </c>
      <c r="F493" s="1" t="str">
        <f>IFERROR(__xludf.DUMMYFUNCTION("SPLIT(E493,""&gt;"")"),"Japanese Rarepepe")</f>
        <v>Japanese Rarepepe</v>
      </c>
      <c r="G493" s="1" t="str">
        <f>IFERROR(__xludf.DUMMYFUNCTION("""COMPUTED_VALUE"""),"Series 34")</f>
        <v>Series 34</v>
      </c>
      <c r="H493" s="1" t="s">
        <v>330</v>
      </c>
      <c r="I493" s="1" t="s">
        <v>823</v>
      </c>
      <c r="J493" s="4">
        <v>43160.0</v>
      </c>
      <c r="K493" s="1">
        <v>300.0</v>
      </c>
      <c r="L493" s="1">
        <v>300.0</v>
      </c>
      <c r="M493" s="1">
        <v>1679.0</v>
      </c>
    </row>
    <row r="494" hidden="1">
      <c r="A494" s="1" t="s">
        <v>922</v>
      </c>
      <c r="B494" s="3" t="s">
        <v>1678</v>
      </c>
      <c r="C494" s="1" t="s">
        <v>1569</v>
      </c>
      <c r="D494" s="1" t="s">
        <v>330</v>
      </c>
      <c r="E494" s="1" t="s">
        <v>921</v>
      </c>
      <c r="F494" s="1"/>
      <c r="G494" s="1"/>
      <c r="H494" s="1" t="s">
        <v>330</v>
      </c>
      <c r="I494" s="1" t="s">
        <v>823</v>
      </c>
      <c r="J494" s="4">
        <v>43160.0</v>
      </c>
      <c r="K494" s="1">
        <v>300.0</v>
      </c>
      <c r="L494" s="1">
        <v>300.0</v>
      </c>
      <c r="M494" s="1">
        <v>1679.0</v>
      </c>
    </row>
    <row r="495">
      <c r="A495" s="1" t="s">
        <v>924</v>
      </c>
      <c r="B495" s="3" t="s">
        <v>925</v>
      </c>
      <c r="C495" s="1" t="s">
        <v>16</v>
      </c>
      <c r="D495" s="1" t="s">
        <v>330</v>
      </c>
      <c r="E495" s="1" t="s">
        <v>822</v>
      </c>
      <c r="F495" s="1" t="str">
        <f>IFERROR(__xludf.DUMMYFUNCTION("SPLIT(E495,""&gt;"")"),"Japanese Rarepepe")</f>
        <v>Japanese Rarepepe</v>
      </c>
      <c r="G495" s="1" t="str">
        <f>IFERROR(__xludf.DUMMYFUNCTION("""COMPUTED_VALUE"""),"Series 35")</f>
        <v>Series 35</v>
      </c>
      <c r="H495" s="1" t="s">
        <v>330</v>
      </c>
      <c r="I495" s="1" t="s">
        <v>823</v>
      </c>
      <c r="J495" s="4">
        <v>43160.0</v>
      </c>
      <c r="K495" s="1">
        <v>150.0</v>
      </c>
      <c r="L495" s="1">
        <v>150.0</v>
      </c>
      <c r="M495" s="1">
        <v>1722.0</v>
      </c>
    </row>
    <row r="496" hidden="1">
      <c r="A496" s="1" t="s">
        <v>924</v>
      </c>
      <c r="B496" s="3" t="s">
        <v>1679</v>
      </c>
      <c r="C496" s="1" t="s">
        <v>1569</v>
      </c>
      <c r="D496" s="1" t="s">
        <v>330</v>
      </c>
      <c r="E496" s="1" t="s">
        <v>822</v>
      </c>
      <c r="F496" s="1"/>
      <c r="G496" s="1"/>
      <c r="H496" s="1" t="s">
        <v>330</v>
      </c>
      <c r="I496" s="1" t="s">
        <v>823</v>
      </c>
      <c r="J496" s="4">
        <v>43160.0</v>
      </c>
      <c r="K496" s="1">
        <v>150.0</v>
      </c>
      <c r="L496" s="1">
        <v>150.0</v>
      </c>
      <c r="M496" s="1">
        <v>1722.0</v>
      </c>
    </row>
    <row r="497">
      <c r="A497" s="1" t="s">
        <v>926</v>
      </c>
      <c r="B497" s="3" t="s">
        <v>927</v>
      </c>
      <c r="C497" s="1" t="s">
        <v>16</v>
      </c>
      <c r="D497" s="1" t="s">
        <v>330</v>
      </c>
      <c r="E497" s="1" t="s">
        <v>822</v>
      </c>
      <c r="F497" s="1" t="str">
        <f>IFERROR(__xludf.DUMMYFUNCTION("SPLIT(E497,""&gt;"")"),"Japanese Rarepepe")</f>
        <v>Japanese Rarepepe</v>
      </c>
      <c r="G497" s="1" t="str">
        <f>IFERROR(__xludf.DUMMYFUNCTION("""COMPUTED_VALUE"""),"Series 35")</f>
        <v>Series 35</v>
      </c>
      <c r="H497" s="1" t="s">
        <v>330</v>
      </c>
      <c r="I497" s="1" t="s">
        <v>823</v>
      </c>
      <c r="J497" s="4">
        <v>43160.0</v>
      </c>
      <c r="K497" s="1">
        <v>100.0</v>
      </c>
      <c r="L497" s="1">
        <v>100.0</v>
      </c>
      <c r="M497" s="1">
        <v>1737.0</v>
      </c>
    </row>
    <row r="498" hidden="1">
      <c r="A498" s="1" t="s">
        <v>926</v>
      </c>
      <c r="B498" s="3" t="s">
        <v>1680</v>
      </c>
      <c r="C498" s="1" t="s">
        <v>1569</v>
      </c>
      <c r="D498" s="1" t="s">
        <v>330</v>
      </c>
      <c r="E498" s="1" t="s">
        <v>822</v>
      </c>
      <c r="F498" s="1"/>
      <c r="G498" s="1"/>
      <c r="H498" s="1" t="s">
        <v>330</v>
      </c>
      <c r="I498" s="1" t="s">
        <v>823</v>
      </c>
      <c r="J498" s="4">
        <v>43160.0</v>
      </c>
      <c r="K498" s="1">
        <v>100.0</v>
      </c>
      <c r="L498" s="1">
        <v>100.0</v>
      </c>
      <c r="M498" s="1">
        <v>1737.0</v>
      </c>
    </row>
    <row r="499">
      <c r="A499" s="1" t="s">
        <v>928</v>
      </c>
      <c r="B499" s="3" t="s">
        <v>929</v>
      </c>
      <c r="C499" s="1" t="s">
        <v>16</v>
      </c>
      <c r="D499" s="1" t="s">
        <v>376</v>
      </c>
      <c r="E499" s="1" t="s">
        <v>792</v>
      </c>
      <c r="F499" s="1" t="str">
        <f>IFERROR(__xludf.DUMMYFUNCTION("SPLIT(E499,""&gt;"")"),"Japanese Rarepepe")</f>
        <v>Japanese Rarepepe</v>
      </c>
      <c r="G499" s="1" t="str">
        <f>IFERROR(__xludf.DUMMYFUNCTION("""COMPUTED_VALUE"""),"Series 25")</f>
        <v>Series 25</v>
      </c>
      <c r="H499" s="1" t="s">
        <v>376</v>
      </c>
      <c r="I499" s="1" t="s">
        <v>395</v>
      </c>
      <c r="J499" s="4">
        <v>42948.0</v>
      </c>
      <c r="K499" s="1">
        <v>100.0</v>
      </c>
      <c r="L499" s="1">
        <v>100.0</v>
      </c>
      <c r="M499" s="1">
        <v>1240.0</v>
      </c>
    </row>
    <row r="500" hidden="1">
      <c r="A500" s="1" t="s">
        <v>928</v>
      </c>
      <c r="B500" s="3" t="s">
        <v>1681</v>
      </c>
      <c r="C500" s="1" t="s">
        <v>1569</v>
      </c>
      <c r="D500" s="1" t="s">
        <v>376</v>
      </c>
      <c r="E500" s="1" t="s">
        <v>792</v>
      </c>
      <c r="F500" s="1"/>
      <c r="G500" s="1"/>
      <c r="H500" s="1" t="s">
        <v>376</v>
      </c>
      <c r="I500" s="1" t="s">
        <v>395</v>
      </c>
      <c r="J500" s="4">
        <v>42948.0</v>
      </c>
      <c r="K500" s="1">
        <v>100.0</v>
      </c>
      <c r="L500" s="1">
        <v>100.0</v>
      </c>
      <c r="M500" s="1">
        <v>1240.0</v>
      </c>
    </row>
    <row r="501">
      <c r="A501" s="1" t="s">
        <v>930</v>
      </c>
      <c r="B501" s="3" t="s">
        <v>931</v>
      </c>
      <c r="C501" s="1" t="s">
        <v>16</v>
      </c>
      <c r="D501" s="1" t="s">
        <v>234</v>
      </c>
      <c r="E501" s="1" t="s">
        <v>876</v>
      </c>
      <c r="F501" s="1" t="str">
        <f>IFERROR(__xludf.DUMMYFUNCTION("SPLIT(E501,""&gt;"")"),"Japanese Rarepepe")</f>
        <v>Japanese Rarepepe</v>
      </c>
      <c r="G501" s="1" t="str">
        <f>IFERROR(__xludf.DUMMYFUNCTION("""COMPUTED_VALUE"""),"Series 28")</f>
        <v>Series 28</v>
      </c>
      <c r="H501" s="1" t="s">
        <v>234</v>
      </c>
      <c r="I501" s="1" t="s">
        <v>545</v>
      </c>
      <c r="J501" s="4">
        <v>42979.0</v>
      </c>
      <c r="K501" s="1">
        <v>500.0</v>
      </c>
      <c r="L501" s="1">
        <v>500.0</v>
      </c>
      <c r="M501" s="1">
        <v>1370.0</v>
      </c>
    </row>
    <row r="502" hidden="1">
      <c r="A502" s="1" t="s">
        <v>930</v>
      </c>
      <c r="B502" s="3" t="s">
        <v>1682</v>
      </c>
      <c r="C502" s="1" t="s">
        <v>1569</v>
      </c>
      <c r="D502" s="1" t="s">
        <v>234</v>
      </c>
      <c r="E502" s="1" t="s">
        <v>876</v>
      </c>
      <c r="F502" s="1"/>
      <c r="G502" s="1"/>
      <c r="H502" s="1" t="s">
        <v>234</v>
      </c>
      <c r="I502" s="1" t="s">
        <v>545</v>
      </c>
      <c r="J502" s="4">
        <v>42979.0</v>
      </c>
      <c r="K502" s="1">
        <v>500.0</v>
      </c>
      <c r="L502" s="1">
        <v>500.0</v>
      </c>
      <c r="M502" s="1">
        <v>1370.0</v>
      </c>
    </row>
    <row r="503">
      <c r="A503" s="1" t="s">
        <v>932</v>
      </c>
      <c r="B503" s="3" t="s">
        <v>933</v>
      </c>
      <c r="C503" s="1" t="s">
        <v>16</v>
      </c>
      <c r="D503" s="1" t="s">
        <v>234</v>
      </c>
      <c r="E503" s="1" t="s">
        <v>876</v>
      </c>
      <c r="F503" s="1" t="str">
        <f>IFERROR(__xludf.DUMMYFUNCTION("SPLIT(E503,""&gt;"")"),"Japanese Rarepepe")</f>
        <v>Japanese Rarepepe</v>
      </c>
      <c r="G503" s="1" t="str">
        <f>IFERROR(__xludf.DUMMYFUNCTION("""COMPUTED_VALUE"""),"Series 28")</f>
        <v>Series 28</v>
      </c>
      <c r="H503" s="1" t="s">
        <v>234</v>
      </c>
      <c r="I503" s="1" t="s">
        <v>545</v>
      </c>
      <c r="J503" s="4">
        <v>42979.0</v>
      </c>
      <c r="K503" s="1">
        <v>100.0</v>
      </c>
      <c r="L503" s="1">
        <v>100.0</v>
      </c>
      <c r="M503" s="1">
        <v>1380.0</v>
      </c>
    </row>
    <row r="504" hidden="1">
      <c r="A504" s="1" t="s">
        <v>932</v>
      </c>
      <c r="B504" s="3" t="s">
        <v>1683</v>
      </c>
      <c r="C504" s="1" t="s">
        <v>1569</v>
      </c>
      <c r="D504" s="1" t="s">
        <v>234</v>
      </c>
      <c r="E504" s="1" t="s">
        <v>876</v>
      </c>
      <c r="F504" s="1"/>
      <c r="G504" s="1"/>
      <c r="H504" s="1" t="s">
        <v>234</v>
      </c>
      <c r="I504" s="1" t="s">
        <v>545</v>
      </c>
      <c r="J504" s="4">
        <v>42979.0</v>
      </c>
      <c r="K504" s="1">
        <v>100.0</v>
      </c>
      <c r="L504" s="1">
        <v>100.0</v>
      </c>
      <c r="M504" s="1">
        <v>1380.0</v>
      </c>
    </row>
    <row r="505">
      <c r="A505" s="1" t="s">
        <v>934</v>
      </c>
      <c r="B505" s="3" t="s">
        <v>935</v>
      </c>
      <c r="C505" s="1" t="s">
        <v>16</v>
      </c>
      <c r="D505" s="1" t="s">
        <v>44</v>
      </c>
      <c r="E505" s="1" t="s">
        <v>604</v>
      </c>
      <c r="F505" s="1" t="str">
        <f>IFERROR(__xludf.DUMMYFUNCTION("SPLIT(E505,""&gt;"")"),"Japanese Rarepepe")</f>
        <v>Japanese Rarepepe</v>
      </c>
      <c r="G505" s="1" t="str">
        <f>IFERROR(__xludf.DUMMYFUNCTION("""COMPUTED_VALUE"""),"Series 29")</f>
        <v>Series 29</v>
      </c>
      <c r="H505" s="1" t="s">
        <v>44</v>
      </c>
      <c r="I505" s="1" t="s">
        <v>545</v>
      </c>
      <c r="J505" s="4">
        <v>42979.0</v>
      </c>
      <c r="K505" s="1">
        <v>150.0</v>
      </c>
      <c r="L505" s="1">
        <v>150.0</v>
      </c>
      <c r="M505" s="1">
        <v>1424.0</v>
      </c>
    </row>
    <row r="506" hidden="1">
      <c r="A506" s="1" t="s">
        <v>934</v>
      </c>
      <c r="B506" s="3" t="s">
        <v>1684</v>
      </c>
      <c r="C506" s="1" t="s">
        <v>1569</v>
      </c>
      <c r="D506" s="1" t="s">
        <v>44</v>
      </c>
      <c r="E506" s="1" t="s">
        <v>604</v>
      </c>
      <c r="F506" s="1"/>
      <c r="G506" s="1"/>
      <c r="H506" s="1" t="s">
        <v>44</v>
      </c>
      <c r="I506" s="1" t="s">
        <v>545</v>
      </c>
      <c r="J506" s="4">
        <v>42979.0</v>
      </c>
      <c r="K506" s="1">
        <v>150.0</v>
      </c>
      <c r="L506" s="1">
        <v>150.0</v>
      </c>
      <c r="M506" s="1">
        <v>1424.0</v>
      </c>
    </row>
    <row r="507">
      <c r="A507" s="1" t="s">
        <v>936</v>
      </c>
      <c r="B507" s="3" t="s">
        <v>937</v>
      </c>
      <c r="C507" s="1" t="s">
        <v>16</v>
      </c>
      <c r="D507" s="1" t="s">
        <v>44</v>
      </c>
      <c r="E507" s="1" t="s">
        <v>797</v>
      </c>
      <c r="F507" s="1" t="str">
        <f>IFERROR(__xludf.DUMMYFUNCTION("SPLIT(E507,""&gt;"")"),"Japanese Rarepepe")</f>
        <v>Japanese Rarepepe</v>
      </c>
      <c r="G507" s="1" t="str">
        <f>IFERROR(__xludf.DUMMYFUNCTION("""COMPUTED_VALUE"""),"Series 30")</f>
        <v>Series 30</v>
      </c>
      <c r="H507" s="1" t="s">
        <v>44</v>
      </c>
      <c r="I507" s="1" t="s">
        <v>853</v>
      </c>
      <c r="J507" s="4">
        <v>43009.0</v>
      </c>
      <c r="K507" s="1">
        <v>100.0</v>
      </c>
      <c r="L507" s="1">
        <v>100.0</v>
      </c>
      <c r="M507" s="1">
        <v>1484.0</v>
      </c>
    </row>
    <row r="508" hidden="1">
      <c r="A508" s="1" t="s">
        <v>936</v>
      </c>
      <c r="B508" s="3" t="s">
        <v>1685</v>
      </c>
      <c r="C508" s="1" t="s">
        <v>1569</v>
      </c>
      <c r="D508" s="1" t="s">
        <v>44</v>
      </c>
      <c r="E508" s="1" t="s">
        <v>797</v>
      </c>
      <c r="F508" s="1"/>
      <c r="G508" s="1"/>
      <c r="H508" s="1" t="s">
        <v>44</v>
      </c>
      <c r="I508" s="1" t="s">
        <v>853</v>
      </c>
      <c r="J508" s="4">
        <v>43009.0</v>
      </c>
      <c r="K508" s="1">
        <v>100.0</v>
      </c>
      <c r="L508" s="1">
        <v>100.0</v>
      </c>
      <c r="M508" s="1">
        <v>1484.0</v>
      </c>
    </row>
    <row r="509">
      <c r="A509" s="1" t="s">
        <v>938</v>
      </c>
      <c r="B509" s="3" t="s">
        <v>939</v>
      </c>
      <c r="C509" s="1" t="s">
        <v>16</v>
      </c>
      <c r="D509" s="1" t="s">
        <v>422</v>
      </c>
      <c r="E509" s="1" t="s">
        <v>792</v>
      </c>
      <c r="F509" s="1" t="str">
        <f>IFERROR(__xludf.DUMMYFUNCTION("SPLIT(E509,""&gt;"")"),"Japanese Rarepepe")</f>
        <v>Japanese Rarepepe</v>
      </c>
      <c r="G509" s="1" t="str">
        <f>IFERROR(__xludf.DUMMYFUNCTION("""COMPUTED_VALUE"""),"Series 25")</f>
        <v>Series 25</v>
      </c>
      <c r="H509" s="1" t="s">
        <v>423</v>
      </c>
      <c r="I509" s="1" t="s">
        <v>395</v>
      </c>
      <c r="J509" s="4">
        <v>42948.0</v>
      </c>
      <c r="K509" s="1">
        <v>100.0</v>
      </c>
      <c r="L509" s="1">
        <v>100.0</v>
      </c>
      <c r="M509" s="1">
        <v>1239.0</v>
      </c>
    </row>
    <row r="510" hidden="1">
      <c r="A510" s="1" t="s">
        <v>938</v>
      </c>
      <c r="B510" s="3" t="s">
        <v>1686</v>
      </c>
      <c r="C510" s="1" t="s">
        <v>1569</v>
      </c>
      <c r="D510" s="1" t="s">
        <v>422</v>
      </c>
      <c r="E510" s="1" t="s">
        <v>792</v>
      </c>
      <c r="F510" s="1"/>
      <c r="G510" s="1"/>
      <c r="H510" s="1" t="s">
        <v>423</v>
      </c>
      <c r="I510" s="1" t="s">
        <v>395</v>
      </c>
      <c r="J510" s="4">
        <v>42948.0</v>
      </c>
      <c r="K510" s="1">
        <v>100.0</v>
      </c>
      <c r="L510" s="1">
        <v>100.0</v>
      </c>
      <c r="M510" s="1">
        <v>1239.0</v>
      </c>
    </row>
    <row r="511">
      <c r="A511" s="1" t="s">
        <v>940</v>
      </c>
      <c r="B511" s="3" t="s">
        <v>941</v>
      </c>
      <c r="C511" s="1" t="s">
        <v>16</v>
      </c>
      <c r="D511" s="1" t="s">
        <v>422</v>
      </c>
      <c r="E511" s="1" t="s">
        <v>584</v>
      </c>
      <c r="F511" s="1" t="str">
        <f>IFERROR(__xludf.DUMMYFUNCTION("SPLIT(E511,""&gt;"")"),"Japanese Rarepepe")</f>
        <v>Japanese Rarepepe</v>
      </c>
      <c r="G511" s="1" t="str">
        <f>IFERROR(__xludf.DUMMYFUNCTION("""COMPUTED_VALUE"""),"Series 27")</f>
        <v>Series 27</v>
      </c>
      <c r="H511" s="1" t="s">
        <v>423</v>
      </c>
      <c r="I511" s="1" t="s">
        <v>395</v>
      </c>
      <c r="J511" s="4">
        <v>42948.0</v>
      </c>
      <c r="K511" s="1">
        <v>100.0</v>
      </c>
      <c r="L511" s="1">
        <v>100.0</v>
      </c>
      <c r="M511" s="1">
        <v>1313.0</v>
      </c>
    </row>
    <row r="512" hidden="1">
      <c r="A512" s="1" t="s">
        <v>940</v>
      </c>
      <c r="B512" s="3" t="s">
        <v>1687</v>
      </c>
      <c r="C512" s="1" t="s">
        <v>1569</v>
      </c>
      <c r="D512" s="1" t="s">
        <v>422</v>
      </c>
      <c r="E512" s="1" t="s">
        <v>584</v>
      </c>
      <c r="F512" s="1"/>
      <c r="G512" s="1"/>
      <c r="H512" s="1" t="s">
        <v>423</v>
      </c>
      <c r="I512" s="1" t="s">
        <v>395</v>
      </c>
      <c r="J512" s="4">
        <v>42948.0</v>
      </c>
      <c r="K512" s="1">
        <v>100.0</v>
      </c>
      <c r="L512" s="1">
        <v>100.0</v>
      </c>
      <c r="M512" s="1">
        <v>1313.0</v>
      </c>
    </row>
    <row r="513">
      <c r="A513" s="1" t="s">
        <v>942</v>
      </c>
      <c r="B513" s="3" t="s">
        <v>943</v>
      </c>
      <c r="C513" s="1" t="s">
        <v>16</v>
      </c>
      <c r="D513" s="1" t="s">
        <v>422</v>
      </c>
      <c r="E513" s="1" t="s">
        <v>584</v>
      </c>
      <c r="F513" s="1" t="str">
        <f>IFERROR(__xludf.DUMMYFUNCTION("SPLIT(E513,""&gt;"")"),"Japanese Rarepepe")</f>
        <v>Japanese Rarepepe</v>
      </c>
      <c r="G513" s="1" t="str">
        <f>IFERROR(__xludf.DUMMYFUNCTION("""COMPUTED_VALUE"""),"Series 27")</f>
        <v>Series 27</v>
      </c>
      <c r="H513" s="1" t="s">
        <v>423</v>
      </c>
      <c r="I513" s="1" t="s">
        <v>395</v>
      </c>
      <c r="J513" s="4">
        <v>42948.0</v>
      </c>
      <c r="K513" s="1">
        <v>100.0</v>
      </c>
      <c r="L513" s="1">
        <v>100.0</v>
      </c>
      <c r="M513" s="1">
        <v>1331.0</v>
      </c>
    </row>
    <row r="514" hidden="1">
      <c r="A514" s="1" t="s">
        <v>942</v>
      </c>
      <c r="B514" s="3" t="s">
        <v>1688</v>
      </c>
      <c r="C514" s="1" t="s">
        <v>1569</v>
      </c>
      <c r="D514" s="1" t="s">
        <v>422</v>
      </c>
      <c r="E514" s="1" t="s">
        <v>584</v>
      </c>
      <c r="F514" s="1"/>
      <c r="G514" s="1"/>
      <c r="H514" s="1" t="s">
        <v>423</v>
      </c>
      <c r="I514" s="1" t="s">
        <v>395</v>
      </c>
      <c r="J514" s="4">
        <v>42948.0</v>
      </c>
      <c r="K514" s="1">
        <v>100.0</v>
      </c>
      <c r="L514" s="1">
        <v>100.0</v>
      </c>
      <c r="M514" s="1">
        <v>1331.0</v>
      </c>
    </row>
    <row r="515">
      <c r="A515" s="1" t="s">
        <v>944</v>
      </c>
      <c r="B515" s="3" t="s">
        <v>945</v>
      </c>
      <c r="C515" s="1" t="s">
        <v>16</v>
      </c>
      <c r="D515" s="1" t="s">
        <v>422</v>
      </c>
      <c r="E515" s="1" t="s">
        <v>876</v>
      </c>
      <c r="F515" s="1" t="str">
        <f>IFERROR(__xludf.DUMMYFUNCTION("SPLIT(E515,""&gt;"")"),"Japanese Rarepepe")</f>
        <v>Japanese Rarepepe</v>
      </c>
      <c r="G515" s="1" t="str">
        <f>IFERROR(__xludf.DUMMYFUNCTION("""COMPUTED_VALUE"""),"Series 28")</f>
        <v>Series 28</v>
      </c>
      <c r="H515" s="1" t="s">
        <v>423</v>
      </c>
      <c r="I515" s="1" t="s">
        <v>545</v>
      </c>
      <c r="J515" s="4">
        <v>42979.0</v>
      </c>
      <c r="K515" s="1">
        <v>100.0</v>
      </c>
      <c r="L515" s="1">
        <v>100.0</v>
      </c>
      <c r="M515" s="1">
        <v>1350.0</v>
      </c>
    </row>
    <row r="516" hidden="1">
      <c r="A516" s="1" t="s">
        <v>944</v>
      </c>
      <c r="B516" s="3" t="s">
        <v>1689</v>
      </c>
      <c r="C516" s="1" t="s">
        <v>1569</v>
      </c>
      <c r="D516" s="1" t="s">
        <v>422</v>
      </c>
      <c r="E516" s="1" t="s">
        <v>876</v>
      </c>
      <c r="F516" s="1"/>
      <c r="G516" s="1"/>
      <c r="H516" s="1" t="s">
        <v>423</v>
      </c>
      <c r="I516" s="1" t="s">
        <v>545</v>
      </c>
      <c r="J516" s="4">
        <v>42979.0</v>
      </c>
      <c r="K516" s="1">
        <v>100.0</v>
      </c>
      <c r="L516" s="1">
        <v>100.0</v>
      </c>
      <c r="M516" s="1">
        <v>1350.0</v>
      </c>
    </row>
    <row r="517">
      <c r="A517" s="1" t="s">
        <v>946</v>
      </c>
      <c r="B517" s="3" t="s">
        <v>947</v>
      </c>
      <c r="C517" s="1" t="s">
        <v>16</v>
      </c>
      <c r="D517" s="1" t="s">
        <v>422</v>
      </c>
      <c r="E517" s="1" t="s">
        <v>876</v>
      </c>
      <c r="F517" s="1" t="str">
        <f>IFERROR(__xludf.DUMMYFUNCTION("SPLIT(E517,""&gt;"")"),"Japanese Rarepepe")</f>
        <v>Japanese Rarepepe</v>
      </c>
      <c r="G517" s="1" t="str">
        <f>IFERROR(__xludf.DUMMYFUNCTION("""COMPUTED_VALUE"""),"Series 28")</f>
        <v>Series 28</v>
      </c>
      <c r="H517" s="1" t="s">
        <v>423</v>
      </c>
      <c r="I517" s="1" t="s">
        <v>545</v>
      </c>
      <c r="J517" s="4">
        <v>42979.0</v>
      </c>
      <c r="K517" s="1">
        <v>100.0</v>
      </c>
      <c r="L517" s="1">
        <v>100.0</v>
      </c>
      <c r="M517" s="1">
        <v>1394.0</v>
      </c>
    </row>
    <row r="518" hidden="1">
      <c r="A518" s="1" t="s">
        <v>946</v>
      </c>
      <c r="B518" s="3" t="s">
        <v>1690</v>
      </c>
      <c r="C518" s="1" t="s">
        <v>1569</v>
      </c>
      <c r="D518" s="1" t="s">
        <v>422</v>
      </c>
      <c r="E518" s="1" t="s">
        <v>876</v>
      </c>
      <c r="F518" s="1"/>
      <c r="G518" s="1"/>
      <c r="H518" s="1" t="s">
        <v>423</v>
      </c>
      <c r="I518" s="1" t="s">
        <v>545</v>
      </c>
      <c r="J518" s="4">
        <v>42979.0</v>
      </c>
      <c r="K518" s="1">
        <v>100.0</v>
      </c>
      <c r="L518" s="1">
        <v>100.0</v>
      </c>
      <c r="M518" s="1">
        <v>1394.0</v>
      </c>
    </row>
    <row r="519">
      <c r="A519" s="1" t="s">
        <v>948</v>
      </c>
      <c r="B519" s="3" t="s">
        <v>949</v>
      </c>
      <c r="C519" s="1" t="s">
        <v>16</v>
      </c>
      <c r="D519" s="1" t="s">
        <v>422</v>
      </c>
      <c r="E519" s="1" t="s">
        <v>604</v>
      </c>
      <c r="F519" s="1" t="str">
        <f>IFERROR(__xludf.DUMMYFUNCTION("SPLIT(E519,""&gt;"")"),"Japanese Rarepepe")</f>
        <v>Japanese Rarepepe</v>
      </c>
      <c r="G519" s="1" t="str">
        <f>IFERROR(__xludf.DUMMYFUNCTION("""COMPUTED_VALUE"""),"Series 29")</f>
        <v>Series 29</v>
      </c>
      <c r="H519" s="1" t="s">
        <v>423</v>
      </c>
      <c r="I519" s="1" t="s">
        <v>545</v>
      </c>
      <c r="J519" s="4">
        <v>42979.0</v>
      </c>
      <c r="K519" s="1">
        <v>100.0</v>
      </c>
      <c r="L519" s="1">
        <v>100.0</v>
      </c>
      <c r="M519" s="1">
        <v>1408.0</v>
      </c>
    </row>
    <row r="520" hidden="1">
      <c r="A520" s="1" t="s">
        <v>948</v>
      </c>
      <c r="B520" s="3" t="s">
        <v>1691</v>
      </c>
      <c r="C520" s="1" t="s">
        <v>1569</v>
      </c>
      <c r="D520" s="1" t="s">
        <v>422</v>
      </c>
      <c r="E520" s="1" t="s">
        <v>604</v>
      </c>
      <c r="F520" s="1"/>
      <c r="G520" s="1"/>
      <c r="H520" s="1" t="s">
        <v>423</v>
      </c>
      <c r="I520" s="1" t="s">
        <v>545</v>
      </c>
      <c r="J520" s="4">
        <v>42979.0</v>
      </c>
      <c r="K520" s="1">
        <v>100.0</v>
      </c>
      <c r="L520" s="1">
        <v>100.0</v>
      </c>
      <c r="M520" s="1">
        <v>1408.0</v>
      </c>
    </row>
    <row r="521">
      <c r="A521" s="1" t="s">
        <v>950</v>
      </c>
      <c r="B521" s="3" t="s">
        <v>951</v>
      </c>
      <c r="C521" s="1" t="s">
        <v>16</v>
      </c>
      <c r="D521" s="1" t="s">
        <v>422</v>
      </c>
      <c r="E521" s="1" t="s">
        <v>604</v>
      </c>
      <c r="F521" s="1" t="str">
        <f>IFERROR(__xludf.DUMMYFUNCTION("SPLIT(E521,""&gt;"")"),"Japanese Rarepepe")</f>
        <v>Japanese Rarepepe</v>
      </c>
      <c r="G521" s="1" t="str">
        <f>IFERROR(__xludf.DUMMYFUNCTION("""COMPUTED_VALUE"""),"Series 29")</f>
        <v>Series 29</v>
      </c>
      <c r="H521" s="1" t="s">
        <v>423</v>
      </c>
      <c r="I521" s="1" t="s">
        <v>545</v>
      </c>
      <c r="J521" s="4">
        <v>42979.0</v>
      </c>
      <c r="K521" s="1">
        <v>100.0</v>
      </c>
      <c r="L521" s="1">
        <v>100.0</v>
      </c>
      <c r="M521" s="1">
        <v>1425.0</v>
      </c>
    </row>
    <row r="522" hidden="1">
      <c r="A522" s="1" t="s">
        <v>950</v>
      </c>
      <c r="B522" s="3" t="s">
        <v>1692</v>
      </c>
      <c r="C522" s="1" t="s">
        <v>1569</v>
      </c>
      <c r="D522" s="1" t="s">
        <v>422</v>
      </c>
      <c r="E522" s="1" t="s">
        <v>604</v>
      </c>
      <c r="F522" s="1"/>
      <c r="G522" s="1"/>
      <c r="H522" s="1" t="s">
        <v>423</v>
      </c>
      <c r="I522" s="1" t="s">
        <v>545</v>
      </c>
      <c r="J522" s="4">
        <v>42979.0</v>
      </c>
      <c r="K522" s="1">
        <v>100.0</v>
      </c>
      <c r="L522" s="1">
        <v>100.0</v>
      </c>
      <c r="M522" s="1">
        <v>1425.0</v>
      </c>
    </row>
    <row r="523">
      <c r="A523" s="1" t="s">
        <v>952</v>
      </c>
      <c r="B523" s="3" t="s">
        <v>953</v>
      </c>
      <c r="C523" s="1" t="s">
        <v>16</v>
      </c>
      <c r="D523" s="1" t="s">
        <v>422</v>
      </c>
      <c r="E523" s="1" t="s">
        <v>797</v>
      </c>
      <c r="F523" s="1" t="str">
        <f>IFERROR(__xludf.DUMMYFUNCTION("SPLIT(E523,""&gt;"")"),"Japanese Rarepepe")</f>
        <v>Japanese Rarepepe</v>
      </c>
      <c r="G523" s="1" t="str">
        <f>IFERROR(__xludf.DUMMYFUNCTION("""COMPUTED_VALUE"""),"Series 30")</f>
        <v>Series 30</v>
      </c>
      <c r="H523" s="1" t="s">
        <v>423</v>
      </c>
      <c r="I523" s="1" t="s">
        <v>853</v>
      </c>
      <c r="J523" s="4">
        <v>43009.0</v>
      </c>
      <c r="K523" s="1">
        <v>100.0</v>
      </c>
      <c r="L523" s="1">
        <v>100.0</v>
      </c>
      <c r="M523" s="1">
        <v>1466.0</v>
      </c>
    </row>
    <row r="524" hidden="1">
      <c r="A524" s="1" t="s">
        <v>952</v>
      </c>
      <c r="B524" s="3" t="s">
        <v>1693</v>
      </c>
      <c r="C524" s="1" t="s">
        <v>1569</v>
      </c>
      <c r="D524" s="1" t="s">
        <v>422</v>
      </c>
      <c r="E524" s="1" t="s">
        <v>797</v>
      </c>
      <c r="F524" s="1"/>
      <c r="G524" s="1"/>
      <c r="H524" s="1" t="s">
        <v>423</v>
      </c>
      <c r="I524" s="1" t="s">
        <v>853</v>
      </c>
      <c r="J524" s="4">
        <v>43009.0</v>
      </c>
      <c r="K524" s="1">
        <v>100.0</v>
      </c>
      <c r="L524" s="1">
        <v>100.0</v>
      </c>
      <c r="M524" s="1">
        <v>1466.0</v>
      </c>
    </row>
    <row r="525">
      <c r="A525" s="1" t="s">
        <v>954</v>
      </c>
      <c r="B525" s="3" t="s">
        <v>955</v>
      </c>
      <c r="C525" s="1" t="s">
        <v>16</v>
      </c>
      <c r="D525" s="1" t="s">
        <v>422</v>
      </c>
      <c r="E525" s="1" t="s">
        <v>813</v>
      </c>
      <c r="F525" s="1" t="str">
        <f>IFERROR(__xludf.DUMMYFUNCTION("SPLIT(E525,""&gt;"")"),"Japanese Rarepepe")</f>
        <v>Japanese Rarepepe</v>
      </c>
      <c r="G525" s="1" t="str">
        <f>IFERROR(__xludf.DUMMYFUNCTION("""COMPUTED_VALUE"""),"Series 31")</f>
        <v>Series 31</v>
      </c>
      <c r="H525" s="1" t="s">
        <v>423</v>
      </c>
      <c r="I525" s="1" t="s">
        <v>782</v>
      </c>
      <c r="J525" s="4">
        <v>43101.0</v>
      </c>
      <c r="K525" s="1">
        <v>100.0</v>
      </c>
      <c r="L525" s="1">
        <v>99.0</v>
      </c>
      <c r="M525" s="1">
        <v>1507.0</v>
      </c>
    </row>
    <row r="526" hidden="1">
      <c r="A526" s="1" t="s">
        <v>954</v>
      </c>
      <c r="B526" s="3" t="s">
        <v>1694</v>
      </c>
      <c r="C526" s="1" t="s">
        <v>1569</v>
      </c>
      <c r="D526" s="1" t="s">
        <v>422</v>
      </c>
      <c r="E526" s="1" t="s">
        <v>813</v>
      </c>
      <c r="F526" s="1"/>
      <c r="G526" s="1"/>
      <c r="H526" s="1" t="s">
        <v>423</v>
      </c>
      <c r="I526" s="1" t="s">
        <v>782</v>
      </c>
      <c r="J526" s="4">
        <v>43101.0</v>
      </c>
      <c r="K526" s="1">
        <v>100.0</v>
      </c>
      <c r="L526" s="1">
        <v>99.0</v>
      </c>
      <c r="M526" s="1">
        <v>1507.0</v>
      </c>
    </row>
    <row r="527">
      <c r="A527" s="1" t="s">
        <v>956</v>
      </c>
      <c r="B527" s="3" t="s">
        <v>957</v>
      </c>
      <c r="C527" s="1" t="s">
        <v>16</v>
      </c>
      <c r="D527" s="1" t="s">
        <v>422</v>
      </c>
      <c r="E527" s="1" t="s">
        <v>921</v>
      </c>
      <c r="F527" s="1" t="str">
        <f>IFERROR(__xludf.DUMMYFUNCTION("SPLIT(E527,""&gt;"")"),"Japanese Rarepepe")</f>
        <v>Japanese Rarepepe</v>
      </c>
      <c r="G527" s="1" t="str">
        <f>IFERROR(__xludf.DUMMYFUNCTION("""COMPUTED_VALUE"""),"Series 34")</f>
        <v>Series 34</v>
      </c>
      <c r="H527" s="1" t="s">
        <v>423</v>
      </c>
      <c r="I527" s="1" t="s">
        <v>823</v>
      </c>
      <c r="J527" s="4">
        <v>43160.0</v>
      </c>
      <c r="K527" s="1">
        <v>100.0</v>
      </c>
      <c r="L527" s="1">
        <v>12.0</v>
      </c>
      <c r="M527" s="1">
        <v>1669.0</v>
      </c>
    </row>
    <row r="528" hidden="1">
      <c r="A528" s="1" t="s">
        <v>956</v>
      </c>
      <c r="B528" s="3" t="s">
        <v>1695</v>
      </c>
      <c r="C528" s="1" t="s">
        <v>1569</v>
      </c>
      <c r="D528" s="1" t="s">
        <v>422</v>
      </c>
      <c r="E528" s="1" t="s">
        <v>921</v>
      </c>
      <c r="F528" s="1"/>
      <c r="G528" s="1"/>
      <c r="H528" s="1" t="s">
        <v>423</v>
      </c>
      <c r="I528" s="1" t="s">
        <v>823</v>
      </c>
      <c r="J528" s="4">
        <v>43160.0</v>
      </c>
      <c r="K528" s="1">
        <v>100.0</v>
      </c>
      <c r="L528" s="1">
        <v>12.0</v>
      </c>
      <c r="M528" s="1">
        <v>1669.0</v>
      </c>
    </row>
    <row r="529">
      <c r="A529" s="1" t="s">
        <v>958</v>
      </c>
      <c r="B529" s="3" t="s">
        <v>959</v>
      </c>
      <c r="C529" s="1" t="s">
        <v>16</v>
      </c>
      <c r="D529" s="1" t="s">
        <v>422</v>
      </c>
      <c r="E529" s="1" t="s">
        <v>826</v>
      </c>
      <c r="F529" s="1" t="str">
        <f>IFERROR(__xludf.DUMMYFUNCTION("SPLIT(E529,""&gt;"")"),"Japanese Rarepepe")</f>
        <v>Japanese Rarepepe</v>
      </c>
      <c r="G529" s="1" t="str">
        <f>IFERROR(__xludf.DUMMYFUNCTION("""COMPUTED_VALUE"""),"Series 36")</f>
        <v>Series 36</v>
      </c>
      <c r="H529" s="1" t="s">
        <v>423</v>
      </c>
      <c r="I529" s="1" t="s">
        <v>823</v>
      </c>
      <c r="J529" s="4">
        <v>43160.0</v>
      </c>
      <c r="K529" s="1">
        <v>100.0</v>
      </c>
      <c r="L529" s="1">
        <v>100.0</v>
      </c>
      <c r="M529" s="1">
        <v>1771.0</v>
      </c>
    </row>
    <row r="530" hidden="1">
      <c r="A530" s="1" t="s">
        <v>958</v>
      </c>
      <c r="B530" s="3" t="s">
        <v>1696</v>
      </c>
      <c r="C530" s="1" t="s">
        <v>1569</v>
      </c>
      <c r="D530" s="1" t="s">
        <v>422</v>
      </c>
      <c r="E530" s="1" t="s">
        <v>826</v>
      </c>
      <c r="F530" s="1"/>
      <c r="G530" s="1"/>
      <c r="H530" s="1" t="s">
        <v>423</v>
      </c>
      <c r="I530" s="1" t="s">
        <v>823</v>
      </c>
      <c r="J530" s="4">
        <v>43160.0</v>
      </c>
      <c r="K530" s="1">
        <v>100.0</v>
      </c>
      <c r="L530" s="1">
        <v>100.0</v>
      </c>
      <c r="M530" s="1">
        <v>1771.0</v>
      </c>
    </row>
    <row r="531">
      <c r="A531" s="1" t="s">
        <v>960</v>
      </c>
      <c r="B531" s="3" t="s">
        <v>961</v>
      </c>
      <c r="C531" s="1" t="s">
        <v>16</v>
      </c>
      <c r="D531" s="1" t="s">
        <v>713</v>
      </c>
      <c r="E531" s="1" t="s">
        <v>744</v>
      </c>
      <c r="F531" s="1" t="str">
        <f>IFERROR(__xludf.DUMMYFUNCTION("SPLIT(E531,""&gt;"")"),"BitGirls")</f>
        <v>BitGirls</v>
      </c>
      <c r="G531" s="1" t="str">
        <f>IFERROR(__xludf.DUMMYFUNCTION("""COMPUTED_VALUE"""),"Christmas")</f>
        <v>Christmas</v>
      </c>
      <c r="H531" s="1" t="s">
        <v>713</v>
      </c>
      <c r="I531" s="1" t="s">
        <v>636</v>
      </c>
      <c r="J531" s="4">
        <v>42705.0</v>
      </c>
      <c r="K531" s="1">
        <v>1000.0</v>
      </c>
      <c r="L531" s="1">
        <v>1000.0</v>
      </c>
      <c r="M531" s="1">
        <v>19.0</v>
      </c>
    </row>
    <row r="532" hidden="1">
      <c r="A532" s="1" t="s">
        <v>960</v>
      </c>
      <c r="B532" s="3" t="s">
        <v>1697</v>
      </c>
      <c r="C532" s="1" t="s">
        <v>1569</v>
      </c>
      <c r="D532" s="1" t="s">
        <v>713</v>
      </c>
      <c r="E532" s="1" t="s">
        <v>744</v>
      </c>
      <c r="F532" s="1"/>
      <c r="G532" s="1"/>
      <c r="H532" s="1" t="s">
        <v>713</v>
      </c>
      <c r="I532" s="1" t="s">
        <v>636</v>
      </c>
      <c r="J532" s="4">
        <v>42705.0</v>
      </c>
      <c r="K532" s="1">
        <v>1000.0</v>
      </c>
      <c r="L532" s="1">
        <v>1000.0</v>
      </c>
      <c r="M532" s="1">
        <v>19.0</v>
      </c>
    </row>
    <row r="533">
      <c r="A533" s="1" t="s">
        <v>962</v>
      </c>
      <c r="B533" s="3" t="s">
        <v>963</v>
      </c>
      <c r="C533" s="1" t="s">
        <v>16</v>
      </c>
      <c r="D533" s="1" t="s">
        <v>713</v>
      </c>
      <c r="E533" s="1" t="s">
        <v>964</v>
      </c>
      <c r="F533" s="1" t="str">
        <f>IFERROR(__xludf.DUMMYFUNCTION("SPLIT(E533,""&gt;"")"),"BitGirls")</f>
        <v>BitGirls</v>
      </c>
      <c r="G533" s="1" t="str">
        <f>IFERROR(__xludf.DUMMYFUNCTION("""COMPUTED_VALUE"""),"Special")</f>
        <v>Special</v>
      </c>
      <c r="H533" s="1" t="s">
        <v>713</v>
      </c>
      <c r="I533" s="1" t="s">
        <v>636</v>
      </c>
      <c r="J533" s="4">
        <v>42705.0</v>
      </c>
      <c r="K533" s="1">
        <v>500.0</v>
      </c>
      <c r="L533" s="1">
        <v>500.0</v>
      </c>
      <c r="M533" s="1">
        <v>20.0</v>
      </c>
    </row>
    <row r="534" hidden="1">
      <c r="A534" s="1" t="s">
        <v>962</v>
      </c>
      <c r="B534" s="3" t="s">
        <v>1698</v>
      </c>
      <c r="C534" s="1" t="s">
        <v>1569</v>
      </c>
      <c r="D534" s="1" t="s">
        <v>713</v>
      </c>
      <c r="E534" s="1" t="s">
        <v>964</v>
      </c>
      <c r="F534" s="1"/>
      <c r="G534" s="1"/>
      <c r="H534" s="1" t="s">
        <v>713</v>
      </c>
      <c r="I534" s="1" t="s">
        <v>636</v>
      </c>
      <c r="J534" s="4">
        <v>42705.0</v>
      </c>
      <c r="K534" s="1">
        <v>500.0</v>
      </c>
      <c r="L534" s="1">
        <v>500.0</v>
      </c>
      <c r="M534" s="1">
        <v>20.0</v>
      </c>
    </row>
    <row r="535">
      <c r="A535" s="1" t="s">
        <v>965</v>
      </c>
      <c r="B535" s="3" t="s">
        <v>966</v>
      </c>
      <c r="C535" s="1" t="s">
        <v>16</v>
      </c>
      <c r="D535" s="1" t="s">
        <v>713</v>
      </c>
      <c r="E535" s="1" t="s">
        <v>964</v>
      </c>
      <c r="F535" s="1" t="str">
        <f>IFERROR(__xludf.DUMMYFUNCTION("SPLIT(E535,""&gt;"")"),"BitGirls")</f>
        <v>BitGirls</v>
      </c>
      <c r="G535" s="1" t="str">
        <f>IFERROR(__xludf.DUMMYFUNCTION("""COMPUTED_VALUE"""),"Special")</f>
        <v>Special</v>
      </c>
      <c r="H535" s="1" t="s">
        <v>713</v>
      </c>
      <c r="I535" s="1" t="s">
        <v>636</v>
      </c>
      <c r="J535" s="4">
        <v>42705.0</v>
      </c>
      <c r="K535" s="1">
        <v>500.0</v>
      </c>
      <c r="L535" s="1">
        <v>500.0</v>
      </c>
      <c r="M535" s="1">
        <v>21.0</v>
      </c>
    </row>
    <row r="536" hidden="1">
      <c r="A536" s="1" t="s">
        <v>965</v>
      </c>
      <c r="B536" s="3" t="s">
        <v>1699</v>
      </c>
      <c r="C536" s="1" t="s">
        <v>1569</v>
      </c>
      <c r="D536" s="1" t="s">
        <v>713</v>
      </c>
      <c r="E536" s="1" t="s">
        <v>964</v>
      </c>
      <c r="F536" s="1"/>
      <c r="G536" s="1"/>
      <c r="H536" s="1" t="s">
        <v>713</v>
      </c>
      <c r="I536" s="1" t="s">
        <v>636</v>
      </c>
      <c r="J536" s="4">
        <v>42705.0</v>
      </c>
      <c r="K536" s="1">
        <v>500.0</v>
      </c>
      <c r="L536" s="1">
        <v>500.0</v>
      </c>
      <c r="M536" s="1">
        <v>21.0</v>
      </c>
    </row>
    <row r="537">
      <c r="A537" s="1" t="s">
        <v>967</v>
      </c>
      <c r="B537" s="3" t="s">
        <v>968</v>
      </c>
      <c r="C537" s="1" t="s">
        <v>16</v>
      </c>
      <c r="D537" s="1" t="s">
        <v>713</v>
      </c>
      <c r="E537" s="1" t="s">
        <v>714</v>
      </c>
      <c r="F537" s="1" t="str">
        <f>IFERROR(__xludf.DUMMYFUNCTION("SPLIT(E537,""&gt;"")"),"BitGirls")</f>
        <v>BitGirls</v>
      </c>
      <c r="G537" s="1" t="str">
        <f>IFERROR(__xludf.DUMMYFUNCTION("""COMPUTED_VALUE"""),"Block3")</f>
        <v>Block3</v>
      </c>
      <c r="H537" s="1" t="s">
        <v>713</v>
      </c>
      <c r="I537" s="1" t="s">
        <v>715</v>
      </c>
      <c r="J537" s="4">
        <v>42736.0</v>
      </c>
      <c r="K537" s="1">
        <v>500.0</v>
      </c>
      <c r="L537" s="1">
        <v>500.0</v>
      </c>
      <c r="M537" s="1">
        <v>22.0</v>
      </c>
    </row>
    <row r="538" hidden="1">
      <c r="A538" s="1" t="s">
        <v>967</v>
      </c>
      <c r="B538" s="3" t="s">
        <v>1700</v>
      </c>
      <c r="C538" s="1" t="s">
        <v>1569</v>
      </c>
      <c r="D538" s="1" t="s">
        <v>713</v>
      </c>
      <c r="E538" s="1" t="s">
        <v>714</v>
      </c>
      <c r="F538" s="1"/>
      <c r="G538" s="1"/>
      <c r="H538" s="1" t="s">
        <v>713</v>
      </c>
      <c r="I538" s="1" t="s">
        <v>715</v>
      </c>
      <c r="J538" s="4">
        <v>42736.0</v>
      </c>
      <c r="K538" s="1">
        <v>500.0</v>
      </c>
      <c r="L538" s="1">
        <v>500.0</v>
      </c>
      <c r="M538" s="1">
        <v>22.0</v>
      </c>
    </row>
    <row r="539">
      <c r="A539" s="1" t="s">
        <v>969</v>
      </c>
      <c r="B539" s="3" t="s">
        <v>970</v>
      </c>
      <c r="C539" s="1" t="s">
        <v>16</v>
      </c>
      <c r="D539" s="1" t="s">
        <v>713</v>
      </c>
      <c r="E539" s="1" t="s">
        <v>714</v>
      </c>
      <c r="F539" s="1" t="str">
        <f>IFERROR(__xludf.DUMMYFUNCTION("SPLIT(E539,""&gt;"")"),"BitGirls")</f>
        <v>BitGirls</v>
      </c>
      <c r="G539" s="1" t="str">
        <f>IFERROR(__xludf.DUMMYFUNCTION("""COMPUTED_VALUE"""),"Block3")</f>
        <v>Block3</v>
      </c>
      <c r="H539" s="1" t="s">
        <v>713</v>
      </c>
      <c r="I539" s="1" t="s">
        <v>715</v>
      </c>
      <c r="J539" s="4">
        <v>42736.0</v>
      </c>
      <c r="K539" s="1">
        <v>500.0</v>
      </c>
      <c r="L539" s="1">
        <v>500.0</v>
      </c>
      <c r="M539" s="1">
        <v>24.0</v>
      </c>
    </row>
    <row r="540" hidden="1">
      <c r="A540" s="1" t="s">
        <v>969</v>
      </c>
      <c r="B540" s="3" t="s">
        <v>1701</v>
      </c>
      <c r="C540" s="1" t="s">
        <v>1569</v>
      </c>
      <c r="D540" s="1" t="s">
        <v>713</v>
      </c>
      <c r="E540" s="1" t="s">
        <v>714</v>
      </c>
      <c r="F540" s="1"/>
      <c r="G540" s="1"/>
      <c r="H540" s="1" t="s">
        <v>713</v>
      </c>
      <c r="I540" s="1" t="s">
        <v>715</v>
      </c>
      <c r="J540" s="4">
        <v>42736.0</v>
      </c>
      <c r="K540" s="1">
        <v>500.0</v>
      </c>
      <c r="L540" s="1">
        <v>500.0</v>
      </c>
      <c r="M540" s="1">
        <v>24.0</v>
      </c>
    </row>
    <row r="541">
      <c r="A541" s="1" t="s">
        <v>971</v>
      </c>
      <c r="B541" s="3" t="s">
        <v>972</v>
      </c>
      <c r="C541" s="1" t="s">
        <v>16</v>
      </c>
      <c r="D541" s="1" t="s">
        <v>713</v>
      </c>
      <c r="E541" s="1" t="s">
        <v>714</v>
      </c>
      <c r="F541" s="1" t="str">
        <f>IFERROR(__xludf.DUMMYFUNCTION("SPLIT(E541,""&gt;"")"),"BitGirls")</f>
        <v>BitGirls</v>
      </c>
      <c r="G541" s="1" t="str">
        <f>IFERROR(__xludf.DUMMYFUNCTION("""COMPUTED_VALUE"""),"Block3")</f>
        <v>Block3</v>
      </c>
      <c r="H541" s="1" t="s">
        <v>713</v>
      </c>
      <c r="I541" s="1" t="s">
        <v>715</v>
      </c>
      <c r="J541" s="4">
        <v>42736.0</v>
      </c>
      <c r="K541" s="1">
        <v>500.0</v>
      </c>
      <c r="L541" s="1">
        <v>500.0</v>
      </c>
      <c r="M541" s="1">
        <v>25.0</v>
      </c>
    </row>
    <row r="542" hidden="1">
      <c r="A542" s="1" t="s">
        <v>971</v>
      </c>
      <c r="B542" s="3" t="s">
        <v>1702</v>
      </c>
      <c r="C542" s="1" t="s">
        <v>1569</v>
      </c>
      <c r="D542" s="1" t="s">
        <v>713</v>
      </c>
      <c r="E542" s="1" t="s">
        <v>714</v>
      </c>
      <c r="F542" s="1"/>
      <c r="G542" s="1"/>
      <c r="H542" s="1" t="s">
        <v>713</v>
      </c>
      <c r="I542" s="1" t="s">
        <v>715</v>
      </c>
      <c r="J542" s="4">
        <v>42736.0</v>
      </c>
      <c r="K542" s="1">
        <v>500.0</v>
      </c>
      <c r="L542" s="1">
        <v>500.0</v>
      </c>
      <c r="M542" s="1">
        <v>25.0</v>
      </c>
    </row>
    <row r="543">
      <c r="A543" s="1" t="s">
        <v>973</v>
      </c>
      <c r="B543" s="3" t="s">
        <v>974</v>
      </c>
      <c r="C543" s="1" t="s">
        <v>16</v>
      </c>
      <c r="D543" s="1" t="s">
        <v>713</v>
      </c>
      <c r="E543" s="1" t="s">
        <v>714</v>
      </c>
      <c r="F543" s="1" t="str">
        <f>IFERROR(__xludf.DUMMYFUNCTION("SPLIT(E543,""&gt;"")"),"BitGirls")</f>
        <v>BitGirls</v>
      </c>
      <c r="G543" s="1" t="str">
        <f>IFERROR(__xludf.DUMMYFUNCTION("""COMPUTED_VALUE"""),"Block3")</f>
        <v>Block3</v>
      </c>
      <c r="H543" s="1" t="s">
        <v>713</v>
      </c>
      <c r="I543" s="1" t="s">
        <v>715</v>
      </c>
      <c r="J543" s="4">
        <v>42736.0</v>
      </c>
      <c r="K543" s="1">
        <v>500.0</v>
      </c>
      <c r="L543" s="1">
        <v>500.0</v>
      </c>
      <c r="M543" s="1">
        <v>26.0</v>
      </c>
    </row>
    <row r="544" hidden="1">
      <c r="A544" s="1" t="s">
        <v>973</v>
      </c>
      <c r="B544" s="3" t="s">
        <v>1703</v>
      </c>
      <c r="C544" s="1" t="s">
        <v>1569</v>
      </c>
      <c r="D544" s="1" t="s">
        <v>713</v>
      </c>
      <c r="E544" s="1" t="s">
        <v>714</v>
      </c>
      <c r="F544" s="1"/>
      <c r="G544" s="1"/>
      <c r="H544" s="1" t="s">
        <v>713</v>
      </c>
      <c r="I544" s="1" t="s">
        <v>715</v>
      </c>
      <c r="J544" s="4">
        <v>42736.0</v>
      </c>
      <c r="K544" s="1">
        <v>500.0</v>
      </c>
      <c r="L544" s="1">
        <v>500.0</v>
      </c>
      <c r="M544" s="1">
        <v>26.0</v>
      </c>
    </row>
    <row r="545">
      <c r="A545" s="1" t="s">
        <v>975</v>
      </c>
      <c r="B545" s="3" t="s">
        <v>976</v>
      </c>
      <c r="C545" s="1" t="s">
        <v>16</v>
      </c>
      <c r="D545" s="1" t="s">
        <v>713</v>
      </c>
      <c r="E545" s="1" t="s">
        <v>714</v>
      </c>
      <c r="F545" s="1" t="str">
        <f>IFERROR(__xludf.DUMMYFUNCTION("SPLIT(E545,""&gt;"")"),"BitGirls")</f>
        <v>BitGirls</v>
      </c>
      <c r="G545" s="1" t="str">
        <f>IFERROR(__xludf.DUMMYFUNCTION("""COMPUTED_VALUE"""),"Block3")</f>
        <v>Block3</v>
      </c>
      <c r="H545" s="1" t="s">
        <v>713</v>
      </c>
      <c r="I545" s="1" t="s">
        <v>715</v>
      </c>
      <c r="J545" s="4">
        <v>42736.0</v>
      </c>
      <c r="K545" s="1">
        <v>500.0</v>
      </c>
      <c r="L545" s="1">
        <v>500.0</v>
      </c>
      <c r="M545" s="1">
        <v>27.0</v>
      </c>
    </row>
    <row r="546" hidden="1">
      <c r="A546" s="1" t="s">
        <v>975</v>
      </c>
      <c r="B546" s="3" t="s">
        <v>1704</v>
      </c>
      <c r="C546" s="1" t="s">
        <v>1569</v>
      </c>
      <c r="D546" s="1" t="s">
        <v>713</v>
      </c>
      <c r="E546" s="1" t="s">
        <v>714</v>
      </c>
      <c r="F546" s="1"/>
      <c r="G546" s="1"/>
      <c r="H546" s="1" t="s">
        <v>713</v>
      </c>
      <c r="I546" s="1" t="s">
        <v>715</v>
      </c>
      <c r="J546" s="4">
        <v>42736.0</v>
      </c>
      <c r="K546" s="1">
        <v>500.0</v>
      </c>
      <c r="L546" s="1">
        <v>500.0</v>
      </c>
      <c r="M546" s="1">
        <v>27.0</v>
      </c>
    </row>
    <row r="547" hidden="1">
      <c r="A547" s="1" t="s">
        <v>637</v>
      </c>
      <c r="B547" s="3" t="s">
        <v>1705</v>
      </c>
      <c r="C547" s="1" t="s">
        <v>1569</v>
      </c>
      <c r="D547" s="1" t="s">
        <v>71</v>
      </c>
      <c r="E547" s="1" t="s">
        <v>608</v>
      </c>
      <c r="F547" s="1"/>
      <c r="G547" s="1"/>
      <c r="H547" s="1" t="s">
        <v>71</v>
      </c>
      <c r="I547" s="1" t="s">
        <v>609</v>
      </c>
      <c r="J547" s="4">
        <v>42644.0</v>
      </c>
      <c r="K547" s="1">
        <v>999.0</v>
      </c>
      <c r="L547" s="1">
        <v>999.0</v>
      </c>
      <c r="M547" s="1">
        <v>238.0</v>
      </c>
    </row>
    <row r="548" hidden="1">
      <c r="A548" s="1" t="s">
        <v>639</v>
      </c>
      <c r="B548" s="3" t="s">
        <v>1706</v>
      </c>
      <c r="C548" s="1" t="s">
        <v>1569</v>
      </c>
      <c r="D548" s="1" t="s">
        <v>71</v>
      </c>
      <c r="E548" s="1" t="s">
        <v>612</v>
      </c>
      <c r="F548" s="1"/>
      <c r="G548" s="1"/>
      <c r="H548" s="1" t="s">
        <v>71</v>
      </c>
      <c r="I548" s="1" t="s">
        <v>609</v>
      </c>
      <c r="J548" s="4">
        <v>42644.0</v>
      </c>
      <c r="K548" s="1">
        <v>109.0</v>
      </c>
      <c r="L548" s="1">
        <v>109.0</v>
      </c>
      <c r="M548" s="1">
        <v>280.0</v>
      </c>
    </row>
    <row r="549">
      <c r="A549" s="1" t="s">
        <v>977</v>
      </c>
      <c r="B549" s="3" t="s">
        <v>978</v>
      </c>
      <c r="C549" s="1" t="s">
        <v>16</v>
      </c>
      <c r="D549" s="1" t="s">
        <v>979</v>
      </c>
      <c r="E549" s="1" t="s">
        <v>979</v>
      </c>
      <c r="F549" s="1" t="str">
        <f>IFERROR(__xludf.DUMMYFUNCTION("SPLIT(E549,""&gt;"")"),"Force of Will")</f>
        <v>Force of Will</v>
      </c>
      <c r="G549" s="1"/>
      <c r="H549" s="1" t="s">
        <v>979</v>
      </c>
      <c r="I549" s="1" t="s">
        <v>622</v>
      </c>
      <c r="J549" s="4">
        <v>42675.0</v>
      </c>
      <c r="K549" s="1">
        <v>1000.0</v>
      </c>
      <c r="L549" s="1">
        <v>500.0</v>
      </c>
      <c r="M549" s="1">
        <v>1.0</v>
      </c>
    </row>
    <row r="550" hidden="1">
      <c r="A550" s="1" t="s">
        <v>977</v>
      </c>
      <c r="B550" s="3" t="s">
        <v>1707</v>
      </c>
      <c r="C550" s="1" t="s">
        <v>1569</v>
      </c>
      <c r="D550" s="1" t="s">
        <v>979</v>
      </c>
      <c r="E550" s="1" t="s">
        <v>979</v>
      </c>
      <c r="F550" s="1"/>
      <c r="G550" s="1"/>
      <c r="H550" s="1" t="s">
        <v>979</v>
      </c>
      <c r="I550" s="1" t="s">
        <v>622</v>
      </c>
      <c r="J550" s="4">
        <v>42675.0</v>
      </c>
      <c r="K550" s="1">
        <v>1000.0</v>
      </c>
      <c r="L550" s="1">
        <v>500.0</v>
      </c>
      <c r="M550" s="1">
        <v>1.0</v>
      </c>
    </row>
    <row r="551">
      <c r="A551" s="1" t="s">
        <v>980</v>
      </c>
      <c r="B551" s="3" t="s">
        <v>981</v>
      </c>
      <c r="C551" s="1" t="s">
        <v>16</v>
      </c>
      <c r="D551" s="1" t="s">
        <v>979</v>
      </c>
      <c r="E551" s="1" t="s">
        <v>979</v>
      </c>
      <c r="F551" s="1" t="str">
        <f>IFERROR(__xludf.DUMMYFUNCTION("SPLIT(E551,""&gt;"")"),"Force of Will")</f>
        <v>Force of Will</v>
      </c>
      <c r="G551" s="1"/>
      <c r="H551" s="1" t="s">
        <v>979</v>
      </c>
      <c r="I551" s="1" t="s">
        <v>622</v>
      </c>
      <c r="J551" s="4">
        <v>42675.0</v>
      </c>
      <c r="K551" s="1">
        <v>1000.0</v>
      </c>
      <c r="L551" s="1">
        <v>500.0</v>
      </c>
      <c r="M551" s="1">
        <v>2.0</v>
      </c>
    </row>
    <row r="552" hidden="1">
      <c r="A552" s="1" t="s">
        <v>980</v>
      </c>
      <c r="B552" s="3" t="s">
        <v>1708</v>
      </c>
      <c r="C552" s="1" t="s">
        <v>1569</v>
      </c>
      <c r="D552" s="1" t="s">
        <v>979</v>
      </c>
      <c r="E552" s="1" t="s">
        <v>979</v>
      </c>
      <c r="F552" s="1"/>
      <c r="G552" s="1"/>
      <c r="H552" s="1" t="s">
        <v>979</v>
      </c>
      <c r="I552" s="1" t="s">
        <v>622</v>
      </c>
      <c r="J552" s="4">
        <v>42675.0</v>
      </c>
      <c r="K552" s="1">
        <v>1000.0</v>
      </c>
      <c r="L552" s="1">
        <v>500.0</v>
      </c>
      <c r="M552" s="1">
        <v>2.0</v>
      </c>
    </row>
    <row r="553">
      <c r="A553" s="1" t="s">
        <v>982</v>
      </c>
      <c r="B553" s="3" t="s">
        <v>983</v>
      </c>
      <c r="C553" s="1" t="s">
        <v>16</v>
      </c>
      <c r="D553" s="1" t="s">
        <v>979</v>
      </c>
      <c r="E553" s="1" t="s">
        <v>979</v>
      </c>
      <c r="F553" s="1" t="str">
        <f>IFERROR(__xludf.DUMMYFUNCTION("SPLIT(E553,""&gt;"")"),"Force of Will")</f>
        <v>Force of Will</v>
      </c>
      <c r="G553" s="1"/>
      <c r="H553" s="1" t="s">
        <v>979</v>
      </c>
      <c r="I553" s="1" t="s">
        <v>622</v>
      </c>
      <c r="J553" s="4">
        <v>42675.0</v>
      </c>
      <c r="K553" s="1">
        <v>1000.0</v>
      </c>
      <c r="L553" s="1">
        <v>500.0</v>
      </c>
      <c r="M553" s="1">
        <v>3.0</v>
      </c>
    </row>
    <row r="554" hidden="1">
      <c r="A554" s="1" t="s">
        <v>982</v>
      </c>
      <c r="B554" s="3" t="s">
        <v>1709</v>
      </c>
      <c r="C554" s="1" t="s">
        <v>1569</v>
      </c>
      <c r="D554" s="1" t="s">
        <v>979</v>
      </c>
      <c r="E554" s="1" t="s">
        <v>979</v>
      </c>
      <c r="F554" s="1"/>
      <c r="G554" s="1"/>
      <c r="H554" s="1" t="s">
        <v>979</v>
      </c>
      <c r="I554" s="1" t="s">
        <v>622</v>
      </c>
      <c r="J554" s="4">
        <v>42675.0</v>
      </c>
      <c r="K554" s="1">
        <v>1000.0</v>
      </c>
      <c r="L554" s="1">
        <v>500.0</v>
      </c>
      <c r="M554" s="1">
        <v>3.0</v>
      </c>
    </row>
    <row r="555">
      <c r="A555" s="1" t="s">
        <v>984</v>
      </c>
      <c r="B555" s="3" t="s">
        <v>985</v>
      </c>
      <c r="C555" s="1" t="s">
        <v>16</v>
      </c>
      <c r="D555" s="1" t="s">
        <v>979</v>
      </c>
      <c r="E555" s="1" t="s">
        <v>979</v>
      </c>
      <c r="F555" s="1" t="str">
        <f>IFERROR(__xludf.DUMMYFUNCTION("SPLIT(E555,""&gt;"")"),"Force of Will")</f>
        <v>Force of Will</v>
      </c>
      <c r="G555" s="1"/>
      <c r="H555" s="1" t="s">
        <v>979</v>
      </c>
      <c r="I555" s="1" t="s">
        <v>622</v>
      </c>
      <c r="J555" s="4">
        <v>42675.0</v>
      </c>
      <c r="K555" s="1">
        <v>1000.0</v>
      </c>
      <c r="L555" s="1">
        <v>500.0</v>
      </c>
      <c r="M555" s="1">
        <v>4.0</v>
      </c>
    </row>
    <row r="556" hidden="1">
      <c r="A556" s="1" t="s">
        <v>984</v>
      </c>
      <c r="B556" s="3" t="s">
        <v>1710</v>
      </c>
      <c r="C556" s="1" t="s">
        <v>1569</v>
      </c>
      <c r="D556" s="1" t="s">
        <v>979</v>
      </c>
      <c r="E556" s="1" t="s">
        <v>979</v>
      </c>
      <c r="F556" s="1"/>
      <c r="G556" s="1"/>
      <c r="H556" s="1" t="s">
        <v>979</v>
      </c>
      <c r="I556" s="1" t="s">
        <v>622</v>
      </c>
      <c r="J556" s="4">
        <v>42675.0</v>
      </c>
      <c r="K556" s="1">
        <v>1000.0</v>
      </c>
      <c r="L556" s="1">
        <v>500.0</v>
      </c>
      <c r="M556" s="1">
        <v>4.0</v>
      </c>
    </row>
    <row r="557">
      <c r="A557" s="1" t="s">
        <v>986</v>
      </c>
      <c r="B557" s="3" t="s">
        <v>987</v>
      </c>
      <c r="C557" s="1" t="s">
        <v>16</v>
      </c>
      <c r="D557" s="1" t="s">
        <v>979</v>
      </c>
      <c r="E557" s="1" t="s">
        <v>979</v>
      </c>
      <c r="F557" s="1" t="str">
        <f>IFERROR(__xludf.DUMMYFUNCTION("SPLIT(E557,""&gt;"")"),"Force of Will")</f>
        <v>Force of Will</v>
      </c>
      <c r="G557" s="1"/>
      <c r="H557" s="1" t="s">
        <v>979</v>
      </c>
      <c r="I557" s="1" t="s">
        <v>622</v>
      </c>
      <c r="J557" s="4">
        <v>42675.0</v>
      </c>
      <c r="K557" s="1">
        <v>1000.0</v>
      </c>
      <c r="L557" s="1">
        <v>500.0</v>
      </c>
      <c r="M557" s="1">
        <v>5.0</v>
      </c>
    </row>
    <row r="558" hidden="1">
      <c r="A558" s="1" t="s">
        <v>986</v>
      </c>
      <c r="B558" s="3" t="s">
        <v>1711</v>
      </c>
      <c r="C558" s="1" t="s">
        <v>1569</v>
      </c>
      <c r="D558" s="1" t="s">
        <v>979</v>
      </c>
      <c r="E558" s="1" t="s">
        <v>979</v>
      </c>
      <c r="F558" s="1"/>
      <c r="G558" s="1"/>
      <c r="H558" s="1" t="s">
        <v>979</v>
      </c>
      <c r="I558" s="1" t="s">
        <v>622</v>
      </c>
      <c r="J558" s="4">
        <v>42675.0</v>
      </c>
      <c r="K558" s="1">
        <v>1000.0</v>
      </c>
      <c r="L558" s="1">
        <v>500.0</v>
      </c>
      <c r="M558" s="1">
        <v>5.0</v>
      </c>
    </row>
    <row r="559">
      <c r="A559" s="1" t="s">
        <v>988</v>
      </c>
      <c r="B559" s="3" t="s">
        <v>989</v>
      </c>
      <c r="C559" s="1" t="s">
        <v>16</v>
      </c>
      <c r="D559" s="1" t="s">
        <v>979</v>
      </c>
      <c r="E559" s="1" t="s">
        <v>979</v>
      </c>
      <c r="F559" s="1" t="str">
        <f>IFERROR(__xludf.DUMMYFUNCTION("SPLIT(E559,""&gt;"")"),"Force of Will")</f>
        <v>Force of Will</v>
      </c>
      <c r="G559" s="1"/>
      <c r="H559" s="1" t="s">
        <v>979</v>
      </c>
      <c r="I559" s="1" t="s">
        <v>622</v>
      </c>
      <c r="J559" s="4">
        <v>42675.0</v>
      </c>
      <c r="K559" s="1">
        <v>1000.0</v>
      </c>
      <c r="L559" s="1">
        <v>500.0</v>
      </c>
      <c r="M559" s="1">
        <v>6.0</v>
      </c>
    </row>
    <row r="560" hidden="1">
      <c r="A560" s="1" t="s">
        <v>988</v>
      </c>
      <c r="B560" s="3" t="s">
        <v>1712</v>
      </c>
      <c r="C560" s="1" t="s">
        <v>1569</v>
      </c>
      <c r="D560" s="1" t="s">
        <v>979</v>
      </c>
      <c r="E560" s="1" t="s">
        <v>979</v>
      </c>
      <c r="F560" s="1"/>
      <c r="G560" s="1"/>
      <c r="H560" s="1" t="s">
        <v>979</v>
      </c>
      <c r="I560" s="1" t="s">
        <v>622</v>
      </c>
      <c r="J560" s="4">
        <v>42675.0</v>
      </c>
      <c r="K560" s="1">
        <v>1000.0</v>
      </c>
      <c r="L560" s="1">
        <v>500.0</v>
      </c>
      <c r="M560" s="1">
        <v>6.0</v>
      </c>
    </row>
    <row r="561">
      <c r="A561" s="1" t="s">
        <v>990</v>
      </c>
      <c r="B561" s="3" t="s">
        <v>991</v>
      </c>
      <c r="C561" s="1" t="s">
        <v>16</v>
      </c>
      <c r="D561" s="1" t="s">
        <v>979</v>
      </c>
      <c r="E561" s="1" t="s">
        <v>979</v>
      </c>
      <c r="F561" s="1" t="str">
        <f>IFERROR(__xludf.DUMMYFUNCTION("SPLIT(E561,""&gt;"")"),"Force of Will")</f>
        <v>Force of Will</v>
      </c>
      <c r="G561" s="1"/>
      <c r="H561" s="1" t="s">
        <v>979</v>
      </c>
      <c r="I561" s="1" t="s">
        <v>622</v>
      </c>
      <c r="J561" s="4">
        <v>42675.0</v>
      </c>
      <c r="K561" s="1">
        <v>1000.0</v>
      </c>
      <c r="L561" s="1">
        <v>500.0</v>
      </c>
      <c r="M561" s="1">
        <v>7.0</v>
      </c>
    </row>
    <row r="562" hidden="1">
      <c r="A562" s="1" t="s">
        <v>990</v>
      </c>
      <c r="B562" s="3" t="s">
        <v>1713</v>
      </c>
      <c r="C562" s="1" t="s">
        <v>1569</v>
      </c>
      <c r="D562" s="1" t="s">
        <v>979</v>
      </c>
      <c r="E562" s="1" t="s">
        <v>979</v>
      </c>
      <c r="F562" s="1"/>
      <c r="G562" s="1"/>
      <c r="H562" s="1" t="s">
        <v>979</v>
      </c>
      <c r="I562" s="1" t="s">
        <v>622</v>
      </c>
      <c r="J562" s="4">
        <v>42675.0</v>
      </c>
      <c r="K562" s="1">
        <v>1000.0</v>
      </c>
      <c r="L562" s="1">
        <v>500.0</v>
      </c>
      <c r="M562" s="1">
        <v>7.0</v>
      </c>
    </row>
    <row r="563">
      <c r="A563" s="1" t="s">
        <v>992</v>
      </c>
      <c r="B563" s="3" t="s">
        <v>993</v>
      </c>
      <c r="C563" s="1" t="s">
        <v>16</v>
      </c>
      <c r="D563" s="1" t="s">
        <v>979</v>
      </c>
      <c r="E563" s="1" t="s">
        <v>979</v>
      </c>
      <c r="F563" s="1" t="str">
        <f>IFERROR(__xludf.DUMMYFUNCTION("SPLIT(E563,""&gt;"")"),"Force of Will")</f>
        <v>Force of Will</v>
      </c>
      <c r="G563" s="1"/>
      <c r="H563" s="1" t="s">
        <v>979</v>
      </c>
      <c r="I563" s="1" t="s">
        <v>622</v>
      </c>
      <c r="J563" s="4">
        <v>42675.0</v>
      </c>
      <c r="K563" s="1">
        <v>1000.0</v>
      </c>
      <c r="L563" s="1">
        <v>500.0</v>
      </c>
      <c r="M563" s="1">
        <v>8.0</v>
      </c>
    </row>
    <row r="564" hidden="1">
      <c r="A564" s="1" t="s">
        <v>992</v>
      </c>
      <c r="B564" s="3" t="s">
        <v>1714</v>
      </c>
      <c r="C564" s="1" t="s">
        <v>1569</v>
      </c>
      <c r="D564" s="1" t="s">
        <v>979</v>
      </c>
      <c r="E564" s="1" t="s">
        <v>979</v>
      </c>
      <c r="F564" s="1"/>
      <c r="G564" s="1"/>
      <c r="H564" s="1" t="s">
        <v>979</v>
      </c>
      <c r="I564" s="1" t="s">
        <v>622</v>
      </c>
      <c r="J564" s="4">
        <v>42675.0</v>
      </c>
      <c r="K564" s="1">
        <v>1000.0</v>
      </c>
      <c r="L564" s="1">
        <v>500.0</v>
      </c>
      <c r="M564" s="1">
        <v>8.0</v>
      </c>
    </row>
    <row r="565">
      <c r="A565" s="1" t="s">
        <v>994</v>
      </c>
      <c r="B565" s="3" t="s">
        <v>995</v>
      </c>
      <c r="C565" s="1" t="s">
        <v>16</v>
      </c>
      <c r="D565" s="1" t="s">
        <v>979</v>
      </c>
      <c r="E565" s="1" t="s">
        <v>979</v>
      </c>
      <c r="F565" s="1" t="str">
        <f>IFERROR(__xludf.DUMMYFUNCTION("SPLIT(E565,""&gt;"")"),"Force of Will")</f>
        <v>Force of Will</v>
      </c>
      <c r="G565" s="1"/>
      <c r="H565" s="1" t="s">
        <v>979</v>
      </c>
      <c r="I565" s="1" t="s">
        <v>622</v>
      </c>
      <c r="J565" s="4">
        <v>42675.0</v>
      </c>
      <c r="K565" s="1">
        <v>1000.0</v>
      </c>
      <c r="L565" s="1">
        <v>500.0</v>
      </c>
      <c r="M565" s="1">
        <v>9.0</v>
      </c>
    </row>
    <row r="566" hidden="1">
      <c r="A566" s="1" t="s">
        <v>994</v>
      </c>
      <c r="B566" s="3" t="s">
        <v>1715</v>
      </c>
      <c r="C566" s="1" t="s">
        <v>1569</v>
      </c>
      <c r="D566" s="1" t="s">
        <v>979</v>
      </c>
      <c r="E566" s="1" t="s">
        <v>979</v>
      </c>
      <c r="F566" s="1"/>
      <c r="G566" s="1"/>
      <c r="H566" s="1" t="s">
        <v>979</v>
      </c>
      <c r="I566" s="1" t="s">
        <v>622</v>
      </c>
      <c r="J566" s="4">
        <v>42675.0</v>
      </c>
      <c r="K566" s="1">
        <v>1000.0</v>
      </c>
      <c r="L566" s="1">
        <v>500.0</v>
      </c>
      <c r="M566" s="1">
        <v>9.0</v>
      </c>
    </row>
    <row r="567">
      <c r="A567" s="1" t="s">
        <v>996</v>
      </c>
      <c r="B567" s="3" t="s">
        <v>997</v>
      </c>
      <c r="C567" s="1" t="s">
        <v>16</v>
      </c>
      <c r="D567" s="1" t="s">
        <v>979</v>
      </c>
      <c r="E567" s="1" t="s">
        <v>979</v>
      </c>
      <c r="F567" s="1" t="str">
        <f>IFERROR(__xludf.DUMMYFUNCTION("SPLIT(E567,""&gt;"")"),"Force of Will")</f>
        <v>Force of Will</v>
      </c>
      <c r="G567" s="1"/>
      <c r="H567" s="1" t="s">
        <v>979</v>
      </c>
      <c r="I567" s="1" t="s">
        <v>622</v>
      </c>
      <c r="J567" s="4">
        <v>42675.0</v>
      </c>
      <c r="K567" s="1">
        <v>1000.0</v>
      </c>
      <c r="L567" s="1">
        <v>500.0</v>
      </c>
      <c r="M567" s="1">
        <v>10.0</v>
      </c>
    </row>
    <row r="568" hidden="1">
      <c r="A568" s="1" t="s">
        <v>996</v>
      </c>
      <c r="B568" s="3" t="s">
        <v>1716</v>
      </c>
      <c r="C568" s="1" t="s">
        <v>1569</v>
      </c>
      <c r="D568" s="1" t="s">
        <v>979</v>
      </c>
      <c r="E568" s="1" t="s">
        <v>979</v>
      </c>
      <c r="F568" s="1"/>
      <c r="G568" s="1"/>
      <c r="H568" s="1" t="s">
        <v>979</v>
      </c>
      <c r="I568" s="1" t="s">
        <v>622</v>
      </c>
      <c r="J568" s="4">
        <v>42675.0</v>
      </c>
      <c r="K568" s="1">
        <v>1000.0</v>
      </c>
      <c r="L568" s="1">
        <v>500.0</v>
      </c>
      <c r="M568" s="1">
        <v>10.0</v>
      </c>
    </row>
    <row r="569">
      <c r="A569" s="1" t="s">
        <v>998</v>
      </c>
      <c r="B569" s="3" t="s">
        <v>999</v>
      </c>
      <c r="C569" s="1" t="s">
        <v>16</v>
      </c>
      <c r="D569" s="1" t="s">
        <v>979</v>
      </c>
      <c r="E569" s="1" t="s">
        <v>979</v>
      </c>
      <c r="F569" s="1" t="str">
        <f>IFERROR(__xludf.DUMMYFUNCTION("SPLIT(E569,""&gt;"")"),"Force of Will")</f>
        <v>Force of Will</v>
      </c>
      <c r="G569" s="1"/>
      <c r="H569" s="1" t="s">
        <v>979</v>
      </c>
      <c r="I569" s="1" t="s">
        <v>622</v>
      </c>
      <c r="J569" s="4">
        <v>42675.0</v>
      </c>
      <c r="K569" s="1">
        <v>1000.0</v>
      </c>
      <c r="L569" s="1">
        <v>500.0</v>
      </c>
      <c r="M569" s="1">
        <v>11.0</v>
      </c>
    </row>
    <row r="570" hidden="1">
      <c r="A570" s="1" t="s">
        <v>998</v>
      </c>
      <c r="B570" s="3" t="s">
        <v>1717</v>
      </c>
      <c r="C570" s="1" t="s">
        <v>1569</v>
      </c>
      <c r="D570" s="1" t="s">
        <v>979</v>
      </c>
      <c r="E570" s="1" t="s">
        <v>979</v>
      </c>
      <c r="F570" s="1"/>
      <c r="G570" s="1"/>
      <c r="H570" s="1" t="s">
        <v>979</v>
      </c>
      <c r="I570" s="1" t="s">
        <v>622</v>
      </c>
      <c r="J570" s="4">
        <v>42675.0</v>
      </c>
      <c r="K570" s="1">
        <v>1000.0</v>
      </c>
      <c r="L570" s="1">
        <v>500.0</v>
      </c>
      <c r="M570" s="1">
        <v>11.0</v>
      </c>
    </row>
    <row r="571">
      <c r="A571" s="1" t="s">
        <v>1000</v>
      </c>
      <c r="B571" s="3" t="s">
        <v>1001</v>
      </c>
      <c r="C571" s="1" t="s">
        <v>16</v>
      </c>
      <c r="D571" s="1" t="s">
        <v>979</v>
      </c>
      <c r="E571" s="1" t="s">
        <v>979</v>
      </c>
      <c r="F571" s="1" t="str">
        <f>IFERROR(__xludf.DUMMYFUNCTION("SPLIT(E571,""&gt;"")"),"Force of Will")</f>
        <v>Force of Will</v>
      </c>
      <c r="G571" s="1"/>
      <c r="H571" s="1" t="s">
        <v>979</v>
      </c>
      <c r="I571" s="1" t="s">
        <v>622</v>
      </c>
      <c r="J571" s="4">
        <v>42675.0</v>
      </c>
      <c r="K571" s="1">
        <v>1000.0</v>
      </c>
      <c r="L571" s="1">
        <v>500.0</v>
      </c>
      <c r="M571" s="1">
        <v>12.0</v>
      </c>
    </row>
    <row r="572" hidden="1">
      <c r="A572" s="1" t="s">
        <v>1000</v>
      </c>
      <c r="B572" s="3" t="s">
        <v>1718</v>
      </c>
      <c r="C572" s="1" t="s">
        <v>1569</v>
      </c>
      <c r="D572" s="1" t="s">
        <v>979</v>
      </c>
      <c r="E572" s="1" t="s">
        <v>979</v>
      </c>
      <c r="F572" s="1"/>
      <c r="G572" s="1"/>
      <c r="H572" s="1" t="s">
        <v>979</v>
      </c>
      <c r="I572" s="1" t="s">
        <v>622</v>
      </c>
      <c r="J572" s="4">
        <v>42675.0</v>
      </c>
      <c r="K572" s="1">
        <v>1000.0</v>
      </c>
      <c r="L572" s="1">
        <v>500.0</v>
      </c>
      <c r="M572" s="1">
        <v>12.0</v>
      </c>
    </row>
    <row r="573">
      <c r="A573" s="1" t="s">
        <v>1002</v>
      </c>
      <c r="B573" s="3" t="s">
        <v>1003</v>
      </c>
      <c r="C573" s="1" t="s">
        <v>16</v>
      </c>
      <c r="D573" s="1" t="s">
        <v>979</v>
      </c>
      <c r="E573" s="1" t="s">
        <v>979</v>
      </c>
      <c r="F573" s="1" t="str">
        <f>IFERROR(__xludf.DUMMYFUNCTION("SPLIT(E573,""&gt;"")"),"Force of Will")</f>
        <v>Force of Will</v>
      </c>
      <c r="G573" s="1"/>
      <c r="H573" s="1" t="s">
        <v>979</v>
      </c>
      <c r="I573" s="1" t="s">
        <v>622</v>
      </c>
      <c r="J573" s="4">
        <v>42675.0</v>
      </c>
      <c r="K573" s="1">
        <v>1000.0</v>
      </c>
      <c r="L573" s="1">
        <v>500.0</v>
      </c>
      <c r="M573" s="1">
        <v>13.0</v>
      </c>
    </row>
    <row r="574" hidden="1">
      <c r="A574" s="1" t="s">
        <v>1002</v>
      </c>
      <c r="B574" s="3" t="s">
        <v>1719</v>
      </c>
      <c r="C574" s="1" t="s">
        <v>1569</v>
      </c>
      <c r="D574" s="1" t="s">
        <v>979</v>
      </c>
      <c r="E574" s="1" t="s">
        <v>979</v>
      </c>
      <c r="F574" s="1"/>
      <c r="G574" s="1"/>
      <c r="H574" s="1" t="s">
        <v>979</v>
      </c>
      <c r="I574" s="1" t="s">
        <v>622</v>
      </c>
      <c r="J574" s="4">
        <v>42675.0</v>
      </c>
      <c r="K574" s="1">
        <v>1000.0</v>
      </c>
      <c r="L574" s="1">
        <v>500.0</v>
      </c>
      <c r="M574" s="1">
        <v>13.0</v>
      </c>
    </row>
    <row r="575">
      <c r="A575" s="1" t="s">
        <v>1004</v>
      </c>
      <c r="B575" s="3" t="s">
        <v>1005</v>
      </c>
      <c r="C575" s="1" t="s">
        <v>16</v>
      </c>
      <c r="D575" s="1" t="s">
        <v>979</v>
      </c>
      <c r="E575" s="1" t="s">
        <v>979</v>
      </c>
      <c r="F575" s="1" t="str">
        <f>IFERROR(__xludf.DUMMYFUNCTION("SPLIT(E575,""&gt;"")"),"Force of Will")</f>
        <v>Force of Will</v>
      </c>
      <c r="G575" s="1"/>
      <c r="H575" s="1" t="s">
        <v>979</v>
      </c>
      <c r="I575" s="1" t="s">
        <v>622</v>
      </c>
      <c r="J575" s="4">
        <v>42675.0</v>
      </c>
      <c r="K575" s="1">
        <v>1000.0</v>
      </c>
      <c r="L575" s="1">
        <v>500.0</v>
      </c>
      <c r="M575" s="1">
        <v>14.0</v>
      </c>
    </row>
    <row r="576" hidden="1">
      <c r="A576" s="1" t="s">
        <v>1004</v>
      </c>
      <c r="B576" s="3" t="s">
        <v>1720</v>
      </c>
      <c r="C576" s="1" t="s">
        <v>1569</v>
      </c>
      <c r="D576" s="1" t="s">
        <v>979</v>
      </c>
      <c r="E576" s="1" t="s">
        <v>979</v>
      </c>
      <c r="F576" s="1"/>
      <c r="G576" s="1"/>
      <c r="H576" s="1" t="s">
        <v>979</v>
      </c>
      <c r="I576" s="1" t="s">
        <v>622</v>
      </c>
      <c r="J576" s="4">
        <v>42675.0</v>
      </c>
      <c r="K576" s="1">
        <v>1000.0</v>
      </c>
      <c r="L576" s="1">
        <v>500.0</v>
      </c>
      <c r="M576" s="1">
        <v>14.0</v>
      </c>
    </row>
    <row r="577">
      <c r="A577" s="1" t="s">
        <v>1006</v>
      </c>
      <c r="B577" s="3" t="s">
        <v>1007</v>
      </c>
      <c r="C577" s="1" t="s">
        <v>16</v>
      </c>
      <c r="D577" s="1" t="s">
        <v>979</v>
      </c>
      <c r="E577" s="1" t="s">
        <v>979</v>
      </c>
      <c r="F577" s="1" t="str">
        <f>IFERROR(__xludf.DUMMYFUNCTION("SPLIT(E577,""&gt;"")"),"Force of Will")</f>
        <v>Force of Will</v>
      </c>
      <c r="G577" s="1"/>
      <c r="H577" s="1" t="s">
        <v>979</v>
      </c>
      <c r="I577" s="1" t="s">
        <v>622</v>
      </c>
      <c r="J577" s="4">
        <v>42675.0</v>
      </c>
      <c r="K577" s="1">
        <v>1000.0</v>
      </c>
      <c r="L577" s="1">
        <v>500.0</v>
      </c>
      <c r="M577" s="1">
        <v>15.0</v>
      </c>
    </row>
    <row r="578" hidden="1">
      <c r="A578" s="1" t="s">
        <v>1006</v>
      </c>
      <c r="B578" s="3" t="s">
        <v>1721</v>
      </c>
      <c r="C578" s="1" t="s">
        <v>1569</v>
      </c>
      <c r="D578" s="1" t="s">
        <v>979</v>
      </c>
      <c r="E578" s="1" t="s">
        <v>979</v>
      </c>
      <c r="F578" s="1"/>
      <c r="G578" s="1"/>
      <c r="H578" s="1" t="s">
        <v>979</v>
      </c>
      <c r="I578" s="1" t="s">
        <v>622</v>
      </c>
      <c r="J578" s="4">
        <v>42675.0</v>
      </c>
      <c r="K578" s="1">
        <v>1000.0</v>
      </c>
      <c r="L578" s="1">
        <v>500.0</v>
      </c>
      <c r="M578" s="1">
        <v>15.0</v>
      </c>
    </row>
    <row r="579">
      <c r="A579" s="1" t="s">
        <v>1008</v>
      </c>
      <c r="B579" s="3" t="s">
        <v>1009</v>
      </c>
      <c r="C579" s="1" t="s">
        <v>16</v>
      </c>
      <c r="D579" s="1" t="s">
        <v>979</v>
      </c>
      <c r="E579" s="1" t="s">
        <v>979</v>
      </c>
      <c r="F579" s="1" t="str">
        <f>IFERROR(__xludf.DUMMYFUNCTION("SPLIT(E579,""&gt;"")"),"Force of Will")</f>
        <v>Force of Will</v>
      </c>
      <c r="G579" s="1"/>
      <c r="H579" s="1" t="s">
        <v>979</v>
      </c>
      <c r="I579" s="1" t="s">
        <v>622</v>
      </c>
      <c r="J579" s="4">
        <v>42675.0</v>
      </c>
      <c r="K579" s="1">
        <v>1000.0</v>
      </c>
      <c r="L579" s="1">
        <v>500.0</v>
      </c>
      <c r="M579" s="1">
        <v>16.0</v>
      </c>
    </row>
    <row r="580" hidden="1">
      <c r="A580" s="1" t="s">
        <v>1008</v>
      </c>
      <c r="B580" s="3" t="s">
        <v>1722</v>
      </c>
      <c r="C580" s="1" t="s">
        <v>1569</v>
      </c>
      <c r="D580" s="1" t="s">
        <v>979</v>
      </c>
      <c r="E580" s="1" t="s">
        <v>979</v>
      </c>
      <c r="F580" s="1"/>
      <c r="G580" s="1"/>
      <c r="H580" s="1" t="s">
        <v>979</v>
      </c>
      <c r="I580" s="1" t="s">
        <v>622</v>
      </c>
      <c r="J580" s="4">
        <v>42675.0</v>
      </c>
      <c r="K580" s="1">
        <v>1000.0</v>
      </c>
      <c r="L580" s="1">
        <v>500.0</v>
      </c>
      <c r="M580" s="1">
        <v>16.0</v>
      </c>
    </row>
    <row r="581">
      <c r="A581" s="1" t="s">
        <v>1010</v>
      </c>
      <c r="B581" s="3" t="s">
        <v>1011</v>
      </c>
      <c r="C581" s="1" t="s">
        <v>16</v>
      </c>
      <c r="D581" s="1" t="s">
        <v>979</v>
      </c>
      <c r="E581" s="1" t="s">
        <v>979</v>
      </c>
      <c r="F581" s="1" t="str">
        <f>IFERROR(__xludf.DUMMYFUNCTION("SPLIT(E581,""&gt;"")"),"Force of Will")</f>
        <v>Force of Will</v>
      </c>
      <c r="G581" s="1"/>
      <c r="H581" s="1" t="s">
        <v>979</v>
      </c>
      <c r="I581" s="1" t="s">
        <v>622</v>
      </c>
      <c r="J581" s="4">
        <v>42675.0</v>
      </c>
      <c r="K581" s="1">
        <v>1000.0</v>
      </c>
      <c r="L581" s="1">
        <v>500.0</v>
      </c>
      <c r="M581" s="1">
        <v>17.0</v>
      </c>
    </row>
    <row r="582" hidden="1">
      <c r="A582" s="1" t="s">
        <v>1010</v>
      </c>
      <c r="B582" s="3" t="s">
        <v>1723</v>
      </c>
      <c r="C582" s="1" t="s">
        <v>1569</v>
      </c>
      <c r="D582" s="1" t="s">
        <v>979</v>
      </c>
      <c r="E582" s="1" t="s">
        <v>979</v>
      </c>
      <c r="F582" s="1"/>
      <c r="G582" s="1"/>
      <c r="H582" s="1" t="s">
        <v>979</v>
      </c>
      <c r="I582" s="1" t="s">
        <v>622</v>
      </c>
      <c r="J582" s="4">
        <v>42675.0</v>
      </c>
      <c r="K582" s="1">
        <v>1000.0</v>
      </c>
      <c r="L582" s="1">
        <v>500.0</v>
      </c>
      <c r="M582" s="1">
        <v>17.0</v>
      </c>
    </row>
    <row r="583">
      <c r="A583" s="1" t="s">
        <v>1012</v>
      </c>
      <c r="B583" s="3" t="s">
        <v>1013</v>
      </c>
      <c r="C583" s="1" t="s">
        <v>16</v>
      </c>
      <c r="D583" s="1" t="s">
        <v>979</v>
      </c>
      <c r="E583" s="1" t="s">
        <v>979</v>
      </c>
      <c r="F583" s="1" t="str">
        <f>IFERROR(__xludf.DUMMYFUNCTION("SPLIT(E583,""&gt;"")"),"Force of Will")</f>
        <v>Force of Will</v>
      </c>
      <c r="G583" s="1"/>
      <c r="H583" s="1" t="s">
        <v>979</v>
      </c>
      <c r="I583" s="1" t="s">
        <v>622</v>
      </c>
      <c r="J583" s="4">
        <v>42675.0</v>
      </c>
      <c r="K583" s="1">
        <v>1000.0</v>
      </c>
      <c r="L583" s="1">
        <v>500.0</v>
      </c>
      <c r="M583" s="1">
        <v>18.0</v>
      </c>
    </row>
    <row r="584" hidden="1">
      <c r="A584" s="1" t="s">
        <v>1012</v>
      </c>
      <c r="B584" s="3" t="s">
        <v>1724</v>
      </c>
      <c r="C584" s="1" t="s">
        <v>1569</v>
      </c>
      <c r="D584" s="1" t="s">
        <v>979</v>
      </c>
      <c r="E584" s="1" t="s">
        <v>979</v>
      </c>
      <c r="F584" s="1"/>
      <c r="G584" s="1"/>
      <c r="H584" s="1" t="s">
        <v>979</v>
      </c>
      <c r="I584" s="1" t="s">
        <v>622</v>
      </c>
      <c r="J584" s="4">
        <v>42675.0</v>
      </c>
      <c r="K584" s="1">
        <v>1000.0</v>
      </c>
      <c r="L584" s="1">
        <v>500.0</v>
      </c>
      <c r="M584" s="1">
        <v>18.0</v>
      </c>
    </row>
    <row r="585">
      <c r="A585" s="1" t="s">
        <v>1014</v>
      </c>
      <c r="B585" s="3" t="s">
        <v>1015</v>
      </c>
      <c r="C585" s="1" t="s">
        <v>16</v>
      </c>
      <c r="D585" s="1" t="s">
        <v>979</v>
      </c>
      <c r="E585" s="1" t="s">
        <v>979</v>
      </c>
      <c r="F585" s="1" t="str">
        <f>IFERROR(__xludf.DUMMYFUNCTION("SPLIT(E585,""&gt;"")"),"Force of Will")</f>
        <v>Force of Will</v>
      </c>
      <c r="G585" s="1"/>
      <c r="H585" s="1" t="s">
        <v>979</v>
      </c>
      <c r="I585" s="1" t="s">
        <v>622</v>
      </c>
      <c r="J585" s="4">
        <v>42675.0</v>
      </c>
      <c r="K585" s="1">
        <v>1000.0</v>
      </c>
      <c r="L585" s="1">
        <v>500.0</v>
      </c>
      <c r="M585" s="1">
        <v>19.0</v>
      </c>
    </row>
    <row r="586" hidden="1">
      <c r="A586" s="1" t="s">
        <v>1014</v>
      </c>
      <c r="B586" s="3" t="s">
        <v>1725</v>
      </c>
      <c r="C586" s="1" t="s">
        <v>1569</v>
      </c>
      <c r="D586" s="1" t="s">
        <v>979</v>
      </c>
      <c r="E586" s="1" t="s">
        <v>979</v>
      </c>
      <c r="F586" s="1"/>
      <c r="G586" s="1"/>
      <c r="H586" s="1" t="s">
        <v>979</v>
      </c>
      <c r="I586" s="1" t="s">
        <v>622</v>
      </c>
      <c r="J586" s="4">
        <v>42675.0</v>
      </c>
      <c r="K586" s="1">
        <v>1000.0</v>
      </c>
      <c r="L586" s="1">
        <v>500.0</v>
      </c>
      <c r="M586" s="1">
        <v>19.0</v>
      </c>
    </row>
    <row r="587">
      <c r="A587" s="1" t="s">
        <v>1016</v>
      </c>
      <c r="B587" s="3" t="s">
        <v>1017</v>
      </c>
      <c r="C587" s="1" t="s">
        <v>16</v>
      </c>
      <c r="D587" s="1" t="s">
        <v>979</v>
      </c>
      <c r="E587" s="1" t="s">
        <v>979</v>
      </c>
      <c r="F587" s="1" t="str">
        <f>IFERROR(__xludf.DUMMYFUNCTION("SPLIT(E587,""&gt;"")"),"Force of Will")</f>
        <v>Force of Will</v>
      </c>
      <c r="G587" s="1"/>
      <c r="H587" s="1" t="s">
        <v>979</v>
      </c>
      <c r="I587" s="1" t="s">
        <v>622</v>
      </c>
      <c r="J587" s="4">
        <v>42675.0</v>
      </c>
      <c r="K587" s="1">
        <v>1000.0</v>
      </c>
      <c r="L587" s="1">
        <v>500.0</v>
      </c>
      <c r="M587" s="1">
        <v>20.0</v>
      </c>
    </row>
    <row r="588" hidden="1">
      <c r="A588" s="1" t="s">
        <v>1016</v>
      </c>
      <c r="B588" s="3" t="s">
        <v>1726</v>
      </c>
      <c r="C588" s="1" t="s">
        <v>1569</v>
      </c>
      <c r="D588" s="1" t="s">
        <v>979</v>
      </c>
      <c r="E588" s="1" t="s">
        <v>979</v>
      </c>
      <c r="F588" s="1"/>
      <c r="G588" s="1"/>
      <c r="H588" s="1" t="s">
        <v>979</v>
      </c>
      <c r="I588" s="1" t="s">
        <v>622</v>
      </c>
      <c r="J588" s="4">
        <v>42675.0</v>
      </c>
      <c r="K588" s="1">
        <v>1000.0</v>
      </c>
      <c r="L588" s="1">
        <v>500.0</v>
      </c>
      <c r="M588" s="1">
        <v>20.0</v>
      </c>
    </row>
    <row r="589">
      <c r="A589" s="1" t="s">
        <v>1018</v>
      </c>
      <c r="B589" s="3" t="s">
        <v>1019</v>
      </c>
      <c r="C589" s="1" t="s">
        <v>16</v>
      </c>
      <c r="D589" s="1" t="s">
        <v>979</v>
      </c>
      <c r="E589" s="1" t="s">
        <v>979</v>
      </c>
      <c r="F589" s="1" t="str">
        <f>IFERROR(__xludf.DUMMYFUNCTION("SPLIT(E589,""&gt;"")"),"Force of Will")</f>
        <v>Force of Will</v>
      </c>
      <c r="G589" s="1"/>
      <c r="H589" s="1" t="s">
        <v>979</v>
      </c>
      <c r="I589" s="1" t="s">
        <v>622</v>
      </c>
      <c r="J589" s="4">
        <v>42675.0</v>
      </c>
      <c r="K589" s="1">
        <v>1000.0</v>
      </c>
      <c r="L589" s="1">
        <v>500.0</v>
      </c>
      <c r="M589" s="1">
        <v>21.0</v>
      </c>
    </row>
    <row r="590" hidden="1">
      <c r="A590" s="1" t="s">
        <v>1018</v>
      </c>
      <c r="B590" s="3" t="s">
        <v>1727</v>
      </c>
      <c r="C590" s="1" t="s">
        <v>1569</v>
      </c>
      <c r="D590" s="1" t="s">
        <v>979</v>
      </c>
      <c r="E590" s="1" t="s">
        <v>979</v>
      </c>
      <c r="F590" s="1"/>
      <c r="G590" s="1"/>
      <c r="H590" s="1" t="s">
        <v>979</v>
      </c>
      <c r="I590" s="1" t="s">
        <v>622</v>
      </c>
      <c r="J590" s="4">
        <v>42675.0</v>
      </c>
      <c r="K590" s="1">
        <v>1000.0</v>
      </c>
      <c r="L590" s="1">
        <v>500.0</v>
      </c>
      <c r="M590" s="1">
        <v>21.0</v>
      </c>
    </row>
    <row r="591">
      <c r="A591" s="1" t="s">
        <v>1020</v>
      </c>
      <c r="B591" s="3" t="s">
        <v>1021</v>
      </c>
      <c r="C591" s="1" t="s">
        <v>16</v>
      </c>
      <c r="D591" s="1" t="s">
        <v>979</v>
      </c>
      <c r="E591" s="1" t="s">
        <v>979</v>
      </c>
      <c r="F591" s="1" t="str">
        <f>IFERROR(__xludf.DUMMYFUNCTION("SPLIT(E591,""&gt;"")"),"Force of Will")</f>
        <v>Force of Will</v>
      </c>
      <c r="G591" s="1"/>
      <c r="H591" s="1" t="s">
        <v>979</v>
      </c>
      <c r="I591" s="1" t="s">
        <v>622</v>
      </c>
      <c r="J591" s="4">
        <v>42675.0</v>
      </c>
      <c r="K591" s="1">
        <v>1000.0</v>
      </c>
      <c r="L591" s="1">
        <v>500.0</v>
      </c>
      <c r="M591" s="1">
        <v>22.0</v>
      </c>
    </row>
    <row r="592" hidden="1">
      <c r="A592" s="1" t="s">
        <v>1020</v>
      </c>
      <c r="B592" s="3" t="s">
        <v>1728</v>
      </c>
      <c r="C592" s="1" t="s">
        <v>1569</v>
      </c>
      <c r="D592" s="1" t="s">
        <v>979</v>
      </c>
      <c r="E592" s="1" t="s">
        <v>979</v>
      </c>
      <c r="F592" s="1"/>
      <c r="G592" s="1"/>
      <c r="H592" s="1" t="s">
        <v>979</v>
      </c>
      <c r="I592" s="1" t="s">
        <v>622</v>
      </c>
      <c r="J592" s="4">
        <v>42675.0</v>
      </c>
      <c r="K592" s="1">
        <v>1000.0</v>
      </c>
      <c r="L592" s="1">
        <v>500.0</v>
      </c>
      <c r="M592" s="1">
        <v>22.0</v>
      </c>
    </row>
    <row r="593">
      <c r="A593" s="1" t="s">
        <v>1022</v>
      </c>
      <c r="B593" s="3" t="s">
        <v>1023</v>
      </c>
      <c r="C593" s="1" t="s">
        <v>16</v>
      </c>
      <c r="D593" s="1" t="s">
        <v>979</v>
      </c>
      <c r="E593" s="1" t="s">
        <v>979</v>
      </c>
      <c r="F593" s="1" t="str">
        <f>IFERROR(__xludf.DUMMYFUNCTION("SPLIT(E593,""&gt;"")"),"Force of Will")</f>
        <v>Force of Will</v>
      </c>
      <c r="G593" s="1"/>
      <c r="H593" s="1" t="s">
        <v>979</v>
      </c>
      <c r="I593" s="1" t="s">
        <v>622</v>
      </c>
      <c r="J593" s="4">
        <v>42675.0</v>
      </c>
      <c r="K593" s="1">
        <v>1000.0</v>
      </c>
      <c r="L593" s="1">
        <v>500.0</v>
      </c>
      <c r="M593" s="1">
        <v>23.0</v>
      </c>
    </row>
    <row r="594" hidden="1">
      <c r="A594" s="1" t="s">
        <v>1022</v>
      </c>
      <c r="B594" s="3" t="s">
        <v>1729</v>
      </c>
      <c r="C594" s="1" t="s">
        <v>1569</v>
      </c>
      <c r="D594" s="1" t="s">
        <v>979</v>
      </c>
      <c r="E594" s="1" t="s">
        <v>979</v>
      </c>
      <c r="F594" s="1"/>
      <c r="G594" s="1"/>
      <c r="H594" s="1" t="s">
        <v>979</v>
      </c>
      <c r="I594" s="1" t="s">
        <v>622</v>
      </c>
      <c r="J594" s="4">
        <v>42675.0</v>
      </c>
      <c r="K594" s="1">
        <v>1000.0</v>
      </c>
      <c r="L594" s="1">
        <v>500.0</v>
      </c>
      <c r="M594" s="1">
        <v>23.0</v>
      </c>
    </row>
    <row r="595">
      <c r="A595" s="1" t="s">
        <v>1024</v>
      </c>
      <c r="B595" s="3" t="s">
        <v>1025</v>
      </c>
      <c r="C595" s="1" t="s">
        <v>16</v>
      </c>
      <c r="D595" s="1" t="s">
        <v>979</v>
      </c>
      <c r="E595" s="1" t="s">
        <v>979</v>
      </c>
      <c r="F595" s="1" t="str">
        <f>IFERROR(__xludf.DUMMYFUNCTION("SPLIT(E595,""&gt;"")"),"Force of Will")</f>
        <v>Force of Will</v>
      </c>
      <c r="G595" s="1"/>
      <c r="H595" s="1" t="s">
        <v>979</v>
      </c>
      <c r="I595" s="1" t="s">
        <v>622</v>
      </c>
      <c r="J595" s="4">
        <v>42675.0</v>
      </c>
      <c r="K595" s="1">
        <v>1000.0</v>
      </c>
      <c r="L595" s="1">
        <v>500.0</v>
      </c>
      <c r="M595" s="1">
        <v>24.0</v>
      </c>
    </row>
    <row r="596" hidden="1">
      <c r="A596" s="1" t="s">
        <v>1024</v>
      </c>
      <c r="B596" s="3" t="s">
        <v>1730</v>
      </c>
      <c r="C596" s="1" t="s">
        <v>1569</v>
      </c>
      <c r="D596" s="1" t="s">
        <v>979</v>
      </c>
      <c r="E596" s="1" t="s">
        <v>979</v>
      </c>
      <c r="F596" s="1"/>
      <c r="G596" s="1"/>
      <c r="H596" s="1" t="s">
        <v>979</v>
      </c>
      <c r="I596" s="1" t="s">
        <v>622</v>
      </c>
      <c r="J596" s="4">
        <v>42675.0</v>
      </c>
      <c r="K596" s="1">
        <v>1000.0</v>
      </c>
      <c r="L596" s="1">
        <v>500.0</v>
      </c>
      <c r="M596" s="1">
        <v>24.0</v>
      </c>
    </row>
    <row r="597">
      <c r="A597" s="1" t="s">
        <v>1026</v>
      </c>
      <c r="B597" s="3" t="s">
        <v>1027</v>
      </c>
      <c r="C597" s="1" t="s">
        <v>16</v>
      </c>
      <c r="D597" s="1" t="s">
        <v>979</v>
      </c>
      <c r="E597" s="1" t="s">
        <v>979</v>
      </c>
      <c r="F597" s="1" t="str">
        <f>IFERROR(__xludf.DUMMYFUNCTION("SPLIT(E597,""&gt;"")"),"Force of Will")</f>
        <v>Force of Will</v>
      </c>
      <c r="G597" s="1"/>
      <c r="H597" s="1" t="s">
        <v>979</v>
      </c>
      <c r="I597" s="1" t="s">
        <v>622</v>
      </c>
      <c r="J597" s="4">
        <v>42675.0</v>
      </c>
      <c r="K597" s="1">
        <v>1000.0</v>
      </c>
      <c r="L597" s="1">
        <v>500.0</v>
      </c>
      <c r="M597" s="1">
        <v>25.0</v>
      </c>
    </row>
    <row r="598" hidden="1">
      <c r="A598" s="1" t="s">
        <v>1026</v>
      </c>
      <c r="B598" s="3" t="s">
        <v>1731</v>
      </c>
      <c r="C598" s="1" t="s">
        <v>1569</v>
      </c>
      <c r="D598" s="1" t="s">
        <v>979</v>
      </c>
      <c r="E598" s="1" t="s">
        <v>979</v>
      </c>
      <c r="F598" s="1"/>
      <c r="G598" s="1"/>
      <c r="H598" s="1" t="s">
        <v>979</v>
      </c>
      <c r="I598" s="1" t="s">
        <v>622</v>
      </c>
      <c r="J598" s="4">
        <v>42675.0</v>
      </c>
      <c r="K598" s="1">
        <v>1000.0</v>
      </c>
      <c r="L598" s="1">
        <v>500.0</v>
      </c>
      <c r="M598" s="1">
        <v>25.0</v>
      </c>
    </row>
    <row r="599">
      <c r="A599" s="1" t="s">
        <v>1028</v>
      </c>
      <c r="B599" s="3" t="s">
        <v>1029</v>
      </c>
      <c r="C599" s="1" t="s">
        <v>16</v>
      </c>
      <c r="D599" s="1" t="s">
        <v>979</v>
      </c>
      <c r="E599" s="1" t="s">
        <v>979</v>
      </c>
      <c r="F599" s="1" t="str">
        <f>IFERROR(__xludf.DUMMYFUNCTION("SPLIT(E599,""&gt;"")"),"Force of Will")</f>
        <v>Force of Will</v>
      </c>
      <c r="G599" s="1"/>
      <c r="H599" s="1" t="s">
        <v>979</v>
      </c>
      <c r="I599" s="1" t="s">
        <v>622</v>
      </c>
      <c r="J599" s="4">
        <v>42675.0</v>
      </c>
      <c r="K599" s="1">
        <v>1000.0</v>
      </c>
      <c r="L599" s="1">
        <v>500.0</v>
      </c>
      <c r="M599" s="1">
        <v>26.0</v>
      </c>
    </row>
    <row r="600" hidden="1">
      <c r="A600" s="1" t="s">
        <v>1028</v>
      </c>
      <c r="B600" s="3" t="s">
        <v>1732</v>
      </c>
      <c r="C600" s="1" t="s">
        <v>1569</v>
      </c>
      <c r="D600" s="1" t="s">
        <v>979</v>
      </c>
      <c r="E600" s="1" t="s">
        <v>979</v>
      </c>
      <c r="F600" s="1"/>
      <c r="G600" s="1"/>
      <c r="H600" s="1" t="s">
        <v>979</v>
      </c>
      <c r="I600" s="1" t="s">
        <v>622</v>
      </c>
      <c r="J600" s="4">
        <v>42675.0</v>
      </c>
      <c r="K600" s="1">
        <v>1000.0</v>
      </c>
      <c r="L600" s="1">
        <v>500.0</v>
      </c>
      <c r="M600" s="1">
        <v>26.0</v>
      </c>
    </row>
    <row r="601">
      <c r="A601" s="1" t="s">
        <v>1030</v>
      </c>
      <c r="B601" s="3" t="s">
        <v>1031</v>
      </c>
      <c r="C601" s="1" t="s">
        <v>16</v>
      </c>
      <c r="D601" s="1" t="s">
        <v>979</v>
      </c>
      <c r="E601" s="1" t="s">
        <v>979</v>
      </c>
      <c r="F601" s="1" t="str">
        <f>IFERROR(__xludf.DUMMYFUNCTION("SPLIT(E601,""&gt;"")"),"Force of Will")</f>
        <v>Force of Will</v>
      </c>
      <c r="G601" s="1"/>
      <c r="H601" s="1" t="s">
        <v>979</v>
      </c>
      <c r="I601" s="1" t="s">
        <v>622</v>
      </c>
      <c r="J601" s="4">
        <v>42675.0</v>
      </c>
      <c r="K601" s="1">
        <v>1000.0</v>
      </c>
      <c r="L601" s="1">
        <v>500.0</v>
      </c>
      <c r="M601" s="1">
        <v>27.0</v>
      </c>
    </row>
    <row r="602" hidden="1">
      <c r="A602" s="1" t="s">
        <v>1030</v>
      </c>
      <c r="B602" s="3" t="s">
        <v>1733</v>
      </c>
      <c r="C602" s="1" t="s">
        <v>1569</v>
      </c>
      <c r="D602" s="1" t="s">
        <v>979</v>
      </c>
      <c r="E602" s="1" t="s">
        <v>979</v>
      </c>
      <c r="F602" s="1"/>
      <c r="G602" s="1"/>
      <c r="H602" s="1" t="s">
        <v>979</v>
      </c>
      <c r="I602" s="1" t="s">
        <v>622</v>
      </c>
      <c r="J602" s="4">
        <v>42675.0</v>
      </c>
      <c r="K602" s="1">
        <v>1000.0</v>
      </c>
      <c r="L602" s="1">
        <v>500.0</v>
      </c>
      <c r="M602" s="1">
        <v>27.0</v>
      </c>
    </row>
    <row r="603">
      <c r="A603" s="1" t="s">
        <v>1032</v>
      </c>
      <c r="B603" s="3" t="s">
        <v>1033</v>
      </c>
      <c r="C603" s="1" t="s">
        <v>16</v>
      </c>
      <c r="D603" s="1" t="s">
        <v>979</v>
      </c>
      <c r="E603" s="1" t="s">
        <v>979</v>
      </c>
      <c r="F603" s="1" t="str">
        <f>IFERROR(__xludf.DUMMYFUNCTION("SPLIT(E603,""&gt;"")"),"Force of Will")</f>
        <v>Force of Will</v>
      </c>
      <c r="G603" s="1"/>
      <c r="H603" s="1" t="s">
        <v>979</v>
      </c>
      <c r="I603" s="1" t="s">
        <v>622</v>
      </c>
      <c r="J603" s="4">
        <v>42675.0</v>
      </c>
      <c r="K603" s="1">
        <v>1000.0</v>
      </c>
      <c r="L603" s="1">
        <v>500.0</v>
      </c>
      <c r="M603" s="1">
        <v>28.0</v>
      </c>
    </row>
    <row r="604" hidden="1">
      <c r="A604" s="1" t="s">
        <v>1032</v>
      </c>
      <c r="B604" s="3" t="s">
        <v>1734</v>
      </c>
      <c r="C604" s="1" t="s">
        <v>1569</v>
      </c>
      <c r="D604" s="1" t="s">
        <v>979</v>
      </c>
      <c r="E604" s="1" t="s">
        <v>979</v>
      </c>
      <c r="F604" s="1"/>
      <c r="G604" s="1"/>
      <c r="H604" s="1" t="s">
        <v>979</v>
      </c>
      <c r="I604" s="1" t="s">
        <v>622</v>
      </c>
      <c r="J604" s="4">
        <v>42675.0</v>
      </c>
      <c r="K604" s="1">
        <v>1000.0</v>
      </c>
      <c r="L604" s="1">
        <v>500.0</v>
      </c>
      <c r="M604" s="1">
        <v>28.0</v>
      </c>
    </row>
    <row r="605">
      <c r="A605" s="1" t="s">
        <v>1034</v>
      </c>
      <c r="B605" s="3" t="s">
        <v>1035</v>
      </c>
      <c r="C605" s="1" t="s">
        <v>16</v>
      </c>
      <c r="D605" s="1" t="s">
        <v>979</v>
      </c>
      <c r="E605" s="1" t="s">
        <v>979</v>
      </c>
      <c r="F605" s="1" t="str">
        <f>IFERROR(__xludf.DUMMYFUNCTION("SPLIT(E605,""&gt;"")"),"Force of Will")</f>
        <v>Force of Will</v>
      </c>
      <c r="G605" s="1"/>
      <c r="H605" s="1" t="s">
        <v>979</v>
      </c>
      <c r="I605" s="1" t="s">
        <v>622</v>
      </c>
      <c r="J605" s="4">
        <v>42675.0</v>
      </c>
      <c r="K605" s="1">
        <v>1000.0</v>
      </c>
      <c r="L605" s="1">
        <v>500.0</v>
      </c>
      <c r="M605" s="1">
        <v>29.0</v>
      </c>
    </row>
    <row r="606" hidden="1">
      <c r="A606" s="1" t="s">
        <v>1034</v>
      </c>
      <c r="B606" s="3" t="s">
        <v>1735</v>
      </c>
      <c r="C606" s="1" t="s">
        <v>1569</v>
      </c>
      <c r="D606" s="1" t="s">
        <v>979</v>
      </c>
      <c r="E606" s="1" t="s">
        <v>979</v>
      </c>
      <c r="F606" s="1"/>
      <c r="G606" s="1"/>
      <c r="H606" s="1" t="s">
        <v>979</v>
      </c>
      <c r="I606" s="1" t="s">
        <v>622</v>
      </c>
      <c r="J606" s="4">
        <v>42675.0</v>
      </c>
      <c r="K606" s="1">
        <v>1000.0</v>
      </c>
      <c r="L606" s="1">
        <v>500.0</v>
      </c>
      <c r="M606" s="1">
        <v>29.0</v>
      </c>
    </row>
    <row r="607">
      <c r="A607" s="1" t="s">
        <v>1036</v>
      </c>
      <c r="B607" s="3" t="s">
        <v>1037</v>
      </c>
      <c r="C607" s="1" t="s">
        <v>16</v>
      </c>
      <c r="D607" s="1" t="s">
        <v>979</v>
      </c>
      <c r="E607" s="1" t="s">
        <v>979</v>
      </c>
      <c r="F607" s="1" t="str">
        <f>IFERROR(__xludf.DUMMYFUNCTION("SPLIT(E607,""&gt;"")"),"Force of Will")</f>
        <v>Force of Will</v>
      </c>
      <c r="G607" s="1"/>
      <c r="H607" s="1" t="s">
        <v>979</v>
      </c>
      <c r="I607" s="1" t="s">
        <v>622</v>
      </c>
      <c r="J607" s="4">
        <v>42675.0</v>
      </c>
      <c r="K607" s="1">
        <v>1000.0</v>
      </c>
      <c r="L607" s="1">
        <v>500.0</v>
      </c>
      <c r="M607" s="1">
        <v>30.0</v>
      </c>
    </row>
    <row r="608" hidden="1">
      <c r="A608" s="1" t="s">
        <v>1036</v>
      </c>
      <c r="B608" s="3" t="s">
        <v>1736</v>
      </c>
      <c r="C608" s="1" t="s">
        <v>1569</v>
      </c>
      <c r="D608" s="1" t="s">
        <v>979</v>
      </c>
      <c r="E608" s="1" t="s">
        <v>979</v>
      </c>
      <c r="F608" s="1"/>
      <c r="G608" s="1"/>
      <c r="H608" s="1" t="s">
        <v>979</v>
      </c>
      <c r="I608" s="1" t="s">
        <v>622</v>
      </c>
      <c r="J608" s="4">
        <v>42675.0</v>
      </c>
      <c r="K608" s="1">
        <v>1000.0</v>
      </c>
      <c r="L608" s="1">
        <v>500.0</v>
      </c>
      <c r="M608" s="1">
        <v>30.0</v>
      </c>
    </row>
    <row r="609">
      <c r="A609" s="1" t="s">
        <v>1038</v>
      </c>
      <c r="B609" s="3" t="s">
        <v>1039</v>
      </c>
      <c r="C609" s="1" t="s">
        <v>16</v>
      </c>
      <c r="D609" s="1" t="s">
        <v>979</v>
      </c>
      <c r="E609" s="1" t="s">
        <v>979</v>
      </c>
      <c r="F609" s="1" t="str">
        <f>IFERROR(__xludf.DUMMYFUNCTION("SPLIT(E609,""&gt;"")"),"Force of Will")</f>
        <v>Force of Will</v>
      </c>
      <c r="G609" s="1"/>
      <c r="H609" s="1" t="s">
        <v>979</v>
      </c>
      <c r="I609" s="1" t="s">
        <v>622</v>
      </c>
      <c r="J609" s="4">
        <v>42675.0</v>
      </c>
      <c r="K609" s="1">
        <v>1000.0</v>
      </c>
      <c r="L609" s="1">
        <v>500.0</v>
      </c>
      <c r="M609" s="1">
        <v>31.0</v>
      </c>
    </row>
    <row r="610" hidden="1">
      <c r="A610" s="1" t="s">
        <v>1038</v>
      </c>
      <c r="B610" s="3" t="s">
        <v>1737</v>
      </c>
      <c r="C610" s="1" t="s">
        <v>1569</v>
      </c>
      <c r="D610" s="1" t="s">
        <v>979</v>
      </c>
      <c r="E610" s="1" t="s">
        <v>979</v>
      </c>
      <c r="F610" s="1"/>
      <c r="G610" s="1"/>
      <c r="H610" s="1" t="s">
        <v>979</v>
      </c>
      <c r="I610" s="1" t="s">
        <v>622</v>
      </c>
      <c r="J610" s="4">
        <v>42675.0</v>
      </c>
      <c r="K610" s="1">
        <v>1000.0</v>
      </c>
      <c r="L610" s="1">
        <v>500.0</v>
      </c>
      <c r="M610" s="1">
        <v>31.0</v>
      </c>
    </row>
    <row r="611">
      <c r="A611" s="1" t="s">
        <v>1040</v>
      </c>
      <c r="B611" s="3" t="s">
        <v>1041</v>
      </c>
      <c r="C611" s="1" t="s">
        <v>16</v>
      </c>
      <c r="D611" s="1" t="s">
        <v>979</v>
      </c>
      <c r="E611" s="1" t="s">
        <v>979</v>
      </c>
      <c r="F611" s="1" t="str">
        <f>IFERROR(__xludf.DUMMYFUNCTION("SPLIT(E611,""&gt;"")"),"Force of Will")</f>
        <v>Force of Will</v>
      </c>
      <c r="G611" s="1"/>
      <c r="H611" s="1" t="s">
        <v>979</v>
      </c>
      <c r="I611" s="1" t="s">
        <v>622</v>
      </c>
      <c r="J611" s="4">
        <v>42675.0</v>
      </c>
      <c r="K611" s="1">
        <v>1000.0</v>
      </c>
      <c r="L611" s="1">
        <v>500.0</v>
      </c>
      <c r="M611" s="1">
        <v>32.0</v>
      </c>
    </row>
    <row r="612" hidden="1">
      <c r="A612" s="1" t="s">
        <v>1040</v>
      </c>
      <c r="B612" s="3" t="s">
        <v>1738</v>
      </c>
      <c r="C612" s="1" t="s">
        <v>1569</v>
      </c>
      <c r="D612" s="1" t="s">
        <v>979</v>
      </c>
      <c r="E612" s="1" t="s">
        <v>979</v>
      </c>
      <c r="F612" s="1"/>
      <c r="G612" s="1"/>
      <c r="H612" s="1" t="s">
        <v>979</v>
      </c>
      <c r="I612" s="1" t="s">
        <v>622</v>
      </c>
      <c r="J612" s="4">
        <v>42675.0</v>
      </c>
      <c r="K612" s="1">
        <v>1000.0</v>
      </c>
      <c r="L612" s="1">
        <v>500.0</v>
      </c>
      <c r="M612" s="1">
        <v>32.0</v>
      </c>
    </row>
    <row r="613">
      <c r="A613" s="1" t="s">
        <v>1042</v>
      </c>
      <c r="B613" s="3" t="s">
        <v>1043</v>
      </c>
      <c r="C613" s="1" t="s">
        <v>16</v>
      </c>
      <c r="D613" s="1" t="s">
        <v>979</v>
      </c>
      <c r="E613" s="1" t="s">
        <v>979</v>
      </c>
      <c r="F613" s="1" t="str">
        <f>IFERROR(__xludf.DUMMYFUNCTION("SPLIT(E613,""&gt;"")"),"Force of Will")</f>
        <v>Force of Will</v>
      </c>
      <c r="G613" s="1"/>
      <c r="H613" s="1" t="s">
        <v>979</v>
      </c>
      <c r="I613" s="1" t="s">
        <v>622</v>
      </c>
      <c r="J613" s="4">
        <v>42675.0</v>
      </c>
      <c r="K613" s="1">
        <v>1000.0</v>
      </c>
      <c r="L613" s="1">
        <v>500.0</v>
      </c>
      <c r="M613" s="1">
        <v>33.0</v>
      </c>
    </row>
    <row r="614" hidden="1">
      <c r="A614" s="1" t="s">
        <v>1042</v>
      </c>
      <c r="B614" s="3" t="s">
        <v>1739</v>
      </c>
      <c r="C614" s="1" t="s">
        <v>1569</v>
      </c>
      <c r="D614" s="1" t="s">
        <v>979</v>
      </c>
      <c r="E614" s="1" t="s">
        <v>979</v>
      </c>
      <c r="F614" s="1"/>
      <c r="G614" s="1"/>
      <c r="H614" s="1" t="s">
        <v>979</v>
      </c>
      <c r="I614" s="1" t="s">
        <v>622</v>
      </c>
      <c r="J614" s="4">
        <v>42675.0</v>
      </c>
      <c r="K614" s="1">
        <v>1000.0</v>
      </c>
      <c r="L614" s="1">
        <v>500.0</v>
      </c>
      <c r="M614" s="1">
        <v>33.0</v>
      </c>
    </row>
    <row r="615">
      <c r="A615" s="1" t="s">
        <v>1044</v>
      </c>
      <c r="B615" s="3" t="s">
        <v>1045</v>
      </c>
      <c r="C615" s="1" t="s">
        <v>16</v>
      </c>
      <c r="D615" s="1" t="s">
        <v>979</v>
      </c>
      <c r="E615" s="1" t="s">
        <v>979</v>
      </c>
      <c r="F615" s="1" t="str">
        <f>IFERROR(__xludf.DUMMYFUNCTION("SPLIT(E615,""&gt;"")"),"Force of Will")</f>
        <v>Force of Will</v>
      </c>
      <c r="G615" s="1"/>
      <c r="H615" s="1" t="s">
        <v>979</v>
      </c>
      <c r="I615" s="1" t="s">
        <v>622</v>
      </c>
      <c r="J615" s="4">
        <v>42675.0</v>
      </c>
      <c r="K615" s="1">
        <v>1000.0</v>
      </c>
      <c r="L615" s="1">
        <v>500.0</v>
      </c>
      <c r="M615" s="1">
        <v>34.0</v>
      </c>
    </row>
    <row r="616" hidden="1">
      <c r="A616" s="1" t="s">
        <v>1044</v>
      </c>
      <c r="B616" s="3" t="s">
        <v>1740</v>
      </c>
      <c r="C616" s="1" t="s">
        <v>1569</v>
      </c>
      <c r="D616" s="1" t="s">
        <v>979</v>
      </c>
      <c r="E616" s="1" t="s">
        <v>979</v>
      </c>
      <c r="F616" s="1"/>
      <c r="G616" s="1"/>
      <c r="H616" s="1" t="s">
        <v>979</v>
      </c>
      <c r="I616" s="1" t="s">
        <v>622</v>
      </c>
      <c r="J616" s="4">
        <v>42675.0</v>
      </c>
      <c r="K616" s="1">
        <v>1000.0</v>
      </c>
      <c r="L616" s="1">
        <v>500.0</v>
      </c>
      <c r="M616" s="1">
        <v>34.0</v>
      </c>
    </row>
    <row r="617">
      <c r="A617" s="1" t="s">
        <v>1046</v>
      </c>
      <c r="B617" s="3" t="s">
        <v>1047</v>
      </c>
      <c r="C617" s="1" t="s">
        <v>16</v>
      </c>
      <c r="D617" s="1" t="s">
        <v>979</v>
      </c>
      <c r="E617" s="1" t="s">
        <v>979</v>
      </c>
      <c r="F617" s="1" t="str">
        <f>IFERROR(__xludf.DUMMYFUNCTION("SPLIT(E617,""&gt;"")"),"Force of Will")</f>
        <v>Force of Will</v>
      </c>
      <c r="G617" s="1"/>
      <c r="H617" s="1" t="s">
        <v>979</v>
      </c>
      <c r="I617" s="1" t="s">
        <v>622</v>
      </c>
      <c r="J617" s="4">
        <v>42675.0</v>
      </c>
      <c r="K617" s="1">
        <v>1000.0</v>
      </c>
      <c r="L617" s="1">
        <v>500.0</v>
      </c>
      <c r="M617" s="1">
        <v>35.0</v>
      </c>
    </row>
    <row r="618" hidden="1">
      <c r="A618" s="1" t="s">
        <v>1046</v>
      </c>
      <c r="B618" s="3" t="s">
        <v>1741</v>
      </c>
      <c r="C618" s="1" t="s">
        <v>1569</v>
      </c>
      <c r="D618" s="1" t="s">
        <v>979</v>
      </c>
      <c r="E618" s="1" t="s">
        <v>979</v>
      </c>
      <c r="F618" s="1"/>
      <c r="G618" s="1"/>
      <c r="H618" s="1" t="s">
        <v>979</v>
      </c>
      <c r="I618" s="1" t="s">
        <v>622</v>
      </c>
      <c r="J618" s="4">
        <v>42675.0</v>
      </c>
      <c r="K618" s="1">
        <v>1000.0</v>
      </c>
      <c r="L618" s="1">
        <v>500.0</v>
      </c>
      <c r="M618" s="1">
        <v>35.0</v>
      </c>
    </row>
    <row r="619">
      <c r="A619" s="1" t="s">
        <v>1048</v>
      </c>
      <c r="B619" s="3" t="s">
        <v>1049</v>
      </c>
      <c r="C619" s="1" t="s">
        <v>16</v>
      </c>
      <c r="D619" s="1" t="s">
        <v>979</v>
      </c>
      <c r="E619" s="1" t="s">
        <v>979</v>
      </c>
      <c r="F619" s="1" t="str">
        <f>IFERROR(__xludf.DUMMYFUNCTION("SPLIT(E619,""&gt;"")"),"Force of Will")</f>
        <v>Force of Will</v>
      </c>
      <c r="G619" s="1"/>
      <c r="H619" s="1" t="s">
        <v>979</v>
      </c>
      <c r="I619" s="1" t="s">
        <v>622</v>
      </c>
      <c r="J619" s="4">
        <v>42675.0</v>
      </c>
      <c r="K619" s="1">
        <v>1000.0</v>
      </c>
      <c r="L619" s="1">
        <v>500.0</v>
      </c>
      <c r="M619" s="1">
        <v>36.0</v>
      </c>
    </row>
    <row r="620" hidden="1">
      <c r="A620" s="1" t="s">
        <v>1048</v>
      </c>
      <c r="B620" s="3" t="s">
        <v>1742</v>
      </c>
      <c r="C620" s="1" t="s">
        <v>1569</v>
      </c>
      <c r="D620" s="1" t="s">
        <v>979</v>
      </c>
      <c r="E620" s="1" t="s">
        <v>979</v>
      </c>
      <c r="F620" s="1"/>
      <c r="G620" s="1"/>
      <c r="H620" s="1" t="s">
        <v>979</v>
      </c>
      <c r="I620" s="1" t="s">
        <v>622</v>
      </c>
      <c r="J620" s="4">
        <v>42675.0</v>
      </c>
      <c r="K620" s="1">
        <v>1000.0</v>
      </c>
      <c r="L620" s="1">
        <v>500.0</v>
      </c>
      <c r="M620" s="1">
        <v>36.0</v>
      </c>
    </row>
    <row r="621">
      <c r="A621" s="1" t="s">
        <v>1050</v>
      </c>
      <c r="B621" s="3" t="s">
        <v>1051</v>
      </c>
      <c r="C621" s="1" t="s">
        <v>16</v>
      </c>
      <c r="D621" s="1" t="s">
        <v>979</v>
      </c>
      <c r="E621" s="1" t="s">
        <v>979</v>
      </c>
      <c r="F621" s="1" t="str">
        <f>IFERROR(__xludf.DUMMYFUNCTION("SPLIT(E621,""&gt;"")"),"Force of Will")</f>
        <v>Force of Will</v>
      </c>
      <c r="G621" s="1"/>
      <c r="H621" s="1" t="s">
        <v>979</v>
      </c>
      <c r="I621" s="1" t="s">
        <v>622</v>
      </c>
      <c r="J621" s="4">
        <v>42675.0</v>
      </c>
      <c r="K621" s="1">
        <v>1000.0</v>
      </c>
      <c r="L621" s="1">
        <v>500.0</v>
      </c>
      <c r="M621" s="1">
        <v>37.0</v>
      </c>
    </row>
    <row r="622" hidden="1">
      <c r="A622" s="1" t="s">
        <v>1050</v>
      </c>
      <c r="B622" s="3" t="s">
        <v>1743</v>
      </c>
      <c r="C622" s="1" t="s">
        <v>1569</v>
      </c>
      <c r="D622" s="1" t="s">
        <v>979</v>
      </c>
      <c r="E622" s="1" t="s">
        <v>979</v>
      </c>
      <c r="F622" s="1"/>
      <c r="G622" s="1"/>
      <c r="H622" s="1" t="s">
        <v>979</v>
      </c>
      <c r="I622" s="1" t="s">
        <v>622</v>
      </c>
      <c r="J622" s="4">
        <v>42675.0</v>
      </c>
      <c r="K622" s="1">
        <v>1000.0</v>
      </c>
      <c r="L622" s="1">
        <v>500.0</v>
      </c>
      <c r="M622" s="1">
        <v>37.0</v>
      </c>
    </row>
    <row r="623">
      <c r="A623" s="1" t="s">
        <v>1052</v>
      </c>
      <c r="B623" s="3" t="s">
        <v>1053</v>
      </c>
      <c r="C623" s="1" t="s">
        <v>16</v>
      </c>
      <c r="D623" s="1" t="s">
        <v>979</v>
      </c>
      <c r="E623" s="1" t="s">
        <v>979</v>
      </c>
      <c r="F623" s="1" t="str">
        <f>IFERROR(__xludf.DUMMYFUNCTION("SPLIT(E623,""&gt;"")"),"Force of Will")</f>
        <v>Force of Will</v>
      </c>
      <c r="G623" s="1"/>
      <c r="H623" s="1" t="s">
        <v>979</v>
      </c>
      <c r="I623" s="1" t="s">
        <v>622</v>
      </c>
      <c r="J623" s="4">
        <v>42675.0</v>
      </c>
      <c r="K623" s="1">
        <v>1000.0</v>
      </c>
      <c r="L623" s="1">
        <v>500.0</v>
      </c>
      <c r="M623" s="1">
        <v>38.0</v>
      </c>
    </row>
    <row r="624" hidden="1">
      <c r="A624" s="1" t="s">
        <v>1052</v>
      </c>
      <c r="B624" s="3" t="s">
        <v>1744</v>
      </c>
      <c r="C624" s="1" t="s">
        <v>1569</v>
      </c>
      <c r="D624" s="1" t="s">
        <v>979</v>
      </c>
      <c r="E624" s="1" t="s">
        <v>979</v>
      </c>
      <c r="F624" s="1"/>
      <c r="G624" s="1"/>
      <c r="H624" s="1" t="s">
        <v>979</v>
      </c>
      <c r="I624" s="1" t="s">
        <v>622</v>
      </c>
      <c r="J624" s="4">
        <v>42675.0</v>
      </c>
      <c r="K624" s="1">
        <v>1000.0</v>
      </c>
      <c r="L624" s="1">
        <v>500.0</v>
      </c>
      <c r="M624" s="1">
        <v>38.0</v>
      </c>
    </row>
    <row r="625">
      <c r="A625" s="1" t="s">
        <v>1054</v>
      </c>
      <c r="B625" s="3" t="s">
        <v>1055</v>
      </c>
      <c r="C625" s="1" t="s">
        <v>16</v>
      </c>
      <c r="D625" s="1" t="s">
        <v>979</v>
      </c>
      <c r="E625" s="1" t="s">
        <v>979</v>
      </c>
      <c r="F625" s="1" t="str">
        <f>IFERROR(__xludf.DUMMYFUNCTION("SPLIT(E625,""&gt;"")"),"Force of Will")</f>
        <v>Force of Will</v>
      </c>
      <c r="G625" s="1"/>
      <c r="H625" s="1" t="s">
        <v>979</v>
      </c>
      <c r="I625" s="1" t="s">
        <v>622</v>
      </c>
      <c r="J625" s="4">
        <v>42675.0</v>
      </c>
      <c r="K625" s="1">
        <v>1000.0</v>
      </c>
      <c r="L625" s="1">
        <v>500.0</v>
      </c>
      <c r="M625" s="1">
        <v>39.0</v>
      </c>
    </row>
    <row r="626" hidden="1">
      <c r="A626" s="1" t="s">
        <v>1054</v>
      </c>
      <c r="B626" s="3" t="s">
        <v>1745</v>
      </c>
      <c r="C626" s="1" t="s">
        <v>1569</v>
      </c>
      <c r="D626" s="1" t="s">
        <v>979</v>
      </c>
      <c r="E626" s="1" t="s">
        <v>979</v>
      </c>
      <c r="F626" s="1"/>
      <c r="G626" s="1"/>
      <c r="H626" s="1" t="s">
        <v>979</v>
      </c>
      <c r="I626" s="1" t="s">
        <v>622</v>
      </c>
      <c r="J626" s="4">
        <v>42675.0</v>
      </c>
      <c r="K626" s="1">
        <v>1000.0</v>
      </c>
      <c r="L626" s="1">
        <v>500.0</v>
      </c>
      <c r="M626" s="1">
        <v>39.0</v>
      </c>
    </row>
    <row r="627">
      <c r="A627" s="1" t="s">
        <v>1056</v>
      </c>
      <c r="B627" s="3" t="s">
        <v>1057</v>
      </c>
      <c r="C627" s="1" t="s">
        <v>16</v>
      </c>
      <c r="D627" s="1" t="s">
        <v>979</v>
      </c>
      <c r="E627" s="1" t="s">
        <v>979</v>
      </c>
      <c r="F627" s="1" t="str">
        <f>IFERROR(__xludf.DUMMYFUNCTION("SPLIT(E627,""&gt;"")"),"Force of Will")</f>
        <v>Force of Will</v>
      </c>
      <c r="G627" s="1"/>
      <c r="H627" s="1" t="s">
        <v>979</v>
      </c>
      <c r="I627" s="1" t="s">
        <v>622</v>
      </c>
      <c r="J627" s="4">
        <v>42675.0</v>
      </c>
      <c r="K627" s="1">
        <v>1000.0</v>
      </c>
      <c r="L627" s="1">
        <v>500.0</v>
      </c>
      <c r="M627" s="1">
        <v>40.0</v>
      </c>
    </row>
    <row r="628" hidden="1">
      <c r="A628" s="1" t="s">
        <v>1056</v>
      </c>
      <c r="B628" s="3" t="s">
        <v>1746</v>
      </c>
      <c r="C628" s="1" t="s">
        <v>1569</v>
      </c>
      <c r="D628" s="1" t="s">
        <v>979</v>
      </c>
      <c r="E628" s="1" t="s">
        <v>979</v>
      </c>
      <c r="F628" s="1"/>
      <c r="G628" s="1"/>
      <c r="H628" s="1" t="s">
        <v>979</v>
      </c>
      <c r="I628" s="1" t="s">
        <v>622</v>
      </c>
      <c r="J628" s="4">
        <v>42675.0</v>
      </c>
      <c r="K628" s="1">
        <v>1000.0</v>
      </c>
      <c r="L628" s="1">
        <v>500.0</v>
      </c>
      <c r="M628" s="1">
        <v>40.0</v>
      </c>
    </row>
    <row r="629">
      <c r="A629" s="1" t="s">
        <v>1058</v>
      </c>
      <c r="B629" s="3" t="s">
        <v>1059</v>
      </c>
      <c r="C629" s="1" t="s">
        <v>16</v>
      </c>
      <c r="D629" s="1" t="s">
        <v>979</v>
      </c>
      <c r="E629" s="1" t="s">
        <v>979</v>
      </c>
      <c r="F629" s="1" t="str">
        <f>IFERROR(__xludf.DUMMYFUNCTION("SPLIT(E629,""&gt;"")"),"Force of Will")</f>
        <v>Force of Will</v>
      </c>
      <c r="G629" s="1"/>
      <c r="H629" s="1" t="s">
        <v>979</v>
      </c>
      <c r="I629" s="1" t="s">
        <v>622</v>
      </c>
      <c r="J629" s="4">
        <v>42675.0</v>
      </c>
      <c r="K629" s="1">
        <v>1000.0</v>
      </c>
      <c r="L629" s="1">
        <v>500.0</v>
      </c>
      <c r="M629" s="1">
        <v>41.0</v>
      </c>
    </row>
    <row r="630" hidden="1">
      <c r="A630" s="1" t="s">
        <v>1058</v>
      </c>
      <c r="B630" s="3" t="s">
        <v>1747</v>
      </c>
      <c r="C630" s="1" t="s">
        <v>1569</v>
      </c>
      <c r="D630" s="1" t="s">
        <v>979</v>
      </c>
      <c r="E630" s="1" t="s">
        <v>979</v>
      </c>
      <c r="F630" s="1"/>
      <c r="G630" s="1"/>
      <c r="H630" s="1" t="s">
        <v>979</v>
      </c>
      <c r="I630" s="1" t="s">
        <v>622</v>
      </c>
      <c r="J630" s="4">
        <v>42675.0</v>
      </c>
      <c r="K630" s="1">
        <v>1000.0</v>
      </c>
      <c r="L630" s="1">
        <v>500.0</v>
      </c>
      <c r="M630" s="1">
        <v>41.0</v>
      </c>
    </row>
    <row r="631">
      <c r="A631" s="1" t="s">
        <v>1060</v>
      </c>
      <c r="B631" s="3" t="s">
        <v>1061</v>
      </c>
      <c r="C631" s="1" t="s">
        <v>16</v>
      </c>
      <c r="D631" s="1" t="s">
        <v>979</v>
      </c>
      <c r="E631" s="1" t="s">
        <v>979</v>
      </c>
      <c r="F631" s="1" t="str">
        <f>IFERROR(__xludf.DUMMYFUNCTION("SPLIT(E631,""&gt;"")"),"Force of Will")</f>
        <v>Force of Will</v>
      </c>
      <c r="G631" s="1"/>
      <c r="H631" s="1" t="s">
        <v>979</v>
      </c>
      <c r="I631" s="1" t="s">
        <v>622</v>
      </c>
      <c r="J631" s="4">
        <v>42675.0</v>
      </c>
      <c r="K631" s="1">
        <v>1000.0</v>
      </c>
      <c r="L631" s="1">
        <v>500.0</v>
      </c>
      <c r="M631" s="1">
        <v>42.0</v>
      </c>
    </row>
    <row r="632" hidden="1">
      <c r="A632" s="1" t="s">
        <v>1060</v>
      </c>
      <c r="B632" s="3" t="s">
        <v>1748</v>
      </c>
      <c r="C632" s="1" t="s">
        <v>1569</v>
      </c>
      <c r="D632" s="1" t="s">
        <v>979</v>
      </c>
      <c r="E632" s="1" t="s">
        <v>979</v>
      </c>
      <c r="F632" s="1"/>
      <c r="G632" s="1"/>
      <c r="H632" s="1" t="s">
        <v>979</v>
      </c>
      <c r="I632" s="1" t="s">
        <v>622</v>
      </c>
      <c r="J632" s="4">
        <v>42675.0</v>
      </c>
      <c r="K632" s="1">
        <v>1000.0</v>
      </c>
      <c r="L632" s="1">
        <v>500.0</v>
      </c>
      <c r="M632" s="1">
        <v>42.0</v>
      </c>
    </row>
    <row r="633">
      <c r="A633" s="1" t="s">
        <v>1062</v>
      </c>
      <c r="B633" s="3" t="s">
        <v>1063</v>
      </c>
      <c r="C633" s="1" t="s">
        <v>16</v>
      </c>
      <c r="D633" s="1" t="s">
        <v>979</v>
      </c>
      <c r="E633" s="1" t="s">
        <v>979</v>
      </c>
      <c r="F633" s="1" t="str">
        <f>IFERROR(__xludf.DUMMYFUNCTION("SPLIT(E633,""&gt;"")"),"Force of Will")</f>
        <v>Force of Will</v>
      </c>
      <c r="G633" s="1"/>
      <c r="H633" s="1" t="s">
        <v>979</v>
      </c>
      <c r="I633" s="1" t="s">
        <v>622</v>
      </c>
      <c r="J633" s="4">
        <v>42675.0</v>
      </c>
      <c r="K633" s="1">
        <v>1000.0</v>
      </c>
      <c r="L633" s="1">
        <v>500.0</v>
      </c>
      <c r="M633" s="1">
        <v>43.0</v>
      </c>
    </row>
    <row r="634" hidden="1">
      <c r="A634" s="1" t="s">
        <v>1062</v>
      </c>
      <c r="B634" s="3" t="s">
        <v>1749</v>
      </c>
      <c r="C634" s="1" t="s">
        <v>1569</v>
      </c>
      <c r="D634" s="1" t="s">
        <v>979</v>
      </c>
      <c r="E634" s="1" t="s">
        <v>979</v>
      </c>
      <c r="F634" s="1"/>
      <c r="G634" s="1"/>
      <c r="H634" s="1" t="s">
        <v>979</v>
      </c>
      <c r="I634" s="1" t="s">
        <v>622</v>
      </c>
      <c r="J634" s="4">
        <v>42675.0</v>
      </c>
      <c r="K634" s="1">
        <v>1000.0</v>
      </c>
      <c r="L634" s="1">
        <v>500.0</v>
      </c>
      <c r="M634" s="1">
        <v>43.0</v>
      </c>
    </row>
    <row r="635">
      <c r="A635" s="1" t="s">
        <v>1064</v>
      </c>
      <c r="B635" s="3" t="s">
        <v>1065</v>
      </c>
      <c r="C635" s="1" t="s">
        <v>16</v>
      </c>
      <c r="D635" s="1" t="s">
        <v>979</v>
      </c>
      <c r="E635" s="1" t="s">
        <v>979</v>
      </c>
      <c r="F635" s="1" t="str">
        <f>IFERROR(__xludf.DUMMYFUNCTION("SPLIT(E635,""&gt;"")"),"Force of Will")</f>
        <v>Force of Will</v>
      </c>
      <c r="G635" s="1"/>
      <c r="H635" s="1" t="s">
        <v>979</v>
      </c>
      <c r="I635" s="1" t="s">
        <v>622</v>
      </c>
      <c r="J635" s="4">
        <v>42675.0</v>
      </c>
      <c r="K635" s="1">
        <v>1000.0</v>
      </c>
      <c r="L635" s="1">
        <v>500.0</v>
      </c>
      <c r="M635" s="1">
        <v>44.0</v>
      </c>
    </row>
    <row r="636" hidden="1">
      <c r="A636" s="1" t="s">
        <v>1064</v>
      </c>
      <c r="B636" s="3" t="s">
        <v>1750</v>
      </c>
      <c r="C636" s="1" t="s">
        <v>1569</v>
      </c>
      <c r="D636" s="1" t="s">
        <v>979</v>
      </c>
      <c r="E636" s="1" t="s">
        <v>979</v>
      </c>
      <c r="F636" s="1"/>
      <c r="G636" s="1"/>
      <c r="H636" s="1" t="s">
        <v>979</v>
      </c>
      <c r="I636" s="1" t="s">
        <v>622</v>
      </c>
      <c r="J636" s="4">
        <v>42675.0</v>
      </c>
      <c r="K636" s="1">
        <v>1000.0</v>
      </c>
      <c r="L636" s="1">
        <v>500.0</v>
      </c>
      <c r="M636" s="1">
        <v>44.0</v>
      </c>
    </row>
    <row r="637">
      <c r="A637" s="1" t="s">
        <v>1066</v>
      </c>
      <c r="B637" s="3" t="s">
        <v>1067</v>
      </c>
      <c r="C637" s="1" t="s">
        <v>16</v>
      </c>
      <c r="D637" s="1" t="s">
        <v>979</v>
      </c>
      <c r="E637" s="1" t="s">
        <v>979</v>
      </c>
      <c r="F637" s="1" t="str">
        <f>IFERROR(__xludf.DUMMYFUNCTION("SPLIT(E637,""&gt;"")"),"Force of Will")</f>
        <v>Force of Will</v>
      </c>
      <c r="G637" s="1"/>
      <c r="H637" s="1" t="s">
        <v>979</v>
      </c>
      <c r="I637" s="1" t="s">
        <v>622</v>
      </c>
      <c r="J637" s="4">
        <v>42675.0</v>
      </c>
      <c r="K637" s="1">
        <v>1000.0</v>
      </c>
      <c r="L637" s="1">
        <v>500.0</v>
      </c>
      <c r="M637" s="1">
        <v>45.0</v>
      </c>
    </row>
    <row r="638" hidden="1">
      <c r="A638" s="1" t="s">
        <v>1066</v>
      </c>
      <c r="B638" s="3" t="s">
        <v>1751</v>
      </c>
      <c r="C638" s="1" t="s">
        <v>1569</v>
      </c>
      <c r="D638" s="1" t="s">
        <v>979</v>
      </c>
      <c r="E638" s="1" t="s">
        <v>979</v>
      </c>
      <c r="F638" s="1"/>
      <c r="G638" s="1"/>
      <c r="H638" s="1" t="s">
        <v>979</v>
      </c>
      <c r="I638" s="1" t="s">
        <v>622</v>
      </c>
      <c r="J638" s="4">
        <v>42675.0</v>
      </c>
      <c r="K638" s="1">
        <v>1000.0</v>
      </c>
      <c r="L638" s="1">
        <v>500.0</v>
      </c>
      <c r="M638" s="1">
        <v>45.0</v>
      </c>
    </row>
    <row r="639">
      <c r="A639" s="1" t="s">
        <v>1068</v>
      </c>
      <c r="B639" s="3" t="s">
        <v>1069</v>
      </c>
      <c r="C639" s="1" t="s">
        <v>16</v>
      </c>
      <c r="D639" s="1" t="s">
        <v>979</v>
      </c>
      <c r="E639" s="1" t="s">
        <v>979</v>
      </c>
      <c r="F639" s="1" t="str">
        <f>IFERROR(__xludf.DUMMYFUNCTION("SPLIT(E639,""&gt;"")"),"Force of Will")</f>
        <v>Force of Will</v>
      </c>
      <c r="G639" s="1"/>
      <c r="H639" s="1" t="s">
        <v>979</v>
      </c>
      <c r="I639" s="1" t="s">
        <v>622</v>
      </c>
      <c r="J639" s="4">
        <v>42675.0</v>
      </c>
      <c r="K639" s="1">
        <v>1000.0</v>
      </c>
      <c r="L639" s="1">
        <v>500.0</v>
      </c>
      <c r="M639" s="1">
        <v>46.0</v>
      </c>
    </row>
    <row r="640" hidden="1">
      <c r="A640" s="1" t="s">
        <v>1068</v>
      </c>
      <c r="B640" s="3" t="s">
        <v>1752</v>
      </c>
      <c r="C640" s="1" t="s">
        <v>1569</v>
      </c>
      <c r="D640" s="1" t="s">
        <v>979</v>
      </c>
      <c r="E640" s="1" t="s">
        <v>979</v>
      </c>
      <c r="F640" s="1"/>
      <c r="G640" s="1"/>
      <c r="H640" s="1" t="s">
        <v>979</v>
      </c>
      <c r="I640" s="1" t="s">
        <v>622</v>
      </c>
      <c r="J640" s="4">
        <v>42675.0</v>
      </c>
      <c r="K640" s="1">
        <v>1000.0</v>
      </c>
      <c r="L640" s="1">
        <v>500.0</v>
      </c>
      <c r="M640" s="1">
        <v>46.0</v>
      </c>
    </row>
    <row r="641">
      <c r="A641" s="1" t="s">
        <v>1070</v>
      </c>
      <c r="B641" s="3" t="s">
        <v>1071</v>
      </c>
      <c r="C641" s="1" t="s">
        <v>16</v>
      </c>
      <c r="D641" s="1" t="s">
        <v>979</v>
      </c>
      <c r="E641" s="1" t="s">
        <v>979</v>
      </c>
      <c r="F641" s="1" t="str">
        <f>IFERROR(__xludf.DUMMYFUNCTION("SPLIT(E641,""&gt;"")"),"Force of Will")</f>
        <v>Force of Will</v>
      </c>
      <c r="G641" s="1"/>
      <c r="H641" s="1" t="s">
        <v>979</v>
      </c>
      <c r="I641" s="1" t="s">
        <v>622</v>
      </c>
      <c r="J641" s="4">
        <v>42675.0</v>
      </c>
      <c r="K641" s="1">
        <v>1000.0</v>
      </c>
      <c r="L641" s="1">
        <v>500.0</v>
      </c>
      <c r="M641" s="1">
        <v>47.0</v>
      </c>
    </row>
    <row r="642" hidden="1">
      <c r="A642" s="1" t="s">
        <v>1070</v>
      </c>
      <c r="B642" s="3" t="s">
        <v>1753</v>
      </c>
      <c r="C642" s="1" t="s">
        <v>1569</v>
      </c>
      <c r="D642" s="1" t="s">
        <v>979</v>
      </c>
      <c r="E642" s="1" t="s">
        <v>979</v>
      </c>
      <c r="F642" s="1"/>
      <c r="G642" s="1"/>
      <c r="H642" s="1" t="s">
        <v>979</v>
      </c>
      <c r="I642" s="1" t="s">
        <v>622</v>
      </c>
      <c r="J642" s="4">
        <v>42675.0</v>
      </c>
      <c r="K642" s="1">
        <v>1000.0</v>
      </c>
      <c r="L642" s="1">
        <v>500.0</v>
      </c>
      <c r="M642" s="1">
        <v>47.0</v>
      </c>
    </row>
    <row r="643">
      <c r="A643" s="1" t="s">
        <v>1072</v>
      </c>
      <c r="B643" s="3" t="s">
        <v>1073</v>
      </c>
      <c r="C643" s="1" t="s">
        <v>16</v>
      </c>
      <c r="D643" s="1" t="s">
        <v>979</v>
      </c>
      <c r="E643" s="1" t="s">
        <v>979</v>
      </c>
      <c r="F643" s="1" t="str">
        <f>IFERROR(__xludf.DUMMYFUNCTION("SPLIT(E643,""&gt;"")"),"Force of Will")</f>
        <v>Force of Will</v>
      </c>
      <c r="G643" s="1"/>
      <c r="H643" s="1" t="s">
        <v>979</v>
      </c>
      <c r="I643" s="1" t="s">
        <v>622</v>
      </c>
      <c r="J643" s="4">
        <v>42675.0</v>
      </c>
      <c r="K643" s="1">
        <v>1000.0</v>
      </c>
      <c r="L643" s="1">
        <v>500.0</v>
      </c>
      <c r="M643" s="1">
        <v>48.0</v>
      </c>
    </row>
    <row r="644" hidden="1">
      <c r="A644" s="1" t="s">
        <v>1072</v>
      </c>
      <c r="B644" s="3" t="s">
        <v>1754</v>
      </c>
      <c r="C644" s="1" t="s">
        <v>1569</v>
      </c>
      <c r="D644" s="1" t="s">
        <v>979</v>
      </c>
      <c r="E644" s="1" t="s">
        <v>979</v>
      </c>
      <c r="F644" s="1"/>
      <c r="G644" s="1"/>
      <c r="H644" s="1" t="s">
        <v>979</v>
      </c>
      <c r="I644" s="1" t="s">
        <v>622</v>
      </c>
      <c r="J644" s="4">
        <v>42675.0</v>
      </c>
      <c r="K644" s="1">
        <v>1000.0</v>
      </c>
      <c r="L644" s="1">
        <v>500.0</v>
      </c>
      <c r="M644" s="1">
        <v>48.0</v>
      </c>
    </row>
    <row r="645">
      <c r="A645" s="1" t="s">
        <v>1074</v>
      </c>
      <c r="B645" s="3" t="s">
        <v>1075</v>
      </c>
      <c r="C645" s="1" t="s">
        <v>16</v>
      </c>
      <c r="D645" s="1" t="s">
        <v>979</v>
      </c>
      <c r="E645" s="1" t="s">
        <v>979</v>
      </c>
      <c r="F645" s="1" t="str">
        <f>IFERROR(__xludf.DUMMYFUNCTION("SPLIT(E645,""&gt;"")"),"Force of Will")</f>
        <v>Force of Will</v>
      </c>
      <c r="G645" s="1"/>
      <c r="H645" s="1" t="s">
        <v>979</v>
      </c>
      <c r="I645" s="1" t="s">
        <v>622</v>
      </c>
      <c r="J645" s="4">
        <v>42675.0</v>
      </c>
      <c r="K645" s="1">
        <v>1000.0</v>
      </c>
      <c r="L645" s="1">
        <v>500.0</v>
      </c>
      <c r="M645" s="1">
        <v>49.0</v>
      </c>
    </row>
    <row r="646" hidden="1">
      <c r="A646" s="1" t="s">
        <v>1074</v>
      </c>
      <c r="B646" s="3" t="s">
        <v>1755</v>
      </c>
      <c r="C646" s="1" t="s">
        <v>1569</v>
      </c>
      <c r="D646" s="1" t="s">
        <v>979</v>
      </c>
      <c r="E646" s="1" t="s">
        <v>979</v>
      </c>
      <c r="F646" s="1"/>
      <c r="G646" s="1"/>
      <c r="H646" s="1" t="s">
        <v>979</v>
      </c>
      <c r="I646" s="1" t="s">
        <v>622</v>
      </c>
      <c r="J646" s="4">
        <v>42675.0</v>
      </c>
      <c r="K646" s="1">
        <v>1000.0</v>
      </c>
      <c r="L646" s="1">
        <v>500.0</v>
      </c>
      <c r="M646" s="1">
        <v>49.0</v>
      </c>
    </row>
    <row r="647">
      <c r="A647" s="1" t="s">
        <v>1076</v>
      </c>
      <c r="B647" s="3" t="s">
        <v>1077</v>
      </c>
      <c r="C647" s="1" t="s">
        <v>16</v>
      </c>
      <c r="D647" s="1" t="s">
        <v>979</v>
      </c>
      <c r="E647" s="1" t="s">
        <v>979</v>
      </c>
      <c r="F647" s="1" t="str">
        <f>IFERROR(__xludf.DUMMYFUNCTION("SPLIT(E647,""&gt;"")"),"Force of Will")</f>
        <v>Force of Will</v>
      </c>
      <c r="G647" s="1"/>
      <c r="H647" s="1" t="s">
        <v>979</v>
      </c>
      <c r="I647" s="1" t="s">
        <v>622</v>
      </c>
      <c r="J647" s="4">
        <v>42675.0</v>
      </c>
      <c r="K647" s="1">
        <v>1000.0</v>
      </c>
      <c r="L647" s="1">
        <v>500.0</v>
      </c>
      <c r="M647" s="1">
        <v>50.0</v>
      </c>
    </row>
    <row r="648" hidden="1">
      <c r="A648" s="1" t="s">
        <v>1076</v>
      </c>
      <c r="B648" s="3" t="s">
        <v>1756</v>
      </c>
      <c r="C648" s="1" t="s">
        <v>1569</v>
      </c>
      <c r="D648" s="1" t="s">
        <v>979</v>
      </c>
      <c r="E648" s="1" t="s">
        <v>979</v>
      </c>
      <c r="F648" s="1"/>
      <c r="G648" s="1"/>
      <c r="H648" s="1" t="s">
        <v>979</v>
      </c>
      <c r="I648" s="1" t="s">
        <v>622</v>
      </c>
      <c r="J648" s="4">
        <v>42675.0</v>
      </c>
      <c r="K648" s="1">
        <v>1000.0</v>
      </c>
      <c r="L648" s="1">
        <v>500.0</v>
      </c>
      <c r="M648" s="1">
        <v>50.0</v>
      </c>
    </row>
    <row r="649">
      <c r="A649" s="1" t="s">
        <v>1078</v>
      </c>
      <c r="B649" s="3" t="s">
        <v>1079</v>
      </c>
      <c r="C649" s="1" t="s">
        <v>16</v>
      </c>
      <c r="D649" s="1" t="s">
        <v>979</v>
      </c>
      <c r="E649" s="1" t="s">
        <v>979</v>
      </c>
      <c r="F649" s="1" t="str">
        <f>IFERROR(__xludf.DUMMYFUNCTION("SPLIT(E649,""&gt;"")"),"Force of Will")</f>
        <v>Force of Will</v>
      </c>
      <c r="G649" s="1"/>
      <c r="H649" s="1" t="s">
        <v>979</v>
      </c>
      <c r="I649" s="1" t="s">
        <v>622</v>
      </c>
      <c r="J649" s="4">
        <v>42675.0</v>
      </c>
      <c r="K649" s="1">
        <v>1000.0</v>
      </c>
      <c r="L649" s="1">
        <v>500.0</v>
      </c>
      <c r="M649" s="1">
        <v>51.0</v>
      </c>
    </row>
    <row r="650" hidden="1">
      <c r="A650" s="1" t="s">
        <v>1078</v>
      </c>
      <c r="B650" s="3" t="s">
        <v>1757</v>
      </c>
      <c r="C650" s="1" t="s">
        <v>1569</v>
      </c>
      <c r="D650" s="1" t="s">
        <v>979</v>
      </c>
      <c r="E650" s="1" t="s">
        <v>979</v>
      </c>
      <c r="F650" s="1"/>
      <c r="G650" s="1"/>
      <c r="H650" s="1" t="s">
        <v>979</v>
      </c>
      <c r="I650" s="1" t="s">
        <v>622</v>
      </c>
      <c r="J650" s="4">
        <v>42675.0</v>
      </c>
      <c r="K650" s="1">
        <v>1000.0</v>
      </c>
      <c r="L650" s="1">
        <v>500.0</v>
      </c>
      <c r="M650" s="1">
        <v>51.0</v>
      </c>
    </row>
    <row r="651">
      <c r="A651" s="1" t="s">
        <v>1080</v>
      </c>
      <c r="B651" s="3" t="s">
        <v>1081</v>
      </c>
      <c r="C651" s="1" t="s">
        <v>16</v>
      </c>
      <c r="D651" s="1" t="s">
        <v>979</v>
      </c>
      <c r="E651" s="1" t="s">
        <v>979</v>
      </c>
      <c r="F651" s="1" t="str">
        <f>IFERROR(__xludf.DUMMYFUNCTION("SPLIT(E651,""&gt;"")"),"Force of Will")</f>
        <v>Force of Will</v>
      </c>
      <c r="G651" s="1"/>
      <c r="H651" s="1" t="s">
        <v>979</v>
      </c>
      <c r="I651" s="1" t="s">
        <v>622</v>
      </c>
      <c r="J651" s="4">
        <v>42675.0</v>
      </c>
      <c r="K651" s="1">
        <v>1000.0</v>
      </c>
      <c r="L651" s="1">
        <v>500.0</v>
      </c>
      <c r="M651" s="1">
        <v>52.0</v>
      </c>
    </row>
    <row r="652" hidden="1">
      <c r="A652" s="1" t="s">
        <v>1080</v>
      </c>
      <c r="B652" s="3" t="s">
        <v>1758</v>
      </c>
      <c r="C652" s="1" t="s">
        <v>1569</v>
      </c>
      <c r="D652" s="1" t="s">
        <v>979</v>
      </c>
      <c r="E652" s="1" t="s">
        <v>979</v>
      </c>
      <c r="F652" s="1"/>
      <c r="G652" s="1"/>
      <c r="H652" s="1" t="s">
        <v>979</v>
      </c>
      <c r="I652" s="1" t="s">
        <v>622</v>
      </c>
      <c r="J652" s="4">
        <v>42675.0</v>
      </c>
      <c r="K652" s="1">
        <v>1000.0</v>
      </c>
      <c r="L652" s="1">
        <v>500.0</v>
      </c>
      <c r="M652" s="1">
        <v>52.0</v>
      </c>
    </row>
    <row r="653">
      <c r="A653" s="1" t="s">
        <v>1082</v>
      </c>
      <c r="B653" s="3" t="s">
        <v>1083</v>
      </c>
      <c r="C653" s="1" t="s">
        <v>16</v>
      </c>
      <c r="D653" s="1" t="s">
        <v>979</v>
      </c>
      <c r="E653" s="1" t="s">
        <v>979</v>
      </c>
      <c r="F653" s="1" t="str">
        <f>IFERROR(__xludf.DUMMYFUNCTION("SPLIT(E653,""&gt;"")"),"Force of Will")</f>
        <v>Force of Will</v>
      </c>
      <c r="G653" s="1"/>
      <c r="H653" s="1" t="s">
        <v>979</v>
      </c>
      <c r="I653" s="1" t="s">
        <v>622</v>
      </c>
      <c r="J653" s="4">
        <v>42675.0</v>
      </c>
      <c r="K653" s="1">
        <v>1000.0</v>
      </c>
      <c r="L653" s="1">
        <v>500.0</v>
      </c>
      <c r="M653" s="1">
        <v>53.0</v>
      </c>
    </row>
    <row r="654" hidden="1">
      <c r="A654" s="1" t="s">
        <v>1082</v>
      </c>
      <c r="B654" s="3" t="s">
        <v>1759</v>
      </c>
      <c r="C654" s="1" t="s">
        <v>1569</v>
      </c>
      <c r="D654" s="1" t="s">
        <v>979</v>
      </c>
      <c r="E654" s="1" t="s">
        <v>979</v>
      </c>
      <c r="F654" s="1"/>
      <c r="G654" s="1"/>
      <c r="H654" s="1" t="s">
        <v>979</v>
      </c>
      <c r="I654" s="1" t="s">
        <v>622</v>
      </c>
      <c r="J654" s="4">
        <v>42675.0</v>
      </c>
      <c r="K654" s="1">
        <v>1000.0</v>
      </c>
      <c r="L654" s="1">
        <v>500.0</v>
      </c>
      <c r="M654" s="1">
        <v>53.0</v>
      </c>
    </row>
    <row r="655">
      <c r="A655" s="1" t="s">
        <v>1084</v>
      </c>
      <c r="B655" s="3" t="s">
        <v>1085</v>
      </c>
      <c r="C655" s="1" t="s">
        <v>16</v>
      </c>
      <c r="D655" s="1" t="s">
        <v>979</v>
      </c>
      <c r="E655" s="1" t="s">
        <v>979</v>
      </c>
      <c r="F655" s="1" t="str">
        <f>IFERROR(__xludf.DUMMYFUNCTION("SPLIT(E655,""&gt;"")"),"Force of Will")</f>
        <v>Force of Will</v>
      </c>
      <c r="G655" s="1"/>
      <c r="H655" s="1" t="s">
        <v>979</v>
      </c>
      <c r="I655" s="1" t="s">
        <v>622</v>
      </c>
      <c r="J655" s="4">
        <v>42675.0</v>
      </c>
      <c r="K655" s="1">
        <v>1000.0</v>
      </c>
      <c r="L655" s="1">
        <v>500.0</v>
      </c>
      <c r="M655" s="1">
        <v>54.0</v>
      </c>
    </row>
    <row r="656" hidden="1">
      <c r="A656" s="1" t="s">
        <v>1084</v>
      </c>
      <c r="B656" s="3" t="s">
        <v>1760</v>
      </c>
      <c r="C656" s="1" t="s">
        <v>1569</v>
      </c>
      <c r="D656" s="1" t="s">
        <v>979</v>
      </c>
      <c r="E656" s="1" t="s">
        <v>979</v>
      </c>
      <c r="F656" s="1"/>
      <c r="G656" s="1"/>
      <c r="H656" s="1" t="s">
        <v>979</v>
      </c>
      <c r="I656" s="1" t="s">
        <v>622</v>
      </c>
      <c r="J656" s="4">
        <v>42675.0</v>
      </c>
      <c r="K656" s="1">
        <v>1000.0</v>
      </c>
      <c r="L656" s="1">
        <v>500.0</v>
      </c>
      <c r="M656" s="1">
        <v>54.0</v>
      </c>
    </row>
    <row r="657">
      <c r="A657" s="1" t="s">
        <v>1086</v>
      </c>
      <c r="B657" s="3" t="s">
        <v>1087</v>
      </c>
      <c r="C657" s="1" t="s">
        <v>16</v>
      </c>
      <c r="D657" s="1" t="s">
        <v>979</v>
      </c>
      <c r="E657" s="1" t="s">
        <v>979</v>
      </c>
      <c r="F657" s="1" t="str">
        <f>IFERROR(__xludf.DUMMYFUNCTION("SPLIT(E657,""&gt;"")"),"Force of Will")</f>
        <v>Force of Will</v>
      </c>
      <c r="G657" s="1"/>
      <c r="H657" s="1" t="s">
        <v>979</v>
      </c>
      <c r="I657" s="1" t="s">
        <v>622</v>
      </c>
      <c r="J657" s="4">
        <v>42675.0</v>
      </c>
      <c r="K657" s="1">
        <v>1000.0</v>
      </c>
      <c r="L657" s="1">
        <v>500.0</v>
      </c>
      <c r="M657" s="1">
        <v>55.0</v>
      </c>
    </row>
    <row r="658" hidden="1">
      <c r="A658" s="1" t="s">
        <v>1086</v>
      </c>
      <c r="B658" s="3" t="s">
        <v>1761</v>
      </c>
      <c r="C658" s="1" t="s">
        <v>1569</v>
      </c>
      <c r="D658" s="1" t="s">
        <v>979</v>
      </c>
      <c r="E658" s="1" t="s">
        <v>979</v>
      </c>
      <c r="F658" s="1"/>
      <c r="G658" s="1"/>
      <c r="H658" s="1" t="s">
        <v>979</v>
      </c>
      <c r="I658" s="1" t="s">
        <v>622</v>
      </c>
      <c r="J658" s="4">
        <v>42675.0</v>
      </c>
      <c r="K658" s="1">
        <v>1000.0</v>
      </c>
      <c r="L658" s="1">
        <v>500.0</v>
      </c>
      <c r="M658" s="1">
        <v>55.0</v>
      </c>
    </row>
    <row r="659">
      <c r="A659" s="1" t="s">
        <v>1088</v>
      </c>
      <c r="B659" s="3" t="s">
        <v>1089</v>
      </c>
      <c r="C659" s="1" t="s">
        <v>16</v>
      </c>
      <c r="D659" s="1" t="s">
        <v>979</v>
      </c>
      <c r="E659" s="1" t="s">
        <v>979</v>
      </c>
      <c r="F659" s="1" t="str">
        <f>IFERROR(__xludf.DUMMYFUNCTION("SPLIT(E659,""&gt;"")"),"Force of Will")</f>
        <v>Force of Will</v>
      </c>
      <c r="G659" s="1"/>
      <c r="H659" s="1" t="s">
        <v>979</v>
      </c>
      <c r="I659" s="1" t="s">
        <v>622</v>
      </c>
      <c r="J659" s="4">
        <v>42675.0</v>
      </c>
      <c r="K659" s="1">
        <v>1000.0</v>
      </c>
      <c r="L659" s="1">
        <v>500.0</v>
      </c>
      <c r="M659" s="1">
        <v>56.0</v>
      </c>
    </row>
    <row r="660" hidden="1">
      <c r="A660" s="1" t="s">
        <v>1088</v>
      </c>
      <c r="B660" s="3" t="s">
        <v>1762</v>
      </c>
      <c r="C660" s="1" t="s">
        <v>1569</v>
      </c>
      <c r="D660" s="1" t="s">
        <v>979</v>
      </c>
      <c r="E660" s="1" t="s">
        <v>979</v>
      </c>
      <c r="F660" s="1"/>
      <c r="G660" s="1"/>
      <c r="H660" s="1" t="s">
        <v>979</v>
      </c>
      <c r="I660" s="1" t="s">
        <v>622</v>
      </c>
      <c r="J660" s="4">
        <v>42675.0</v>
      </c>
      <c r="K660" s="1">
        <v>1000.0</v>
      </c>
      <c r="L660" s="1">
        <v>500.0</v>
      </c>
      <c r="M660" s="1">
        <v>56.0</v>
      </c>
    </row>
    <row r="661">
      <c r="A661" s="1" t="s">
        <v>1090</v>
      </c>
      <c r="B661" s="3" t="s">
        <v>1091</v>
      </c>
      <c r="C661" s="1" t="s">
        <v>16</v>
      </c>
      <c r="D661" s="1" t="s">
        <v>979</v>
      </c>
      <c r="E661" s="1" t="s">
        <v>979</v>
      </c>
      <c r="F661" s="1" t="str">
        <f>IFERROR(__xludf.DUMMYFUNCTION("SPLIT(E661,""&gt;"")"),"Force of Will")</f>
        <v>Force of Will</v>
      </c>
      <c r="G661" s="1"/>
      <c r="H661" s="1" t="s">
        <v>979</v>
      </c>
      <c r="I661" s="1" t="s">
        <v>622</v>
      </c>
      <c r="J661" s="4">
        <v>42675.0</v>
      </c>
      <c r="K661" s="1">
        <v>1000.0</v>
      </c>
      <c r="L661" s="1">
        <v>500.0</v>
      </c>
      <c r="M661" s="1">
        <v>57.0</v>
      </c>
    </row>
    <row r="662" hidden="1">
      <c r="A662" s="1" t="s">
        <v>1090</v>
      </c>
      <c r="B662" s="3" t="s">
        <v>1763</v>
      </c>
      <c r="C662" s="1" t="s">
        <v>1569</v>
      </c>
      <c r="D662" s="1" t="s">
        <v>979</v>
      </c>
      <c r="E662" s="1" t="s">
        <v>979</v>
      </c>
      <c r="F662" s="1"/>
      <c r="G662" s="1"/>
      <c r="H662" s="1" t="s">
        <v>979</v>
      </c>
      <c r="I662" s="1" t="s">
        <v>622</v>
      </c>
      <c r="J662" s="4">
        <v>42675.0</v>
      </c>
      <c r="K662" s="1">
        <v>1000.0</v>
      </c>
      <c r="L662" s="1">
        <v>500.0</v>
      </c>
      <c r="M662" s="1">
        <v>57.0</v>
      </c>
    </row>
    <row r="663">
      <c r="A663" s="1" t="s">
        <v>1092</v>
      </c>
      <c r="B663" s="3" t="s">
        <v>1093</v>
      </c>
      <c r="C663" s="1" t="s">
        <v>16</v>
      </c>
      <c r="D663" s="1" t="s">
        <v>979</v>
      </c>
      <c r="E663" s="1" t="s">
        <v>979</v>
      </c>
      <c r="F663" s="1" t="str">
        <f>IFERROR(__xludf.DUMMYFUNCTION("SPLIT(E663,""&gt;"")"),"Force of Will")</f>
        <v>Force of Will</v>
      </c>
      <c r="G663" s="1"/>
      <c r="H663" s="1" t="s">
        <v>979</v>
      </c>
      <c r="I663" s="1" t="s">
        <v>622</v>
      </c>
      <c r="J663" s="4">
        <v>42675.0</v>
      </c>
      <c r="K663" s="1">
        <v>1000.0</v>
      </c>
      <c r="L663" s="1">
        <v>500.0</v>
      </c>
      <c r="M663" s="1">
        <v>58.0</v>
      </c>
    </row>
    <row r="664" hidden="1">
      <c r="A664" s="1" t="s">
        <v>1092</v>
      </c>
      <c r="B664" s="3" t="s">
        <v>1764</v>
      </c>
      <c r="C664" s="1" t="s">
        <v>1569</v>
      </c>
      <c r="D664" s="1" t="s">
        <v>979</v>
      </c>
      <c r="E664" s="1" t="s">
        <v>979</v>
      </c>
      <c r="F664" s="1"/>
      <c r="G664" s="1"/>
      <c r="H664" s="1" t="s">
        <v>979</v>
      </c>
      <c r="I664" s="1" t="s">
        <v>622</v>
      </c>
      <c r="J664" s="4">
        <v>42675.0</v>
      </c>
      <c r="K664" s="1">
        <v>1000.0</v>
      </c>
      <c r="L664" s="1">
        <v>500.0</v>
      </c>
      <c r="M664" s="1">
        <v>58.0</v>
      </c>
    </row>
    <row r="665">
      <c r="A665" s="1" t="s">
        <v>1094</v>
      </c>
      <c r="B665" s="3" t="s">
        <v>1095</v>
      </c>
      <c r="C665" s="1" t="s">
        <v>16</v>
      </c>
      <c r="D665" s="1" t="s">
        <v>979</v>
      </c>
      <c r="E665" s="1" t="s">
        <v>979</v>
      </c>
      <c r="F665" s="1" t="str">
        <f>IFERROR(__xludf.DUMMYFUNCTION("SPLIT(E665,""&gt;"")"),"Force of Will")</f>
        <v>Force of Will</v>
      </c>
      <c r="G665" s="1"/>
      <c r="H665" s="1" t="s">
        <v>979</v>
      </c>
      <c r="I665" s="1" t="s">
        <v>622</v>
      </c>
      <c r="J665" s="4">
        <v>42675.0</v>
      </c>
      <c r="K665" s="1">
        <v>1000.0</v>
      </c>
      <c r="L665" s="1">
        <v>500.0</v>
      </c>
      <c r="M665" s="1">
        <v>59.0</v>
      </c>
    </row>
    <row r="666" hidden="1">
      <c r="A666" s="1" t="s">
        <v>1094</v>
      </c>
      <c r="B666" s="3" t="s">
        <v>1765</v>
      </c>
      <c r="C666" s="1" t="s">
        <v>1569</v>
      </c>
      <c r="D666" s="1" t="s">
        <v>979</v>
      </c>
      <c r="E666" s="1" t="s">
        <v>979</v>
      </c>
      <c r="F666" s="1"/>
      <c r="G666" s="1"/>
      <c r="H666" s="1" t="s">
        <v>979</v>
      </c>
      <c r="I666" s="1" t="s">
        <v>622</v>
      </c>
      <c r="J666" s="4">
        <v>42675.0</v>
      </c>
      <c r="K666" s="1">
        <v>1000.0</v>
      </c>
      <c r="L666" s="1">
        <v>500.0</v>
      </c>
      <c r="M666" s="1">
        <v>59.0</v>
      </c>
    </row>
    <row r="667">
      <c r="A667" s="1" t="s">
        <v>1096</v>
      </c>
      <c r="B667" s="3" t="s">
        <v>1097</v>
      </c>
      <c r="C667" s="1" t="s">
        <v>16</v>
      </c>
      <c r="D667" s="1" t="s">
        <v>979</v>
      </c>
      <c r="E667" s="1" t="s">
        <v>979</v>
      </c>
      <c r="F667" s="1" t="str">
        <f>IFERROR(__xludf.DUMMYFUNCTION("SPLIT(E667,""&gt;"")"),"Force of Will")</f>
        <v>Force of Will</v>
      </c>
      <c r="G667" s="1"/>
      <c r="H667" s="1" t="s">
        <v>979</v>
      </c>
      <c r="I667" s="1" t="s">
        <v>622</v>
      </c>
      <c r="J667" s="4">
        <v>42675.0</v>
      </c>
      <c r="K667" s="1">
        <v>1000.0</v>
      </c>
      <c r="L667" s="1">
        <v>500.0</v>
      </c>
      <c r="M667" s="1">
        <v>60.0</v>
      </c>
    </row>
    <row r="668" hidden="1">
      <c r="A668" s="1" t="s">
        <v>1096</v>
      </c>
      <c r="B668" s="3" t="s">
        <v>1766</v>
      </c>
      <c r="C668" s="1" t="s">
        <v>1569</v>
      </c>
      <c r="D668" s="1" t="s">
        <v>979</v>
      </c>
      <c r="E668" s="1" t="s">
        <v>979</v>
      </c>
      <c r="F668" s="1"/>
      <c r="G668" s="1"/>
      <c r="H668" s="1" t="s">
        <v>979</v>
      </c>
      <c r="I668" s="1" t="s">
        <v>622</v>
      </c>
      <c r="J668" s="4">
        <v>42675.0</v>
      </c>
      <c r="K668" s="1">
        <v>1000.0</v>
      </c>
      <c r="L668" s="1">
        <v>500.0</v>
      </c>
      <c r="M668" s="1">
        <v>60.0</v>
      </c>
    </row>
    <row r="669">
      <c r="A669" s="1" t="s">
        <v>1098</v>
      </c>
      <c r="B669" s="3" t="s">
        <v>1099</v>
      </c>
      <c r="C669" s="1" t="s">
        <v>16</v>
      </c>
      <c r="D669" s="1" t="s">
        <v>979</v>
      </c>
      <c r="E669" s="1" t="s">
        <v>979</v>
      </c>
      <c r="F669" s="1" t="str">
        <f>IFERROR(__xludf.DUMMYFUNCTION("SPLIT(E669,""&gt;"")"),"Force of Will")</f>
        <v>Force of Will</v>
      </c>
      <c r="G669" s="1"/>
      <c r="H669" s="1" t="s">
        <v>979</v>
      </c>
      <c r="I669" s="1" t="s">
        <v>622</v>
      </c>
      <c r="J669" s="4">
        <v>42675.0</v>
      </c>
      <c r="K669" s="1">
        <v>1000.0</v>
      </c>
      <c r="L669" s="1">
        <v>500.0</v>
      </c>
      <c r="M669" s="1">
        <v>61.0</v>
      </c>
    </row>
    <row r="670" hidden="1">
      <c r="A670" s="1" t="s">
        <v>1098</v>
      </c>
      <c r="B670" s="3" t="s">
        <v>1767</v>
      </c>
      <c r="C670" s="1" t="s">
        <v>1569</v>
      </c>
      <c r="D670" s="1" t="s">
        <v>979</v>
      </c>
      <c r="E670" s="1" t="s">
        <v>979</v>
      </c>
      <c r="F670" s="1"/>
      <c r="G670" s="1"/>
      <c r="H670" s="1" t="s">
        <v>979</v>
      </c>
      <c r="I670" s="1" t="s">
        <v>622</v>
      </c>
      <c r="J670" s="4">
        <v>42675.0</v>
      </c>
      <c r="K670" s="1">
        <v>1000.0</v>
      </c>
      <c r="L670" s="1">
        <v>500.0</v>
      </c>
      <c r="M670" s="1">
        <v>61.0</v>
      </c>
    </row>
    <row r="671">
      <c r="A671" s="1" t="s">
        <v>1100</v>
      </c>
      <c r="B671" s="3" t="s">
        <v>1101</v>
      </c>
      <c r="C671" s="1" t="s">
        <v>16</v>
      </c>
      <c r="D671" s="1" t="s">
        <v>979</v>
      </c>
      <c r="E671" s="1" t="s">
        <v>979</v>
      </c>
      <c r="F671" s="1" t="str">
        <f>IFERROR(__xludf.DUMMYFUNCTION("SPLIT(E671,""&gt;"")"),"Force of Will")</f>
        <v>Force of Will</v>
      </c>
      <c r="G671" s="1"/>
      <c r="H671" s="1" t="s">
        <v>979</v>
      </c>
      <c r="I671" s="1" t="s">
        <v>622</v>
      </c>
      <c r="J671" s="4">
        <v>42675.0</v>
      </c>
      <c r="K671" s="1">
        <v>1000.0</v>
      </c>
      <c r="L671" s="1">
        <v>500.0</v>
      </c>
      <c r="M671" s="1">
        <v>62.0</v>
      </c>
    </row>
    <row r="672" hidden="1">
      <c r="A672" s="1" t="s">
        <v>1100</v>
      </c>
      <c r="B672" s="3" t="s">
        <v>1768</v>
      </c>
      <c r="C672" s="1" t="s">
        <v>1569</v>
      </c>
      <c r="D672" s="1" t="s">
        <v>979</v>
      </c>
      <c r="E672" s="1" t="s">
        <v>979</v>
      </c>
      <c r="F672" s="1"/>
      <c r="G672" s="1"/>
      <c r="H672" s="1" t="s">
        <v>979</v>
      </c>
      <c r="I672" s="1" t="s">
        <v>622</v>
      </c>
      <c r="J672" s="4">
        <v>42675.0</v>
      </c>
      <c r="K672" s="1">
        <v>1000.0</v>
      </c>
      <c r="L672" s="1">
        <v>500.0</v>
      </c>
      <c r="M672" s="1">
        <v>62.0</v>
      </c>
    </row>
    <row r="673">
      <c r="A673" s="1" t="s">
        <v>1102</v>
      </c>
      <c r="B673" s="3" t="s">
        <v>1103</v>
      </c>
      <c r="C673" s="1" t="s">
        <v>16</v>
      </c>
      <c r="D673" s="1" t="s">
        <v>979</v>
      </c>
      <c r="E673" s="1" t="s">
        <v>979</v>
      </c>
      <c r="F673" s="1" t="str">
        <f>IFERROR(__xludf.DUMMYFUNCTION("SPLIT(E673,""&gt;"")"),"Force of Will")</f>
        <v>Force of Will</v>
      </c>
      <c r="G673" s="1"/>
      <c r="H673" s="1" t="s">
        <v>979</v>
      </c>
      <c r="I673" s="1" t="s">
        <v>622</v>
      </c>
      <c r="J673" s="4">
        <v>42675.0</v>
      </c>
      <c r="K673" s="1">
        <v>1000.0</v>
      </c>
      <c r="L673" s="1">
        <v>500.0</v>
      </c>
      <c r="M673" s="1">
        <v>63.0</v>
      </c>
    </row>
    <row r="674" hidden="1">
      <c r="A674" s="1" t="s">
        <v>1102</v>
      </c>
      <c r="B674" s="3" t="s">
        <v>1769</v>
      </c>
      <c r="C674" s="1" t="s">
        <v>1569</v>
      </c>
      <c r="D674" s="1" t="s">
        <v>979</v>
      </c>
      <c r="E674" s="1" t="s">
        <v>979</v>
      </c>
      <c r="F674" s="1"/>
      <c r="G674" s="1"/>
      <c r="H674" s="1" t="s">
        <v>979</v>
      </c>
      <c r="I674" s="1" t="s">
        <v>622</v>
      </c>
      <c r="J674" s="4">
        <v>42675.0</v>
      </c>
      <c r="K674" s="1">
        <v>1000.0</v>
      </c>
      <c r="L674" s="1">
        <v>500.0</v>
      </c>
      <c r="M674" s="1">
        <v>63.0</v>
      </c>
    </row>
    <row r="675">
      <c r="A675" s="1" t="s">
        <v>1104</v>
      </c>
      <c r="B675" s="3" t="s">
        <v>1105</v>
      </c>
      <c r="C675" s="1" t="s">
        <v>16</v>
      </c>
      <c r="D675" s="1" t="s">
        <v>979</v>
      </c>
      <c r="E675" s="1" t="s">
        <v>979</v>
      </c>
      <c r="F675" s="1" t="str">
        <f>IFERROR(__xludf.DUMMYFUNCTION("SPLIT(E675,""&gt;"")"),"Force of Will")</f>
        <v>Force of Will</v>
      </c>
      <c r="G675" s="1"/>
      <c r="H675" s="1" t="s">
        <v>979</v>
      </c>
      <c r="I675" s="1" t="s">
        <v>622</v>
      </c>
      <c r="J675" s="4">
        <v>42675.0</v>
      </c>
      <c r="K675" s="1">
        <v>1000.0</v>
      </c>
      <c r="L675" s="1">
        <v>500.0</v>
      </c>
      <c r="M675" s="1">
        <v>64.0</v>
      </c>
    </row>
    <row r="676" hidden="1">
      <c r="A676" s="1" t="s">
        <v>1104</v>
      </c>
      <c r="B676" s="3" t="s">
        <v>1770</v>
      </c>
      <c r="C676" s="1" t="s">
        <v>1569</v>
      </c>
      <c r="D676" s="1" t="s">
        <v>979</v>
      </c>
      <c r="E676" s="1" t="s">
        <v>979</v>
      </c>
      <c r="F676" s="1"/>
      <c r="G676" s="1"/>
      <c r="H676" s="1" t="s">
        <v>979</v>
      </c>
      <c r="I676" s="1" t="s">
        <v>622</v>
      </c>
      <c r="J676" s="4">
        <v>42675.0</v>
      </c>
      <c r="K676" s="1">
        <v>1000.0</v>
      </c>
      <c r="L676" s="1">
        <v>500.0</v>
      </c>
      <c r="M676" s="1">
        <v>64.0</v>
      </c>
    </row>
    <row r="677">
      <c r="A677" s="1" t="s">
        <v>1106</v>
      </c>
      <c r="B677" s="3" t="s">
        <v>1107</v>
      </c>
      <c r="C677" s="1" t="s">
        <v>16</v>
      </c>
      <c r="D677" s="1" t="s">
        <v>979</v>
      </c>
      <c r="E677" s="1" t="s">
        <v>979</v>
      </c>
      <c r="F677" s="1" t="str">
        <f>IFERROR(__xludf.DUMMYFUNCTION("SPLIT(E677,""&gt;"")"),"Force of Will")</f>
        <v>Force of Will</v>
      </c>
      <c r="G677" s="1"/>
      <c r="H677" s="1" t="s">
        <v>979</v>
      </c>
      <c r="I677" s="1" t="s">
        <v>622</v>
      </c>
      <c r="J677" s="4">
        <v>42675.0</v>
      </c>
      <c r="K677" s="1">
        <v>1000.0</v>
      </c>
      <c r="L677" s="1">
        <v>500.0</v>
      </c>
      <c r="M677" s="1">
        <v>65.0</v>
      </c>
    </row>
    <row r="678" hidden="1">
      <c r="A678" s="1" t="s">
        <v>1106</v>
      </c>
      <c r="B678" s="3" t="s">
        <v>1771</v>
      </c>
      <c r="C678" s="1" t="s">
        <v>1569</v>
      </c>
      <c r="D678" s="1" t="s">
        <v>979</v>
      </c>
      <c r="E678" s="1" t="s">
        <v>979</v>
      </c>
      <c r="F678" s="1"/>
      <c r="G678" s="1"/>
      <c r="H678" s="1" t="s">
        <v>979</v>
      </c>
      <c r="I678" s="1" t="s">
        <v>622</v>
      </c>
      <c r="J678" s="4">
        <v>42675.0</v>
      </c>
      <c r="K678" s="1">
        <v>1000.0</v>
      </c>
      <c r="L678" s="1">
        <v>500.0</v>
      </c>
      <c r="M678" s="1">
        <v>65.0</v>
      </c>
    </row>
    <row r="679">
      <c r="A679" s="1" t="s">
        <v>1108</v>
      </c>
      <c r="B679" s="3" t="s">
        <v>1109</v>
      </c>
      <c r="C679" s="1" t="s">
        <v>16</v>
      </c>
      <c r="D679" s="1" t="s">
        <v>979</v>
      </c>
      <c r="E679" s="1" t="s">
        <v>979</v>
      </c>
      <c r="F679" s="1" t="str">
        <f>IFERROR(__xludf.DUMMYFUNCTION("SPLIT(E679,""&gt;"")"),"Force of Will")</f>
        <v>Force of Will</v>
      </c>
      <c r="G679" s="1"/>
      <c r="H679" s="1" t="s">
        <v>979</v>
      </c>
      <c r="I679" s="1" t="s">
        <v>622</v>
      </c>
      <c r="J679" s="4">
        <v>42675.0</v>
      </c>
      <c r="K679" s="1">
        <v>1000.0</v>
      </c>
      <c r="L679" s="1">
        <v>500.0</v>
      </c>
      <c r="M679" s="1">
        <v>66.0</v>
      </c>
    </row>
    <row r="680" hidden="1">
      <c r="A680" s="1" t="s">
        <v>1108</v>
      </c>
      <c r="B680" s="3" t="s">
        <v>1772</v>
      </c>
      <c r="C680" s="1" t="s">
        <v>1569</v>
      </c>
      <c r="D680" s="1" t="s">
        <v>979</v>
      </c>
      <c r="E680" s="1" t="s">
        <v>979</v>
      </c>
      <c r="F680" s="1"/>
      <c r="G680" s="1"/>
      <c r="H680" s="1" t="s">
        <v>979</v>
      </c>
      <c r="I680" s="1" t="s">
        <v>622</v>
      </c>
      <c r="J680" s="4">
        <v>42675.0</v>
      </c>
      <c r="K680" s="1">
        <v>1000.0</v>
      </c>
      <c r="L680" s="1">
        <v>500.0</v>
      </c>
      <c r="M680" s="1">
        <v>66.0</v>
      </c>
    </row>
    <row r="681">
      <c r="A681" s="1" t="s">
        <v>1110</v>
      </c>
      <c r="B681" s="3" t="s">
        <v>1111</v>
      </c>
      <c r="C681" s="1" t="s">
        <v>16</v>
      </c>
      <c r="D681" s="1" t="s">
        <v>979</v>
      </c>
      <c r="E681" s="1" t="s">
        <v>979</v>
      </c>
      <c r="F681" s="1" t="str">
        <f>IFERROR(__xludf.DUMMYFUNCTION("SPLIT(E681,""&gt;"")"),"Force of Will")</f>
        <v>Force of Will</v>
      </c>
      <c r="G681" s="1"/>
      <c r="H681" s="1" t="s">
        <v>979</v>
      </c>
      <c r="I681" s="1" t="s">
        <v>622</v>
      </c>
      <c r="J681" s="4">
        <v>42675.0</v>
      </c>
      <c r="K681" s="1">
        <v>1000.0</v>
      </c>
      <c r="L681" s="1">
        <v>500.0</v>
      </c>
      <c r="M681" s="1">
        <v>67.0</v>
      </c>
    </row>
    <row r="682" hidden="1">
      <c r="A682" s="1" t="s">
        <v>1110</v>
      </c>
      <c r="B682" s="3" t="s">
        <v>1773</v>
      </c>
      <c r="C682" s="1" t="s">
        <v>1569</v>
      </c>
      <c r="D682" s="1" t="s">
        <v>979</v>
      </c>
      <c r="E682" s="1" t="s">
        <v>979</v>
      </c>
      <c r="F682" s="1"/>
      <c r="G682" s="1"/>
      <c r="H682" s="1" t="s">
        <v>979</v>
      </c>
      <c r="I682" s="1" t="s">
        <v>622</v>
      </c>
      <c r="J682" s="4">
        <v>42675.0</v>
      </c>
      <c r="K682" s="1">
        <v>1000.0</v>
      </c>
      <c r="L682" s="1">
        <v>500.0</v>
      </c>
      <c r="M682" s="1">
        <v>67.0</v>
      </c>
    </row>
    <row r="683">
      <c r="A683" s="1" t="s">
        <v>1112</v>
      </c>
      <c r="B683" s="3" t="s">
        <v>1113</v>
      </c>
      <c r="C683" s="1" t="s">
        <v>16</v>
      </c>
      <c r="D683" s="1" t="s">
        <v>979</v>
      </c>
      <c r="E683" s="1" t="s">
        <v>979</v>
      </c>
      <c r="F683" s="1" t="str">
        <f>IFERROR(__xludf.DUMMYFUNCTION("SPLIT(E683,""&gt;"")"),"Force of Will")</f>
        <v>Force of Will</v>
      </c>
      <c r="G683" s="1"/>
      <c r="H683" s="1" t="s">
        <v>979</v>
      </c>
      <c r="I683" s="1" t="s">
        <v>622</v>
      </c>
      <c r="J683" s="4">
        <v>42675.0</v>
      </c>
      <c r="K683" s="1">
        <v>1000.0</v>
      </c>
      <c r="L683" s="1">
        <v>995.0</v>
      </c>
      <c r="M683" s="1">
        <v>68.0</v>
      </c>
    </row>
    <row r="684" hidden="1">
      <c r="A684" s="1" t="s">
        <v>1112</v>
      </c>
      <c r="B684" s="3" t="s">
        <v>1774</v>
      </c>
      <c r="C684" s="1" t="s">
        <v>1569</v>
      </c>
      <c r="D684" s="1" t="s">
        <v>979</v>
      </c>
      <c r="E684" s="1" t="s">
        <v>979</v>
      </c>
      <c r="F684" s="1"/>
      <c r="G684" s="1"/>
      <c r="H684" s="1" t="s">
        <v>979</v>
      </c>
      <c r="I684" s="1" t="s">
        <v>622</v>
      </c>
      <c r="J684" s="4">
        <v>42675.0</v>
      </c>
      <c r="K684" s="1">
        <v>1000.0</v>
      </c>
      <c r="L684" s="1">
        <v>995.0</v>
      </c>
      <c r="M684" s="1">
        <v>68.0</v>
      </c>
    </row>
    <row r="685">
      <c r="A685" s="1" t="s">
        <v>1114</v>
      </c>
      <c r="B685" s="3" t="s">
        <v>1115</v>
      </c>
      <c r="C685" s="1" t="s">
        <v>16</v>
      </c>
      <c r="D685" s="1" t="s">
        <v>979</v>
      </c>
      <c r="E685" s="1" t="s">
        <v>979</v>
      </c>
      <c r="F685" s="1" t="str">
        <f>IFERROR(__xludf.DUMMYFUNCTION("SPLIT(E685,""&gt;"")"),"Force of Will")</f>
        <v>Force of Will</v>
      </c>
      <c r="G685" s="1"/>
      <c r="H685" s="1" t="s">
        <v>979</v>
      </c>
      <c r="I685" s="1" t="s">
        <v>622</v>
      </c>
      <c r="J685" s="4">
        <v>42675.0</v>
      </c>
      <c r="K685" s="1">
        <v>1000.0</v>
      </c>
      <c r="L685" s="1">
        <v>500.0</v>
      </c>
      <c r="M685" s="1">
        <v>69.0</v>
      </c>
    </row>
    <row r="686" hidden="1">
      <c r="A686" s="1" t="s">
        <v>1114</v>
      </c>
      <c r="B686" s="3" t="s">
        <v>1775</v>
      </c>
      <c r="C686" s="1" t="s">
        <v>1569</v>
      </c>
      <c r="D686" s="1" t="s">
        <v>979</v>
      </c>
      <c r="E686" s="1" t="s">
        <v>979</v>
      </c>
      <c r="F686" s="1"/>
      <c r="G686" s="1"/>
      <c r="H686" s="1" t="s">
        <v>979</v>
      </c>
      <c r="I686" s="1" t="s">
        <v>622</v>
      </c>
      <c r="J686" s="4">
        <v>42675.0</v>
      </c>
      <c r="K686" s="1">
        <v>1000.0</v>
      </c>
      <c r="L686" s="1">
        <v>500.0</v>
      </c>
      <c r="M686" s="1">
        <v>69.0</v>
      </c>
    </row>
    <row r="687">
      <c r="A687" s="1" t="s">
        <v>1116</v>
      </c>
      <c r="B687" s="3" t="s">
        <v>1117</v>
      </c>
      <c r="C687" s="1" t="s">
        <v>16</v>
      </c>
      <c r="D687" s="1" t="s">
        <v>979</v>
      </c>
      <c r="E687" s="1" t="s">
        <v>979</v>
      </c>
      <c r="F687" s="1" t="str">
        <f>IFERROR(__xludf.DUMMYFUNCTION("SPLIT(E687,""&gt;"")"),"Force of Will")</f>
        <v>Force of Will</v>
      </c>
      <c r="G687" s="1"/>
      <c r="H687" s="1" t="s">
        <v>979</v>
      </c>
      <c r="I687" s="1" t="s">
        <v>622</v>
      </c>
      <c r="J687" s="4">
        <v>42675.0</v>
      </c>
      <c r="K687" s="1">
        <v>1000.0</v>
      </c>
      <c r="L687" s="1">
        <v>500.0</v>
      </c>
      <c r="M687" s="1">
        <v>70.0</v>
      </c>
    </row>
    <row r="688" hidden="1">
      <c r="A688" s="1" t="s">
        <v>1116</v>
      </c>
      <c r="B688" s="3" t="s">
        <v>1776</v>
      </c>
      <c r="C688" s="1" t="s">
        <v>1569</v>
      </c>
      <c r="D688" s="1" t="s">
        <v>979</v>
      </c>
      <c r="E688" s="1" t="s">
        <v>979</v>
      </c>
      <c r="F688" s="1"/>
      <c r="G688" s="1"/>
      <c r="H688" s="1" t="s">
        <v>979</v>
      </c>
      <c r="I688" s="1" t="s">
        <v>622</v>
      </c>
      <c r="J688" s="4">
        <v>42675.0</v>
      </c>
      <c r="K688" s="1">
        <v>1000.0</v>
      </c>
      <c r="L688" s="1">
        <v>500.0</v>
      </c>
      <c r="M688" s="1">
        <v>70.0</v>
      </c>
    </row>
    <row r="689">
      <c r="A689" s="1" t="s">
        <v>1118</v>
      </c>
      <c r="B689" s="3" t="s">
        <v>1119</v>
      </c>
      <c r="C689" s="1" t="s">
        <v>16</v>
      </c>
      <c r="D689" s="1" t="s">
        <v>979</v>
      </c>
      <c r="E689" s="1" t="s">
        <v>979</v>
      </c>
      <c r="F689" s="1" t="str">
        <f>IFERROR(__xludf.DUMMYFUNCTION("SPLIT(E689,""&gt;"")"),"Force of Will")</f>
        <v>Force of Will</v>
      </c>
      <c r="G689" s="1"/>
      <c r="H689" s="1" t="s">
        <v>979</v>
      </c>
      <c r="I689" s="1" t="s">
        <v>622</v>
      </c>
      <c r="J689" s="4">
        <v>42675.0</v>
      </c>
      <c r="K689" s="1">
        <v>1000.0</v>
      </c>
      <c r="L689" s="1">
        <v>500.0</v>
      </c>
      <c r="M689" s="1">
        <v>71.0</v>
      </c>
    </row>
    <row r="690" hidden="1">
      <c r="A690" s="1" t="s">
        <v>1118</v>
      </c>
      <c r="B690" s="3" t="s">
        <v>1777</v>
      </c>
      <c r="C690" s="1" t="s">
        <v>1569</v>
      </c>
      <c r="D690" s="1" t="s">
        <v>979</v>
      </c>
      <c r="E690" s="1" t="s">
        <v>979</v>
      </c>
      <c r="F690" s="1"/>
      <c r="G690" s="1"/>
      <c r="H690" s="1" t="s">
        <v>979</v>
      </c>
      <c r="I690" s="1" t="s">
        <v>622</v>
      </c>
      <c r="J690" s="4">
        <v>42675.0</v>
      </c>
      <c r="K690" s="1">
        <v>1000.0</v>
      </c>
      <c r="L690" s="1">
        <v>500.0</v>
      </c>
      <c r="M690" s="1">
        <v>71.0</v>
      </c>
    </row>
    <row r="691">
      <c r="A691" s="1" t="s">
        <v>1120</v>
      </c>
      <c r="B691" s="3" t="s">
        <v>1121</v>
      </c>
      <c r="C691" s="1" t="s">
        <v>16</v>
      </c>
      <c r="D691" s="1" t="s">
        <v>979</v>
      </c>
      <c r="E691" s="1" t="s">
        <v>979</v>
      </c>
      <c r="F691" s="1" t="str">
        <f>IFERROR(__xludf.DUMMYFUNCTION("SPLIT(E691,""&gt;"")"),"Force of Will")</f>
        <v>Force of Will</v>
      </c>
      <c r="G691" s="1"/>
      <c r="H691" s="1" t="s">
        <v>979</v>
      </c>
      <c r="I691" s="1" t="s">
        <v>622</v>
      </c>
      <c r="J691" s="4">
        <v>42675.0</v>
      </c>
      <c r="K691" s="1">
        <v>1000.0</v>
      </c>
      <c r="L691" s="1">
        <v>500.0</v>
      </c>
      <c r="M691" s="1">
        <v>72.0</v>
      </c>
    </row>
    <row r="692" hidden="1">
      <c r="A692" s="1" t="s">
        <v>1120</v>
      </c>
      <c r="B692" s="3" t="s">
        <v>1778</v>
      </c>
      <c r="C692" s="1" t="s">
        <v>1569</v>
      </c>
      <c r="D692" s="1" t="s">
        <v>979</v>
      </c>
      <c r="E692" s="1" t="s">
        <v>979</v>
      </c>
      <c r="F692" s="1"/>
      <c r="G692" s="1"/>
      <c r="H692" s="1" t="s">
        <v>979</v>
      </c>
      <c r="I692" s="1" t="s">
        <v>622</v>
      </c>
      <c r="J692" s="4">
        <v>42675.0</v>
      </c>
      <c r="K692" s="1">
        <v>1000.0</v>
      </c>
      <c r="L692" s="1">
        <v>500.0</v>
      </c>
      <c r="M692" s="1">
        <v>72.0</v>
      </c>
    </row>
    <row r="693">
      <c r="A693" s="1" t="s">
        <v>1122</v>
      </c>
      <c r="B693" s="3" t="s">
        <v>1123</v>
      </c>
      <c r="C693" s="1" t="s">
        <v>16</v>
      </c>
      <c r="D693" s="1" t="s">
        <v>979</v>
      </c>
      <c r="E693" s="1" t="s">
        <v>979</v>
      </c>
      <c r="F693" s="1" t="str">
        <f>IFERROR(__xludf.DUMMYFUNCTION("SPLIT(E693,""&gt;"")"),"Force of Will")</f>
        <v>Force of Will</v>
      </c>
      <c r="G693" s="1"/>
      <c r="H693" s="1" t="s">
        <v>979</v>
      </c>
      <c r="I693" s="1" t="s">
        <v>622</v>
      </c>
      <c r="J693" s="4">
        <v>42675.0</v>
      </c>
      <c r="K693" s="1">
        <v>1000.0</v>
      </c>
      <c r="L693" s="1">
        <v>500.0</v>
      </c>
      <c r="M693" s="1">
        <v>73.0</v>
      </c>
    </row>
    <row r="694" hidden="1">
      <c r="A694" s="1" t="s">
        <v>1122</v>
      </c>
      <c r="B694" s="3" t="s">
        <v>1779</v>
      </c>
      <c r="C694" s="1" t="s">
        <v>1569</v>
      </c>
      <c r="D694" s="1" t="s">
        <v>979</v>
      </c>
      <c r="E694" s="1" t="s">
        <v>979</v>
      </c>
      <c r="F694" s="1"/>
      <c r="G694" s="1"/>
      <c r="H694" s="1" t="s">
        <v>979</v>
      </c>
      <c r="I694" s="1" t="s">
        <v>622</v>
      </c>
      <c r="J694" s="4">
        <v>42675.0</v>
      </c>
      <c r="K694" s="1">
        <v>1000.0</v>
      </c>
      <c r="L694" s="1">
        <v>500.0</v>
      </c>
      <c r="M694" s="1">
        <v>73.0</v>
      </c>
    </row>
    <row r="695">
      <c r="A695" s="1" t="s">
        <v>1124</v>
      </c>
      <c r="B695" s="3" t="s">
        <v>1125</v>
      </c>
      <c r="C695" s="1" t="s">
        <v>16</v>
      </c>
      <c r="D695" s="1" t="s">
        <v>979</v>
      </c>
      <c r="E695" s="1" t="s">
        <v>979</v>
      </c>
      <c r="F695" s="1" t="str">
        <f>IFERROR(__xludf.DUMMYFUNCTION("SPLIT(E695,""&gt;"")"),"Force of Will")</f>
        <v>Force of Will</v>
      </c>
      <c r="G695" s="1"/>
      <c r="H695" s="1" t="s">
        <v>979</v>
      </c>
      <c r="I695" s="1" t="s">
        <v>622</v>
      </c>
      <c r="J695" s="4">
        <v>42675.0</v>
      </c>
      <c r="K695" s="1">
        <v>1000.0</v>
      </c>
      <c r="L695" s="1">
        <v>500.0</v>
      </c>
      <c r="M695" s="1">
        <v>74.0</v>
      </c>
    </row>
    <row r="696" hidden="1">
      <c r="A696" s="1" t="s">
        <v>1124</v>
      </c>
      <c r="B696" s="3" t="s">
        <v>1780</v>
      </c>
      <c r="C696" s="1" t="s">
        <v>1569</v>
      </c>
      <c r="D696" s="1" t="s">
        <v>979</v>
      </c>
      <c r="E696" s="1" t="s">
        <v>979</v>
      </c>
      <c r="F696" s="1"/>
      <c r="G696" s="1"/>
      <c r="H696" s="1" t="s">
        <v>979</v>
      </c>
      <c r="I696" s="1" t="s">
        <v>622</v>
      </c>
      <c r="J696" s="4">
        <v>42675.0</v>
      </c>
      <c r="K696" s="1">
        <v>1000.0</v>
      </c>
      <c r="L696" s="1">
        <v>500.0</v>
      </c>
      <c r="M696" s="1">
        <v>74.0</v>
      </c>
    </row>
    <row r="697">
      <c r="A697" s="1" t="s">
        <v>1126</v>
      </c>
      <c r="B697" s="3" t="s">
        <v>1127</v>
      </c>
      <c r="C697" s="1" t="s">
        <v>16</v>
      </c>
      <c r="D697" s="1" t="s">
        <v>979</v>
      </c>
      <c r="E697" s="1" t="s">
        <v>979</v>
      </c>
      <c r="F697" s="1" t="str">
        <f>IFERROR(__xludf.DUMMYFUNCTION("SPLIT(E697,""&gt;"")"),"Force of Will")</f>
        <v>Force of Will</v>
      </c>
      <c r="G697" s="1"/>
      <c r="H697" s="1" t="s">
        <v>979</v>
      </c>
      <c r="I697" s="1" t="s">
        <v>622</v>
      </c>
      <c r="J697" s="4">
        <v>42675.0</v>
      </c>
      <c r="K697" s="1">
        <v>1000.0</v>
      </c>
      <c r="L697" s="1">
        <v>500.0</v>
      </c>
      <c r="M697" s="1">
        <v>75.0</v>
      </c>
    </row>
    <row r="698" hidden="1">
      <c r="A698" s="1" t="s">
        <v>1126</v>
      </c>
      <c r="B698" s="3" t="s">
        <v>1781</v>
      </c>
      <c r="C698" s="1" t="s">
        <v>1569</v>
      </c>
      <c r="D698" s="1" t="s">
        <v>979</v>
      </c>
      <c r="E698" s="1" t="s">
        <v>979</v>
      </c>
      <c r="F698" s="1"/>
      <c r="G698" s="1"/>
      <c r="H698" s="1" t="s">
        <v>979</v>
      </c>
      <c r="I698" s="1" t="s">
        <v>622</v>
      </c>
      <c r="J698" s="4">
        <v>42675.0</v>
      </c>
      <c r="K698" s="1">
        <v>1000.0</v>
      </c>
      <c r="L698" s="1">
        <v>500.0</v>
      </c>
      <c r="M698" s="1">
        <v>75.0</v>
      </c>
    </row>
    <row r="699">
      <c r="A699" s="1" t="s">
        <v>1128</v>
      </c>
      <c r="B699" s="3" t="s">
        <v>1129</v>
      </c>
      <c r="C699" s="1" t="s">
        <v>16</v>
      </c>
      <c r="D699" s="1" t="s">
        <v>979</v>
      </c>
      <c r="E699" s="1" t="s">
        <v>979</v>
      </c>
      <c r="F699" s="1" t="str">
        <f>IFERROR(__xludf.DUMMYFUNCTION("SPLIT(E699,""&gt;"")"),"Force of Will")</f>
        <v>Force of Will</v>
      </c>
      <c r="G699" s="1"/>
      <c r="H699" s="1" t="s">
        <v>979</v>
      </c>
      <c r="I699" s="1" t="s">
        <v>622</v>
      </c>
      <c r="J699" s="4">
        <v>42675.0</v>
      </c>
      <c r="K699" s="1">
        <v>1000.0</v>
      </c>
      <c r="L699" s="1">
        <v>500.0</v>
      </c>
      <c r="M699" s="1">
        <v>76.0</v>
      </c>
    </row>
    <row r="700" hidden="1">
      <c r="A700" s="1" t="s">
        <v>1128</v>
      </c>
      <c r="B700" s="3" t="s">
        <v>1782</v>
      </c>
      <c r="C700" s="1" t="s">
        <v>1569</v>
      </c>
      <c r="D700" s="1" t="s">
        <v>979</v>
      </c>
      <c r="E700" s="1" t="s">
        <v>979</v>
      </c>
      <c r="F700" s="1"/>
      <c r="G700" s="1"/>
      <c r="H700" s="1" t="s">
        <v>979</v>
      </c>
      <c r="I700" s="1" t="s">
        <v>622</v>
      </c>
      <c r="J700" s="4">
        <v>42675.0</v>
      </c>
      <c r="K700" s="1">
        <v>1000.0</v>
      </c>
      <c r="L700" s="1">
        <v>500.0</v>
      </c>
      <c r="M700" s="1">
        <v>76.0</v>
      </c>
    </row>
    <row r="701">
      <c r="A701" s="1" t="s">
        <v>1130</v>
      </c>
      <c r="B701" s="3" t="s">
        <v>1131</v>
      </c>
      <c r="C701" s="1" t="s">
        <v>16</v>
      </c>
      <c r="D701" s="1" t="s">
        <v>979</v>
      </c>
      <c r="E701" s="1" t="s">
        <v>979</v>
      </c>
      <c r="F701" s="1" t="str">
        <f>IFERROR(__xludf.DUMMYFUNCTION("SPLIT(E701,""&gt;"")"),"Force of Will")</f>
        <v>Force of Will</v>
      </c>
      <c r="G701" s="1"/>
      <c r="H701" s="1" t="s">
        <v>979</v>
      </c>
      <c r="I701" s="1" t="s">
        <v>622</v>
      </c>
      <c r="J701" s="4">
        <v>42675.0</v>
      </c>
      <c r="K701" s="1">
        <v>1000.0</v>
      </c>
      <c r="L701" s="1">
        <v>500.0</v>
      </c>
      <c r="M701" s="1">
        <v>77.0</v>
      </c>
    </row>
    <row r="702" hidden="1">
      <c r="A702" s="1" t="s">
        <v>1130</v>
      </c>
      <c r="B702" s="3" t="s">
        <v>1783</v>
      </c>
      <c r="C702" s="1" t="s">
        <v>1569</v>
      </c>
      <c r="D702" s="1" t="s">
        <v>979</v>
      </c>
      <c r="E702" s="1" t="s">
        <v>979</v>
      </c>
      <c r="F702" s="1"/>
      <c r="G702" s="1"/>
      <c r="H702" s="1" t="s">
        <v>979</v>
      </c>
      <c r="I702" s="1" t="s">
        <v>622</v>
      </c>
      <c r="J702" s="4">
        <v>42675.0</v>
      </c>
      <c r="K702" s="1">
        <v>1000.0</v>
      </c>
      <c r="L702" s="1">
        <v>500.0</v>
      </c>
      <c r="M702" s="1">
        <v>77.0</v>
      </c>
    </row>
    <row r="703">
      <c r="A703" s="1" t="s">
        <v>1132</v>
      </c>
      <c r="B703" s="3" t="s">
        <v>1133</v>
      </c>
      <c r="C703" s="1" t="s">
        <v>16</v>
      </c>
      <c r="D703" s="1" t="s">
        <v>979</v>
      </c>
      <c r="E703" s="1" t="s">
        <v>979</v>
      </c>
      <c r="F703" s="1" t="str">
        <f>IFERROR(__xludf.DUMMYFUNCTION("SPLIT(E703,""&gt;"")"),"Force of Will")</f>
        <v>Force of Will</v>
      </c>
      <c r="G703" s="1"/>
      <c r="H703" s="1" t="s">
        <v>979</v>
      </c>
      <c r="I703" s="1" t="s">
        <v>622</v>
      </c>
      <c r="J703" s="4">
        <v>42675.0</v>
      </c>
      <c r="K703" s="1">
        <v>1000.0</v>
      </c>
      <c r="L703" s="1">
        <v>500.0</v>
      </c>
      <c r="M703" s="1">
        <v>78.0</v>
      </c>
    </row>
    <row r="704" hidden="1">
      <c r="A704" s="1" t="s">
        <v>1132</v>
      </c>
      <c r="B704" s="3" t="s">
        <v>1784</v>
      </c>
      <c r="C704" s="1" t="s">
        <v>1569</v>
      </c>
      <c r="D704" s="1" t="s">
        <v>979</v>
      </c>
      <c r="E704" s="1" t="s">
        <v>979</v>
      </c>
      <c r="F704" s="1"/>
      <c r="G704" s="1"/>
      <c r="H704" s="1" t="s">
        <v>979</v>
      </c>
      <c r="I704" s="1" t="s">
        <v>622</v>
      </c>
      <c r="J704" s="4">
        <v>42675.0</v>
      </c>
      <c r="K704" s="1">
        <v>1000.0</v>
      </c>
      <c r="L704" s="1">
        <v>500.0</v>
      </c>
      <c r="M704" s="1">
        <v>78.0</v>
      </c>
    </row>
    <row r="705">
      <c r="A705" s="1" t="s">
        <v>1134</v>
      </c>
      <c r="B705" s="3" t="s">
        <v>1135</v>
      </c>
      <c r="C705" s="1" t="s">
        <v>16</v>
      </c>
      <c r="D705" s="1" t="s">
        <v>979</v>
      </c>
      <c r="E705" s="1" t="s">
        <v>979</v>
      </c>
      <c r="F705" s="1" t="str">
        <f>IFERROR(__xludf.DUMMYFUNCTION("SPLIT(E705,""&gt;"")"),"Force of Will")</f>
        <v>Force of Will</v>
      </c>
      <c r="G705" s="1"/>
      <c r="H705" s="1" t="s">
        <v>979</v>
      </c>
      <c r="I705" s="1" t="s">
        <v>622</v>
      </c>
      <c r="J705" s="4">
        <v>42675.0</v>
      </c>
      <c r="K705" s="1">
        <v>1000.0</v>
      </c>
      <c r="L705" s="1">
        <v>500.0</v>
      </c>
      <c r="M705" s="1">
        <v>79.0</v>
      </c>
    </row>
    <row r="706" hidden="1">
      <c r="A706" s="1" t="s">
        <v>1134</v>
      </c>
      <c r="B706" s="3" t="s">
        <v>1785</v>
      </c>
      <c r="C706" s="1" t="s">
        <v>1569</v>
      </c>
      <c r="D706" s="1" t="s">
        <v>979</v>
      </c>
      <c r="E706" s="1" t="s">
        <v>979</v>
      </c>
      <c r="F706" s="1"/>
      <c r="G706" s="1"/>
      <c r="H706" s="1" t="s">
        <v>979</v>
      </c>
      <c r="I706" s="1" t="s">
        <v>622</v>
      </c>
      <c r="J706" s="4">
        <v>42675.0</v>
      </c>
      <c r="K706" s="1">
        <v>1000.0</v>
      </c>
      <c r="L706" s="1">
        <v>500.0</v>
      </c>
      <c r="M706" s="1">
        <v>79.0</v>
      </c>
    </row>
    <row r="707">
      <c r="A707" s="1" t="s">
        <v>1136</v>
      </c>
      <c r="B707" s="3" t="s">
        <v>1137</v>
      </c>
      <c r="C707" s="1" t="s">
        <v>16</v>
      </c>
      <c r="D707" s="1" t="s">
        <v>979</v>
      </c>
      <c r="E707" s="1" t="s">
        <v>979</v>
      </c>
      <c r="F707" s="1" t="str">
        <f>IFERROR(__xludf.DUMMYFUNCTION("SPLIT(E707,""&gt;"")"),"Force of Will")</f>
        <v>Force of Will</v>
      </c>
      <c r="G707" s="1"/>
      <c r="H707" s="1" t="s">
        <v>979</v>
      </c>
      <c r="I707" s="1" t="s">
        <v>622</v>
      </c>
      <c r="J707" s="4">
        <v>42675.0</v>
      </c>
      <c r="K707" s="1">
        <v>1000.0</v>
      </c>
      <c r="L707" s="1">
        <v>500.0</v>
      </c>
      <c r="M707" s="1">
        <v>80.0</v>
      </c>
    </row>
    <row r="708" hidden="1">
      <c r="A708" s="1" t="s">
        <v>1136</v>
      </c>
      <c r="B708" s="3" t="s">
        <v>1786</v>
      </c>
      <c r="C708" s="1" t="s">
        <v>1569</v>
      </c>
      <c r="D708" s="1" t="s">
        <v>979</v>
      </c>
      <c r="E708" s="1" t="s">
        <v>979</v>
      </c>
      <c r="F708" s="1"/>
      <c r="G708" s="1"/>
      <c r="H708" s="1" t="s">
        <v>979</v>
      </c>
      <c r="I708" s="1" t="s">
        <v>622</v>
      </c>
      <c r="J708" s="4">
        <v>42675.0</v>
      </c>
      <c r="K708" s="1">
        <v>1000.0</v>
      </c>
      <c r="L708" s="1">
        <v>500.0</v>
      </c>
      <c r="M708" s="1">
        <v>80.0</v>
      </c>
    </row>
    <row r="709">
      <c r="A709" s="1" t="s">
        <v>1138</v>
      </c>
      <c r="B709" s="3" t="s">
        <v>1139</v>
      </c>
      <c r="C709" s="1" t="s">
        <v>16</v>
      </c>
      <c r="D709" s="1" t="s">
        <v>979</v>
      </c>
      <c r="E709" s="1" t="s">
        <v>979</v>
      </c>
      <c r="F709" s="1" t="str">
        <f>IFERROR(__xludf.DUMMYFUNCTION("SPLIT(E709,""&gt;"")"),"Force of Will")</f>
        <v>Force of Will</v>
      </c>
      <c r="G709" s="1"/>
      <c r="H709" s="1" t="s">
        <v>979</v>
      </c>
      <c r="I709" s="1" t="s">
        <v>622</v>
      </c>
      <c r="J709" s="4">
        <v>42675.0</v>
      </c>
      <c r="K709" s="1">
        <v>1000.0</v>
      </c>
      <c r="L709" s="1">
        <v>500.0</v>
      </c>
      <c r="M709" s="1">
        <v>81.0</v>
      </c>
    </row>
    <row r="710" hidden="1">
      <c r="A710" s="1" t="s">
        <v>1138</v>
      </c>
      <c r="B710" s="3" t="s">
        <v>1787</v>
      </c>
      <c r="C710" s="1" t="s">
        <v>1569</v>
      </c>
      <c r="D710" s="1" t="s">
        <v>979</v>
      </c>
      <c r="E710" s="1" t="s">
        <v>979</v>
      </c>
      <c r="F710" s="1"/>
      <c r="G710" s="1"/>
      <c r="H710" s="1" t="s">
        <v>979</v>
      </c>
      <c r="I710" s="1" t="s">
        <v>622</v>
      </c>
      <c r="J710" s="4">
        <v>42675.0</v>
      </c>
      <c r="K710" s="1">
        <v>1000.0</v>
      </c>
      <c r="L710" s="1">
        <v>500.0</v>
      </c>
      <c r="M710" s="1">
        <v>81.0</v>
      </c>
    </row>
    <row r="711">
      <c r="A711" s="1" t="s">
        <v>1140</v>
      </c>
      <c r="B711" s="3" t="s">
        <v>1141</v>
      </c>
      <c r="C711" s="1" t="s">
        <v>16</v>
      </c>
      <c r="D711" s="1" t="s">
        <v>979</v>
      </c>
      <c r="E711" s="1" t="s">
        <v>979</v>
      </c>
      <c r="F711" s="1" t="str">
        <f>IFERROR(__xludf.DUMMYFUNCTION("SPLIT(E711,""&gt;"")"),"Force of Will")</f>
        <v>Force of Will</v>
      </c>
      <c r="G711" s="1"/>
      <c r="H711" s="1" t="s">
        <v>979</v>
      </c>
      <c r="I711" s="1" t="s">
        <v>622</v>
      </c>
      <c r="J711" s="4">
        <v>42675.0</v>
      </c>
      <c r="K711" s="1">
        <v>1000.0</v>
      </c>
      <c r="L711" s="1">
        <v>500.0</v>
      </c>
      <c r="M711" s="1">
        <v>82.0</v>
      </c>
    </row>
    <row r="712" hidden="1">
      <c r="A712" s="1" t="s">
        <v>1140</v>
      </c>
      <c r="B712" s="3" t="s">
        <v>1788</v>
      </c>
      <c r="C712" s="1" t="s">
        <v>1569</v>
      </c>
      <c r="D712" s="1" t="s">
        <v>979</v>
      </c>
      <c r="E712" s="1" t="s">
        <v>979</v>
      </c>
      <c r="F712" s="1"/>
      <c r="G712" s="1"/>
      <c r="H712" s="1" t="s">
        <v>979</v>
      </c>
      <c r="I712" s="1" t="s">
        <v>622</v>
      </c>
      <c r="J712" s="4">
        <v>42675.0</v>
      </c>
      <c r="K712" s="1">
        <v>1000.0</v>
      </c>
      <c r="L712" s="1">
        <v>500.0</v>
      </c>
      <c r="M712" s="1">
        <v>82.0</v>
      </c>
    </row>
    <row r="713">
      <c r="A713" s="1" t="s">
        <v>1142</v>
      </c>
      <c r="B713" s="3" t="s">
        <v>1143</v>
      </c>
      <c r="C713" s="1" t="s">
        <v>16</v>
      </c>
      <c r="D713" s="1" t="s">
        <v>979</v>
      </c>
      <c r="E713" s="1" t="s">
        <v>979</v>
      </c>
      <c r="F713" s="1" t="str">
        <f>IFERROR(__xludf.DUMMYFUNCTION("SPLIT(E713,""&gt;"")"),"Force of Will")</f>
        <v>Force of Will</v>
      </c>
      <c r="G713" s="1"/>
      <c r="H713" s="1" t="s">
        <v>979</v>
      </c>
      <c r="I713" s="1" t="s">
        <v>622</v>
      </c>
      <c r="J713" s="4">
        <v>42675.0</v>
      </c>
      <c r="K713" s="1">
        <v>1000.0</v>
      </c>
      <c r="L713" s="1">
        <v>500.0</v>
      </c>
      <c r="M713" s="1">
        <v>83.0</v>
      </c>
    </row>
    <row r="714" hidden="1">
      <c r="A714" s="1" t="s">
        <v>1142</v>
      </c>
      <c r="B714" s="3" t="s">
        <v>1789</v>
      </c>
      <c r="C714" s="1" t="s">
        <v>1569</v>
      </c>
      <c r="D714" s="1" t="s">
        <v>979</v>
      </c>
      <c r="E714" s="1" t="s">
        <v>979</v>
      </c>
      <c r="F714" s="1"/>
      <c r="G714" s="1"/>
      <c r="H714" s="1" t="s">
        <v>979</v>
      </c>
      <c r="I714" s="1" t="s">
        <v>622</v>
      </c>
      <c r="J714" s="4">
        <v>42675.0</v>
      </c>
      <c r="K714" s="1">
        <v>1000.0</v>
      </c>
      <c r="L714" s="1">
        <v>500.0</v>
      </c>
      <c r="M714" s="1">
        <v>83.0</v>
      </c>
    </row>
    <row r="715">
      <c r="A715" s="1" t="s">
        <v>1144</v>
      </c>
      <c r="B715" s="3" t="s">
        <v>1145</v>
      </c>
      <c r="C715" s="1" t="s">
        <v>16</v>
      </c>
      <c r="D715" s="1" t="s">
        <v>979</v>
      </c>
      <c r="E715" s="1" t="s">
        <v>979</v>
      </c>
      <c r="F715" s="1" t="str">
        <f>IFERROR(__xludf.DUMMYFUNCTION("SPLIT(E715,""&gt;"")"),"Force of Will")</f>
        <v>Force of Will</v>
      </c>
      <c r="G715" s="1"/>
      <c r="H715" s="1" t="s">
        <v>979</v>
      </c>
      <c r="I715" s="1" t="s">
        <v>622</v>
      </c>
      <c r="J715" s="4">
        <v>42675.0</v>
      </c>
      <c r="K715" s="1">
        <v>1000.0</v>
      </c>
      <c r="L715" s="1">
        <v>500.0</v>
      </c>
      <c r="M715" s="1">
        <v>84.0</v>
      </c>
    </row>
    <row r="716" hidden="1">
      <c r="A716" s="1" t="s">
        <v>1144</v>
      </c>
      <c r="B716" s="3" t="s">
        <v>1790</v>
      </c>
      <c r="C716" s="1" t="s">
        <v>1569</v>
      </c>
      <c r="D716" s="1" t="s">
        <v>979</v>
      </c>
      <c r="E716" s="1" t="s">
        <v>979</v>
      </c>
      <c r="F716" s="1"/>
      <c r="G716" s="1"/>
      <c r="H716" s="1" t="s">
        <v>979</v>
      </c>
      <c r="I716" s="1" t="s">
        <v>622</v>
      </c>
      <c r="J716" s="4">
        <v>42675.0</v>
      </c>
      <c r="K716" s="1">
        <v>1000.0</v>
      </c>
      <c r="L716" s="1">
        <v>500.0</v>
      </c>
      <c r="M716" s="1">
        <v>84.0</v>
      </c>
    </row>
    <row r="717">
      <c r="A717" s="1" t="s">
        <v>1146</v>
      </c>
      <c r="B717" s="3" t="s">
        <v>1147</v>
      </c>
      <c r="C717" s="1" t="s">
        <v>16</v>
      </c>
      <c r="D717" s="1" t="s">
        <v>979</v>
      </c>
      <c r="E717" s="1" t="s">
        <v>979</v>
      </c>
      <c r="F717" s="1" t="str">
        <f>IFERROR(__xludf.DUMMYFUNCTION("SPLIT(E717,""&gt;"")"),"Force of Will")</f>
        <v>Force of Will</v>
      </c>
      <c r="G717" s="1"/>
      <c r="H717" s="1" t="s">
        <v>979</v>
      </c>
      <c r="I717" s="1" t="s">
        <v>622</v>
      </c>
      <c r="J717" s="4">
        <v>42675.0</v>
      </c>
      <c r="K717" s="1">
        <v>1000.0</v>
      </c>
      <c r="L717" s="1">
        <v>500.0</v>
      </c>
      <c r="M717" s="1">
        <v>85.0</v>
      </c>
    </row>
    <row r="718" hidden="1">
      <c r="A718" s="1" t="s">
        <v>1146</v>
      </c>
      <c r="B718" s="3" t="s">
        <v>1791</v>
      </c>
      <c r="C718" s="1" t="s">
        <v>1569</v>
      </c>
      <c r="D718" s="1" t="s">
        <v>979</v>
      </c>
      <c r="E718" s="1" t="s">
        <v>979</v>
      </c>
      <c r="F718" s="1"/>
      <c r="G718" s="1"/>
      <c r="H718" s="1" t="s">
        <v>979</v>
      </c>
      <c r="I718" s="1" t="s">
        <v>622</v>
      </c>
      <c r="J718" s="4">
        <v>42675.0</v>
      </c>
      <c r="K718" s="1">
        <v>1000.0</v>
      </c>
      <c r="L718" s="1">
        <v>500.0</v>
      </c>
      <c r="M718" s="1">
        <v>85.0</v>
      </c>
    </row>
    <row r="719">
      <c r="A719" s="1" t="s">
        <v>1148</v>
      </c>
      <c r="B719" s="3" t="s">
        <v>1149</v>
      </c>
      <c r="C719" s="1" t="s">
        <v>16</v>
      </c>
      <c r="D719" s="1" t="s">
        <v>979</v>
      </c>
      <c r="E719" s="1" t="s">
        <v>979</v>
      </c>
      <c r="F719" s="1" t="str">
        <f>IFERROR(__xludf.DUMMYFUNCTION("SPLIT(E719,""&gt;"")"),"Force of Will")</f>
        <v>Force of Will</v>
      </c>
      <c r="G719" s="1"/>
      <c r="H719" s="1" t="s">
        <v>979</v>
      </c>
      <c r="I719" s="1" t="s">
        <v>622</v>
      </c>
      <c r="J719" s="4">
        <v>42675.0</v>
      </c>
      <c r="K719" s="1">
        <v>1000.0</v>
      </c>
      <c r="L719" s="1">
        <v>500.0</v>
      </c>
      <c r="M719" s="1">
        <v>86.0</v>
      </c>
    </row>
    <row r="720" hidden="1">
      <c r="A720" s="1" t="s">
        <v>1148</v>
      </c>
      <c r="B720" s="3" t="s">
        <v>1792</v>
      </c>
      <c r="C720" s="1" t="s">
        <v>1569</v>
      </c>
      <c r="D720" s="1" t="s">
        <v>979</v>
      </c>
      <c r="E720" s="1" t="s">
        <v>979</v>
      </c>
      <c r="F720" s="1"/>
      <c r="G720" s="1"/>
      <c r="H720" s="1" t="s">
        <v>979</v>
      </c>
      <c r="I720" s="1" t="s">
        <v>622</v>
      </c>
      <c r="J720" s="4">
        <v>42675.0</v>
      </c>
      <c r="K720" s="1">
        <v>1000.0</v>
      </c>
      <c r="L720" s="1">
        <v>500.0</v>
      </c>
      <c r="M720" s="1">
        <v>86.0</v>
      </c>
    </row>
    <row r="721">
      <c r="A721" s="1" t="s">
        <v>1150</v>
      </c>
      <c r="B721" s="3" t="s">
        <v>1151</v>
      </c>
      <c r="C721" s="1" t="s">
        <v>16</v>
      </c>
      <c r="D721" s="1" t="s">
        <v>979</v>
      </c>
      <c r="E721" s="1" t="s">
        <v>979</v>
      </c>
      <c r="F721" s="1" t="str">
        <f>IFERROR(__xludf.DUMMYFUNCTION("SPLIT(E721,""&gt;"")"),"Force of Will")</f>
        <v>Force of Will</v>
      </c>
      <c r="G721" s="1"/>
      <c r="H721" s="1" t="s">
        <v>979</v>
      </c>
      <c r="I721" s="1" t="s">
        <v>622</v>
      </c>
      <c r="J721" s="4">
        <v>42675.0</v>
      </c>
      <c r="K721" s="1">
        <v>1000.0</v>
      </c>
      <c r="L721" s="1">
        <v>500.0</v>
      </c>
      <c r="M721" s="1">
        <v>87.0</v>
      </c>
    </row>
    <row r="722" hidden="1">
      <c r="A722" s="1" t="s">
        <v>1150</v>
      </c>
      <c r="B722" s="3" t="s">
        <v>1793</v>
      </c>
      <c r="C722" s="1" t="s">
        <v>1569</v>
      </c>
      <c r="D722" s="1" t="s">
        <v>979</v>
      </c>
      <c r="E722" s="1" t="s">
        <v>979</v>
      </c>
      <c r="F722" s="1"/>
      <c r="G722" s="1"/>
      <c r="H722" s="1" t="s">
        <v>979</v>
      </c>
      <c r="I722" s="1" t="s">
        <v>622</v>
      </c>
      <c r="J722" s="4">
        <v>42675.0</v>
      </c>
      <c r="K722" s="1">
        <v>1000.0</v>
      </c>
      <c r="L722" s="1">
        <v>500.0</v>
      </c>
      <c r="M722" s="1">
        <v>87.0</v>
      </c>
    </row>
    <row r="723">
      <c r="A723" s="1" t="s">
        <v>1152</v>
      </c>
      <c r="B723" s="3" t="s">
        <v>1153</v>
      </c>
      <c r="C723" s="1" t="s">
        <v>16</v>
      </c>
      <c r="D723" s="1" t="s">
        <v>979</v>
      </c>
      <c r="E723" s="1" t="s">
        <v>979</v>
      </c>
      <c r="F723" s="1" t="str">
        <f>IFERROR(__xludf.DUMMYFUNCTION("SPLIT(E723,""&gt;"")"),"Force of Will")</f>
        <v>Force of Will</v>
      </c>
      <c r="G723" s="1"/>
      <c r="H723" s="1" t="s">
        <v>979</v>
      </c>
      <c r="I723" s="1" t="s">
        <v>622</v>
      </c>
      <c r="J723" s="4">
        <v>42675.0</v>
      </c>
      <c r="K723" s="1">
        <v>1000.0</v>
      </c>
      <c r="L723" s="1">
        <v>500.0</v>
      </c>
      <c r="M723" s="1">
        <v>88.0</v>
      </c>
    </row>
    <row r="724" hidden="1">
      <c r="A724" s="1" t="s">
        <v>1152</v>
      </c>
      <c r="B724" s="3" t="s">
        <v>1794</v>
      </c>
      <c r="C724" s="1" t="s">
        <v>1569</v>
      </c>
      <c r="D724" s="1" t="s">
        <v>979</v>
      </c>
      <c r="E724" s="1" t="s">
        <v>979</v>
      </c>
      <c r="F724" s="1"/>
      <c r="G724" s="1"/>
      <c r="H724" s="1" t="s">
        <v>979</v>
      </c>
      <c r="I724" s="1" t="s">
        <v>622</v>
      </c>
      <c r="J724" s="4">
        <v>42675.0</v>
      </c>
      <c r="K724" s="1">
        <v>1000.0</v>
      </c>
      <c r="L724" s="1">
        <v>500.0</v>
      </c>
      <c r="M724" s="1">
        <v>88.0</v>
      </c>
    </row>
    <row r="725">
      <c r="A725" s="1" t="s">
        <v>1154</v>
      </c>
      <c r="B725" s="3" t="s">
        <v>1155</v>
      </c>
      <c r="C725" s="1" t="s">
        <v>16</v>
      </c>
      <c r="D725" s="1" t="s">
        <v>979</v>
      </c>
      <c r="E725" s="1" t="s">
        <v>979</v>
      </c>
      <c r="F725" s="1" t="str">
        <f>IFERROR(__xludf.DUMMYFUNCTION("SPLIT(E725,""&gt;"")"),"Force of Will")</f>
        <v>Force of Will</v>
      </c>
      <c r="G725" s="1"/>
      <c r="H725" s="1" t="s">
        <v>979</v>
      </c>
      <c r="I725" s="1" t="s">
        <v>622</v>
      </c>
      <c r="J725" s="4">
        <v>42675.0</v>
      </c>
      <c r="K725" s="1">
        <v>1000.0</v>
      </c>
      <c r="L725" s="1">
        <v>500.0</v>
      </c>
      <c r="M725" s="1">
        <v>89.0</v>
      </c>
    </row>
    <row r="726" hidden="1">
      <c r="A726" s="1" t="s">
        <v>1154</v>
      </c>
      <c r="B726" s="3" t="s">
        <v>1795</v>
      </c>
      <c r="C726" s="1" t="s">
        <v>1569</v>
      </c>
      <c r="D726" s="1" t="s">
        <v>979</v>
      </c>
      <c r="E726" s="1" t="s">
        <v>979</v>
      </c>
      <c r="F726" s="1"/>
      <c r="G726" s="1"/>
      <c r="H726" s="1" t="s">
        <v>979</v>
      </c>
      <c r="I726" s="1" t="s">
        <v>622</v>
      </c>
      <c r="J726" s="4">
        <v>42675.0</v>
      </c>
      <c r="K726" s="1">
        <v>1000.0</v>
      </c>
      <c r="L726" s="1">
        <v>500.0</v>
      </c>
      <c r="M726" s="1">
        <v>89.0</v>
      </c>
    </row>
    <row r="727">
      <c r="A727" s="1" t="s">
        <v>1156</v>
      </c>
      <c r="B727" s="3" t="s">
        <v>1157</v>
      </c>
      <c r="C727" s="1" t="s">
        <v>16</v>
      </c>
      <c r="D727" s="1" t="s">
        <v>979</v>
      </c>
      <c r="E727" s="1" t="s">
        <v>979</v>
      </c>
      <c r="F727" s="1" t="str">
        <f>IFERROR(__xludf.DUMMYFUNCTION("SPLIT(E727,""&gt;"")"),"Force of Will")</f>
        <v>Force of Will</v>
      </c>
      <c r="G727" s="1"/>
      <c r="H727" s="1" t="s">
        <v>979</v>
      </c>
      <c r="I727" s="1" t="s">
        <v>622</v>
      </c>
      <c r="J727" s="4">
        <v>42675.0</v>
      </c>
      <c r="K727" s="1">
        <v>1000.0</v>
      </c>
      <c r="L727" s="1">
        <v>500.0</v>
      </c>
      <c r="M727" s="1">
        <v>90.0</v>
      </c>
    </row>
    <row r="728" hidden="1">
      <c r="A728" s="1" t="s">
        <v>1156</v>
      </c>
      <c r="B728" s="3" t="s">
        <v>1796</v>
      </c>
      <c r="C728" s="1" t="s">
        <v>1569</v>
      </c>
      <c r="D728" s="1" t="s">
        <v>979</v>
      </c>
      <c r="E728" s="1" t="s">
        <v>979</v>
      </c>
      <c r="F728" s="1"/>
      <c r="G728" s="1"/>
      <c r="H728" s="1" t="s">
        <v>979</v>
      </c>
      <c r="I728" s="1" t="s">
        <v>622</v>
      </c>
      <c r="J728" s="4">
        <v>42675.0</v>
      </c>
      <c r="K728" s="1">
        <v>1000.0</v>
      </c>
      <c r="L728" s="1">
        <v>500.0</v>
      </c>
      <c r="M728" s="1">
        <v>90.0</v>
      </c>
    </row>
    <row r="729">
      <c r="A729" s="1" t="s">
        <v>1158</v>
      </c>
      <c r="B729" s="3" t="s">
        <v>1159</v>
      </c>
      <c r="C729" s="1" t="s">
        <v>16</v>
      </c>
      <c r="D729" s="1" t="s">
        <v>979</v>
      </c>
      <c r="E729" s="1" t="s">
        <v>979</v>
      </c>
      <c r="F729" s="1" t="str">
        <f>IFERROR(__xludf.DUMMYFUNCTION("SPLIT(E729,""&gt;"")"),"Force of Will")</f>
        <v>Force of Will</v>
      </c>
      <c r="G729" s="1"/>
      <c r="H729" s="1" t="s">
        <v>979</v>
      </c>
      <c r="I729" s="1" t="s">
        <v>622</v>
      </c>
      <c r="J729" s="4">
        <v>42675.0</v>
      </c>
      <c r="K729" s="1">
        <v>1000.0</v>
      </c>
      <c r="L729" s="1">
        <v>500.0</v>
      </c>
      <c r="M729" s="1">
        <v>91.0</v>
      </c>
    </row>
    <row r="730" hidden="1">
      <c r="A730" s="1" t="s">
        <v>1158</v>
      </c>
      <c r="B730" s="3" t="s">
        <v>1797</v>
      </c>
      <c r="C730" s="1" t="s">
        <v>1569</v>
      </c>
      <c r="D730" s="1" t="s">
        <v>979</v>
      </c>
      <c r="E730" s="1" t="s">
        <v>979</v>
      </c>
      <c r="F730" s="1"/>
      <c r="G730" s="1"/>
      <c r="H730" s="1" t="s">
        <v>979</v>
      </c>
      <c r="I730" s="1" t="s">
        <v>622</v>
      </c>
      <c r="J730" s="4">
        <v>42675.0</v>
      </c>
      <c r="K730" s="1">
        <v>1000.0</v>
      </c>
      <c r="L730" s="1">
        <v>500.0</v>
      </c>
      <c r="M730" s="1">
        <v>91.0</v>
      </c>
    </row>
    <row r="731">
      <c r="A731" s="1" t="s">
        <v>1160</v>
      </c>
      <c r="B731" s="3" t="s">
        <v>1161</v>
      </c>
      <c r="C731" s="1" t="s">
        <v>16</v>
      </c>
      <c r="D731" s="1" t="s">
        <v>979</v>
      </c>
      <c r="E731" s="1" t="s">
        <v>979</v>
      </c>
      <c r="F731" s="1" t="str">
        <f>IFERROR(__xludf.DUMMYFUNCTION("SPLIT(E731,""&gt;"")"),"Force of Will")</f>
        <v>Force of Will</v>
      </c>
      <c r="G731" s="1"/>
      <c r="H731" s="1" t="s">
        <v>979</v>
      </c>
      <c r="I731" s="1" t="s">
        <v>622</v>
      </c>
      <c r="J731" s="4">
        <v>42675.0</v>
      </c>
      <c r="K731" s="1">
        <v>1000.0</v>
      </c>
      <c r="L731" s="1">
        <v>500.0</v>
      </c>
      <c r="M731" s="1">
        <v>92.0</v>
      </c>
    </row>
    <row r="732" hidden="1">
      <c r="A732" s="1" t="s">
        <v>1160</v>
      </c>
      <c r="B732" s="3" t="s">
        <v>1798</v>
      </c>
      <c r="C732" s="1" t="s">
        <v>1569</v>
      </c>
      <c r="D732" s="1" t="s">
        <v>979</v>
      </c>
      <c r="E732" s="1" t="s">
        <v>979</v>
      </c>
      <c r="F732" s="1"/>
      <c r="G732" s="1"/>
      <c r="H732" s="1" t="s">
        <v>979</v>
      </c>
      <c r="I732" s="1" t="s">
        <v>622</v>
      </c>
      <c r="J732" s="4">
        <v>42675.0</v>
      </c>
      <c r="K732" s="1">
        <v>1000.0</v>
      </c>
      <c r="L732" s="1">
        <v>500.0</v>
      </c>
      <c r="M732" s="1">
        <v>92.0</v>
      </c>
    </row>
    <row r="733">
      <c r="A733" s="1" t="s">
        <v>1162</v>
      </c>
      <c r="B733" s="3" t="s">
        <v>1163</v>
      </c>
      <c r="C733" s="1" t="s">
        <v>16</v>
      </c>
      <c r="D733" s="1" t="s">
        <v>979</v>
      </c>
      <c r="E733" s="1" t="s">
        <v>979</v>
      </c>
      <c r="F733" s="1" t="str">
        <f>IFERROR(__xludf.DUMMYFUNCTION("SPLIT(E733,""&gt;"")"),"Force of Will")</f>
        <v>Force of Will</v>
      </c>
      <c r="G733" s="1"/>
      <c r="H733" s="1" t="s">
        <v>979</v>
      </c>
      <c r="I733" s="1" t="s">
        <v>622</v>
      </c>
      <c r="J733" s="4">
        <v>42675.0</v>
      </c>
      <c r="K733" s="1">
        <v>1000.0</v>
      </c>
      <c r="L733" s="1">
        <v>500.0</v>
      </c>
      <c r="M733" s="1">
        <v>93.0</v>
      </c>
    </row>
    <row r="734" hidden="1">
      <c r="A734" s="1" t="s">
        <v>1162</v>
      </c>
      <c r="B734" s="3" t="s">
        <v>1799</v>
      </c>
      <c r="C734" s="1" t="s">
        <v>1569</v>
      </c>
      <c r="D734" s="1" t="s">
        <v>979</v>
      </c>
      <c r="E734" s="1" t="s">
        <v>979</v>
      </c>
      <c r="F734" s="1"/>
      <c r="G734" s="1"/>
      <c r="H734" s="1" t="s">
        <v>979</v>
      </c>
      <c r="I734" s="1" t="s">
        <v>622</v>
      </c>
      <c r="J734" s="4">
        <v>42675.0</v>
      </c>
      <c r="K734" s="1">
        <v>1000.0</v>
      </c>
      <c r="L734" s="1">
        <v>500.0</v>
      </c>
      <c r="M734" s="1">
        <v>93.0</v>
      </c>
    </row>
    <row r="735">
      <c r="A735" s="1" t="s">
        <v>1164</v>
      </c>
      <c r="B735" s="3" t="s">
        <v>1165</v>
      </c>
      <c r="C735" s="1" t="s">
        <v>16</v>
      </c>
      <c r="D735" s="1" t="s">
        <v>979</v>
      </c>
      <c r="E735" s="1" t="s">
        <v>979</v>
      </c>
      <c r="F735" s="1" t="str">
        <f>IFERROR(__xludf.DUMMYFUNCTION("SPLIT(E735,""&gt;"")"),"Force of Will")</f>
        <v>Force of Will</v>
      </c>
      <c r="G735" s="1"/>
      <c r="H735" s="1" t="s">
        <v>979</v>
      </c>
      <c r="I735" s="1" t="s">
        <v>622</v>
      </c>
      <c r="J735" s="4">
        <v>42675.0</v>
      </c>
      <c r="K735" s="1">
        <v>1000.0</v>
      </c>
      <c r="L735" s="1">
        <v>500.0</v>
      </c>
      <c r="M735" s="1">
        <v>94.0</v>
      </c>
    </row>
    <row r="736" hidden="1">
      <c r="A736" s="1" t="s">
        <v>1164</v>
      </c>
      <c r="B736" s="3" t="s">
        <v>1800</v>
      </c>
      <c r="C736" s="1" t="s">
        <v>1569</v>
      </c>
      <c r="D736" s="1" t="s">
        <v>979</v>
      </c>
      <c r="E736" s="1" t="s">
        <v>979</v>
      </c>
      <c r="F736" s="1"/>
      <c r="G736" s="1"/>
      <c r="H736" s="1" t="s">
        <v>979</v>
      </c>
      <c r="I736" s="1" t="s">
        <v>622</v>
      </c>
      <c r="J736" s="4">
        <v>42675.0</v>
      </c>
      <c r="K736" s="1">
        <v>1000.0</v>
      </c>
      <c r="L736" s="1">
        <v>500.0</v>
      </c>
      <c r="M736" s="1">
        <v>94.0</v>
      </c>
    </row>
    <row r="737">
      <c r="A737" s="1" t="s">
        <v>1166</v>
      </c>
      <c r="B737" s="3" t="s">
        <v>1167</v>
      </c>
      <c r="C737" s="1" t="s">
        <v>16</v>
      </c>
      <c r="D737" s="1" t="s">
        <v>979</v>
      </c>
      <c r="E737" s="1" t="s">
        <v>979</v>
      </c>
      <c r="F737" s="1" t="str">
        <f>IFERROR(__xludf.DUMMYFUNCTION("SPLIT(E737,""&gt;"")"),"Force of Will")</f>
        <v>Force of Will</v>
      </c>
      <c r="G737" s="1"/>
      <c r="H737" s="1" t="s">
        <v>979</v>
      </c>
      <c r="I737" s="1" t="s">
        <v>622</v>
      </c>
      <c r="J737" s="4">
        <v>42675.0</v>
      </c>
      <c r="K737" s="1">
        <v>1000.0</v>
      </c>
      <c r="L737" s="1">
        <v>500.0</v>
      </c>
      <c r="M737" s="1">
        <v>95.0</v>
      </c>
    </row>
    <row r="738" hidden="1">
      <c r="A738" s="1" t="s">
        <v>1166</v>
      </c>
      <c r="B738" s="3" t="s">
        <v>1801</v>
      </c>
      <c r="C738" s="1" t="s">
        <v>1569</v>
      </c>
      <c r="D738" s="1" t="s">
        <v>979</v>
      </c>
      <c r="E738" s="1" t="s">
        <v>979</v>
      </c>
      <c r="F738" s="1"/>
      <c r="G738" s="1"/>
      <c r="H738" s="1" t="s">
        <v>979</v>
      </c>
      <c r="I738" s="1" t="s">
        <v>622</v>
      </c>
      <c r="J738" s="4">
        <v>42675.0</v>
      </c>
      <c r="K738" s="1">
        <v>1000.0</v>
      </c>
      <c r="L738" s="1">
        <v>500.0</v>
      </c>
      <c r="M738" s="1">
        <v>95.0</v>
      </c>
    </row>
    <row r="739">
      <c r="A739" s="1" t="s">
        <v>1168</v>
      </c>
      <c r="B739" s="3" t="s">
        <v>1169</v>
      </c>
      <c r="C739" s="1" t="s">
        <v>16</v>
      </c>
      <c r="D739" s="1" t="s">
        <v>979</v>
      </c>
      <c r="E739" s="1" t="s">
        <v>979</v>
      </c>
      <c r="F739" s="1" t="str">
        <f>IFERROR(__xludf.DUMMYFUNCTION("SPLIT(E739,""&gt;"")"),"Force of Will")</f>
        <v>Force of Will</v>
      </c>
      <c r="G739" s="1"/>
      <c r="H739" s="1" t="s">
        <v>979</v>
      </c>
      <c r="I739" s="1" t="s">
        <v>622</v>
      </c>
      <c r="J739" s="4">
        <v>42675.0</v>
      </c>
      <c r="K739" s="1">
        <v>1000.0</v>
      </c>
      <c r="L739" s="1">
        <v>500.0</v>
      </c>
      <c r="M739" s="1">
        <v>96.0</v>
      </c>
    </row>
    <row r="740" hidden="1">
      <c r="A740" s="1" t="s">
        <v>1168</v>
      </c>
      <c r="B740" s="3" t="s">
        <v>1802</v>
      </c>
      <c r="C740" s="1" t="s">
        <v>1569</v>
      </c>
      <c r="D740" s="1" t="s">
        <v>979</v>
      </c>
      <c r="E740" s="1" t="s">
        <v>979</v>
      </c>
      <c r="F740" s="1"/>
      <c r="G740" s="1"/>
      <c r="H740" s="1" t="s">
        <v>979</v>
      </c>
      <c r="I740" s="1" t="s">
        <v>622</v>
      </c>
      <c r="J740" s="4">
        <v>42675.0</v>
      </c>
      <c r="K740" s="1">
        <v>1000.0</v>
      </c>
      <c r="L740" s="1">
        <v>500.0</v>
      </c>
      <c r="M740" s="1">
        <v>96.0</v>
      </c>
    </row>
    <row r="741">
      <c r="A741" s="1" t="s">
        <v>1170</v>
      </c>
      <c r="B741" s="3" t="s">
        <v>1171</v>
      </c>
      <c r="C741" s="1" t="s">
        <v>16</v>
      </c>
      <c r="D741" s="1" t="s">
        <v>979</v>
      </c>
      <c r="E741" s="1" t="s">
        <v>979</v>
      </c>
      <c r="F741" s="1" t="str">
        <f>IFERROR(__xludf.DUMMYFUNCTION("SPLIT(E741,""&gt;"")"),"Force of Will")</f>
        <v>Force of Will</v>
      </c>
      <c r="G741" s="1"/>
      <c r="H741" s="1" t="s">
        <v>979</v>
      </c>
      <c r="I741" s="1" t="s">
        <v>622</v>
      </c>
      <c r="J741" s="4">
        <v>42675.0</v>
      </c>
      <c r="K741" s="1">
        <v>1000.0</v>
      </c>
      <c r="L741" s="1">
        <v>500.0</v>
      </c>
      <c r="M741" s="1">
        <v>97.0</v>
      </c>
    </row>
    <row r="742" hidden="1">
      <c r="A742" s="1" t="s">
        <v>1170</v>
      </c>
      <c r="B742" s="3" t="s">
        <v>1803</v>
      </c>
      <c r="C742" s="1" t="s">
        <v>1569</v>
      </c>
      <c r="D742" s="1" t="s">
        <v>979</v>
      </c>
      <c r="E742" s="1" t="s">
        <v>979</v>
      </c>
      <c r="F742" s="1"/>
      <c r="G742" s="1"/>
      <c r="H742" s="1" t="s">
        <v>979</v>
      </c>
      <c r="I742" s="1" t="s">
        <v>622</v>
      </c>
      <c r="J742" s="4">
        <v>42675.0</v>
      </c>
      <c r="K742" s="1">
        <v>1000.0</v>
      </c>
      <c r="L742" s="1">
        <v>500.0</v>
      </c>
      <c r="M742" s="1">
        <v>97.0</v>
      </c>
    </row>
    <row r="743">
      <c r="A743" s="1" t="s">
        <v>1172</v>
      </c>
      <c r="B743" s="3" t="s">
        <v>1173</v>
      </c>
      <c r="C743" s="1" t="s">
        <v>16</v>
      </c>
      <c r="D743" s="1" t="s">
        <v>979</v>
      </c>
      <c r="E743" s="1" t="s">
        <v>979</v>
      </c>
      <c r="F743" s="1" t="str">
        <f>IFERROR(__xludf.DUMMYFUNCTION("SPLIT(E743,""&gt;"")"),"Force of Will")</f>
        <v>Force of Will</v>
      </c>
      <c r="G743" s="1"/>
      <c r="H743" s="1" t="s">
        <v>979</v>
      </c>
      <c r="I743" s="1" t="s">
        <v>622</v>
      </c>
      <c r="J743" s="4">
        <v>42675.0</v>
      </c>
      <c r="K743" s="1">
        <v>1000.0</v>
      </c>
      <c r="L743" s="1">
        <v>500.0</v>
      </c>
      <c r="M743" s="1">
        <v>98.0</v>
      </c>
    </row>
    <row r="744" hidden="1">
      <c r="A744" s="1" t="s">
        <v>1172</v>
      </c>
      <c r="B744" s="3" t="s">
        <v>1804</v>
      </c>
      <c r="C744" s="1" t="s">
        <v>1569</v>
      </c>
      <c r="D744" s="1" t="s">
        <v>979</v>
      </c>
      <c r="E744" s="1" t="s">
        <v>979</v>
      </c>
      <c r="F744" s="1"/>
      <c r="G744" s="1"/>
      <c r="H744" s="1" t="s">
        <v>979</v>
      </c>
      <c r="I744" s="1" t="s">
        <v>622</v>
      </c>
      <c r="J744" s="4">
        <v>42675.0</v>
      </c>
      <c r="K744" s="1">
        <v>1000.0</v>
      </c>
      <c r="L744" s="1">
        <v>500.0</v>
      </c>
      <c r="M744" s="1">
        <v>98.0</v>
      </c>
    </row>
    <row r="745">
      <c r="A745" s="1" t="s">
        <v>1174</v>
      </c>
      <c r="B745" s="3" t="s">
        <v>1175</v>
      </c>
      <c r="C745" s="1" t="s">
        <v>16</v>
      </c>
      <c r="D745" s="1" t="s">
        <v>979</v>
      </c>
      <c r="E745" s="1" t="s">
        <v>979</v>
      </c>
      <c r="F745" s="1" t="str">
        <f>IFERROR(__xludf.DUMMYFUNCTION("SPLIT(E745,""&gt;"")"),"Force of Will")</f>
        <v>Force of Will</v>
      </c>
      <c r="G745" s="1"/>
      <c r="H745" s="1" t="s">
        <v>979</v>
      </c>
      <c r="I745" s="1" t="s">
        <v>622</v>
      </c>
      <c r="J745" s="4">
        <v>42675.0</v>
      </c>
      <c r="K745" s="1">
        <v>1000.0</v>
      </c>
      <c r="L745" s="1">
        <v>500.0</v>
      </c>
      <c r="M745" s="1">
        <v>99.0</v>
      </c>
    </row>
    <row r="746" hidden="1">
      <c r="A746" s="1" t="s">
        <v>1174</v>
      </c>
      <c r="B746" s="3" t="s">
        <v>1805</v>
      </c>
      <c r="C746" s="1" t="s">
        <v>1569</v>
      </c>
      <c r="D746" s="1" t="s">
        <v>979</v>
      </c>
      <c r="E746" s="1" t="s">
        <v>979</v>
      </c>
      <c r="F746" s="1"/>
      <c r="G746" s="1"/>
      <c r="H746" s="1" t="s">
        <v>979</v>
      </c>
      <c r="I746" s="1" t="s">
        <v>622</v>
      </c>
      <c r="J746" s="4">
        <v>42675.0</v>
      </c>
      <c r="K746" s="1">
        <v>1000.0</v>
      </c>
      <c r="L746" s="1">
        <v>500.0</v>
      </c>
      <c r="M746" s="1">
        <v>99.0</v>
      </c>
    </row>
    <row r="747">
      <c r="A747" s="1" t="s">
        <v>1176</v>
      </c>
      <c r="B747" s="3" t="s">
        <v>1177</v>
      </c>
      <c r="C747" s="1" t="s">
        <v>16</v>
      </c>
      <c r="D747" s="1" t="s">
        <v>979</v>
      </c>
      <c r="E747" s="1" t="s">
        <v>979</v>
      </c>
      <c r="F747" s="1" t="str">
        <f>IFERROR(__xludf.DUMMYFUNCTION("SPLIT(E747,""&gt;"")"),"Force of Will")</f>
        <v>Force of Will</v>
      </c>
      <c r="G747" s="1"/>
      <c r="H747" s="1" t="s">
        <v>979</v>
      </c>
      <c r="I747" s="1" t="s">
        <v>622</v>
      </c>
      <c r="J747" s="4">
        <v>42675.0</v>
      </c>
      <c r="K747" s="1">
        <v>1000.0</v>
      </c>
      <c r="L747" s="1">
        <v>500.0</v>
      </c>
      <c r="M747" s="1">
        <v>100.0</v>
      </c>
    </row>
    <row r="748" hidden="1">
      <c r="A748" s="1" t="s">
        <v>1176</v>
      </c>
      <c r="B748" s="3" t="s">
        <v>1806</v>
      </c>
      <c r="C748" s="1" t="s">
        <v>1569</v>
      </c>
      <c r="D748" s="1" t="s">
        <v>979</v>
      </c>
      <c r="E748" s="1" t="s">
        <v>979</v>
      </c>
      <c r="F748" s="1"/>
      <c r="G748" s="1"/>
      <c r="H748" s="1" t="s">
        <v>979</v>
      </c>
      <c r="I748" s="1" t="s">
        <v>622</v>
      </c>
      <c r="J748" s="4">
        <v>42675.0</v>
      </c>
      <c r="K748" s="1">
        <v>1000.0</v>
      </c>
      <c r="L748" s="1">
        <v>500.0</v>
      </c>
      <c r="M748" s="1">
        <v>100.0</v>
      </c>
    </row>
    <row r="749">
      <c r="A749" s="1" t="s">
        <v>1178</v>
      </c>
      <c r="B749" s="3" t="s">
        <v>1179</v>
      </c>
      <c r="C749" s="1" t="s">
        <v>16</v>
      </c>
      <c r="D749" s="1" t="s">
        <v>979</v>
      </c>
      <c r="E749" s="1" t="s">
        <v>979</v>
      </c>
      <c r="F749" s="1" t="str">
        <f>IFERROR(__xludf.DUMMYFUNCTION("SPLIT(E749,""&gt;"")"),"Force of Will")</f>
        <v>Force of Will</v>
      </c>
      <c r="G749" s="1"/>
      <c r="H749" s="1" t="s">
        <v>979</v>
      </c>
      <c r="I749" s="1" t="s">
        <v>622</v>
      </c>
      <c r="J749" s="4">
        <v>42675.0</v>
      </c>
      <c r="K749" s="1">
        <v>1000.0</v>
      </c>
      <c r="L749" s="1">
        <v>500.0</v>
      </c>
      <c r="M749" s="1">
        <v>101.0</v>
      </c>
    </row>
    <row r="750" hidden="1">
      <c r="A750" s="1" t="s">
        <v>1178</v>
      </c>
      <c r="B750" s="3" t="s">
        <v>1807</v>
      </c>
      <c r="C750" s="1" t="s">
        <v>1569</v>
      </c>
      <c r="D750" s="1" t="s">
        <v>979</v>
      </c>
      <c r="E750" s="1" t="s">
        <v>979</v>
      </c>
      <c r="F750" s="1"/>
      <c r="G750" s="1"/>
      <c r="H750" s="1" t="s">
        <v>979</v>
      </c>
      <c r="I750" s="1" t="s">
        <v>622</v>
      </c>
      <c r="J750" s="4">
        <v>42675.0</v>
      </c>
      <c r="K750" s="1">
        <v>1000.0</v>
      </c>
      <c r="L750" s="1">
        <v>500.0</v>
      </c>
      <c r="M750" s="1">
        <v>101.0</v>
      </c>
    </row>
    <row r="751">
      <c r="A751" s="1" t="s">
        <v>1180</v>
      </c>
      <c r="B751" s="3" t="s">
        <v>1181</v>
      </c>
      <c r="C751" s="1" t="s">
        <v>16</v>
      </c>
      <c r="D751" s="1" t="s">
        <v>979</v>
      </c>
      <c r="E751" s="1" t="s">
        <v>979</v>
      </c>
      <c r="F751" s="1" t="str">
        <f>IFERROR(__xludf.DUMMYFUNCTION("SPLIT(E751,""&gt;"")"),"Force of Will")</f>
        <v>Force of Will</v>
      </c>
      <c r="G751" s="1"/>
      <c r="H751" s="1" t="s">
        <v>979</v>
      </c>
      <c r="I751" s="1" t="s">
        <v>622</v>
      </c>
      <c r="J751" s="4">
        <v>42675.0</v>
      </c>
      <c r="K751" s="1">
        <v>1000.0</v>
      </c>
      <c r="L751" s="1">
        <v>500.0</v>
      </c>
      <c r="M751" s="1">
        <v>102.0</v>
      </c>
    </row>
    <row r="752" hidden="1">
      <c r="A752" s="1" t="s">
        <v>1180</v>
      </c>
      <c r="B752" s="3" t="s">
        <v>1808</v>
      </c>
      <c r="C752" s="1" t="s">
        <v>1569</v>
      </c>
      <c r="D752" s="1" t="s">
        <v>979</v>
      </c>
      <c r="E752" s="1" t="s">
        <v>979</v>
      </c>
      <c r="F752" s="1"/>
      <c r="G752" s="1"/>
      <c r="H752" s="1" t="s">
        <v>979</v>
      </c>
      <c r="I752" s="1" t="s">
        <v>622</v>
      </c>
      <c r="J752" s="4">
        <v>42675.0</v>
      </c>
      <c r="K752" s="1">
        <v>1000.0</v>
      </c>
      <c r="L752" s="1">
        <v>500.0</v>
      </c>
      <c r="M752" s="1">
        <v>102.0</v>
      </c>
    </row>
    <row r="753">
      <c r="A753" s="1" t="s">
        <v>1182</v>
      </c>
      <c r="B753" s="3" t="s">
        <v>1183</v>
      </c>
      <c r="C753" s="1" t="s">
        <v>16</v>
      </c>
      <c r="D753" s="1" t="s">
        <v>979</v>
      </c>
      <c r="E753" s="1" t="s">
        <v>979</v>
      </c>
      <c r="F753" s="1" t="str">
        <f>IFERROR(__xludf.DUMMYFUNCTION("SPLIT(E753,""&gt;"")"),"Force of Will")</f>
        <v>Force of Will</v>
      </c>
      <c r="G753" s="1"/>
      <c r="H753" s="1" t="s">
        <v>979</v>
      </c>
      <c r="I753" s="1" t="s">
        <v>622</v>
      </c>
      <c r="J753" s="4">
        <v>42675.0</v>
      </c>
      <c r="K753" s="1">
        <v>1000.0</v>
      </c>
      <c r="L753" s="1">
        <v>500.0</v>
      </c>
      <c r="M753" s="1">
        <v>103.0</v>
      </c>
    </row>
    <row r="754" hidden="1">
      <c r="A754" s="1" t="s">
        <v>1182</v>
      </c>
      <c r="B754" s="3" t="s">
        <v>1809</v>
      </c>
      <c r="C754" s="1" t="s">
        <v>1569</v>
      </c>
      <c r="D754" s="1" t="s">
        <v>979</v>
      </c>
      <c r="E754" s="1" t="s">
        <v>979</v>
      </c>
      <c r="F754" s="1"/>
      <c r="G754" s="1"/>
      <c r="H754" s="1" t="s">
        <v>979</v>
      </c>
      <c r="I754" s="1" t="s">
        <v>622</v>
      </c>
      <c r="J754" s="4">
        <v>42675.0</v>
      </c>
      <c r="K754" s="1">
        <v>1000.0</v>
      </c>
      <c r="L754" s="1">
        <v>500.0</v>
      </c>
      <c r="M754" s="1">
        <v>103.0</v>
      </c>
    </row>
    <row r="755">
      <c r="A755" s="1" t="s">
        <v>1184</v>
      </c>
      <c r="B755" s="3" t="s">
        <v>1185</v>
      </c>
      <c r="C755" s="1" t="s">
        <v>16</v>
      </c>
      <c r="D755" s="1" t="s">
        <v>979</v>
      </c>
      <c r="E755" s="1" t="s">
        <v>979</v>
      </c>
      <c r="F755" s="1" t="str">
        <f>IFERROR(__xludf.DUMMYFUNCTION("SPLIT(E755,""&gt;"")"),"Force of Will")</f>
        <v>Force of Will</v>
      </c>
      <c r="G755" s="1"/>
      <c r="H755" s="1" t="s">
        <v>979</v>
      </c>
      <c r="I755" s="1" t="s">
        <v>622</v>
      </c>
      <c r="J755" s="4">
        <v>42675.0</v>
      </c>
      <c r="K755" s="1">
        <v>1000.0</v>
      </c>
      <c r="L755" s="1">
        <v>500.0</v>
      </c>
      <c r="M755" s="1">
        <v>104.0</v>
      </c>
    </row>
    <row r="756" hidden="1">
      <c r="A756" s="1" t="s">
        <v>1184</v>
      </c>
      <c r="B756" s="3" t="s">
        <v>1810</v>
      </c>
      <c r="C756" s="1" t="s">
        <v>1569</v>
      </c>
      <c r="D756" s="1" t="s">
        <v>979</v>
      </c>
      <c r="E756" s="1" t="s">
        <v>979</v>
      </c>
      <c r="F756" s="1"/>
      <c r="G756" s="1"/>
      <c r="H756" s="1" t="s">
        <v>979</v>
      </c>
      <c r="I756" s="1" t="s">
        <v>622</v>
      </c>
      <c r="J756" s="4">
        <v>42675.0</v>
      </c>
      <c r="K756" s="1">
        <v>1000.0</v>
      </c>
      <c r="L756" s="1">
        <v>500.0</v>
      </c>
      <c r="M756" s="1">
        <v>104.0</v>
      </c>
    </row>
    <row r="757">
      <c r="A757" s="1" t="s">
        <v>1186</v>
      </c>
      <c r="B757" s="3" t="s">
        <v>1187</v>
      </c>
      <c r="C757" s="1" t="s">
        <v>16</v>
      </c>
      <c r="D757" s="1" t="s">
        <v>979</v>
      </c>
      <c r="E757" s="1" t="s">
        <v>979</v>
      </c>
      <c r="F757" s="1" t="str">
        <f>IFERROR(__xludf.DUMMYFUNCTION("SPLIT(E757,""&gt;"")"),"Force of Will")</f>
        <v>Force of Will</v>
      </c>
      <c r="G757" s="1"/>
      <c r="H757" s="1" t="s">
        <v>979</v>
      </c>
      <c r="I757" s="1" t="s">
        <v>622</v>
      </c>
      <c r="J757" s="4">
        <v>42675.0</v>
      </c>
      <c r="K757" s="1">
        <v>1000.0</v>
      </c>
      <c r="L757" s="1">
        <v>500.0</v>
      </c>
      <c r="M757" s="1">
        <v>105.0</v>
      </c>
    </row>
    <row r="758" hidden="1">
      <c r="A758" s="1" t="s">
        <v>1186</v>
      </c>
      <c r="B758" s="3" t="s">
        <v>1811</v>
      </c>
      <c r="C758" s="1" t="s">
        <v>1569</v>
      </c>
      <c r="D758" s="1" t="s">
        <v>979</v>
      </c>
      <c r="E758" s="1" t="s">
        <v>979</v>
      </c>
      <c r="F758" s="1"/>
      <c r="G758" s="1"/>
      <c r="H758" s="1" t="s">
        <v>979</v>
      </c>
      <c r="I758" s="1" t="s">
        <v>622</v>
      </c>
      <c r="J758" s="4">
        <v>42675.0</v>
      </c>
      <c r="K758" s="1">
        <v>1000.0</v>
      </c>
      <c r="L758" s="1">
        <v>500.0</v>
      </c>
      <c r="M758" s="1">
        <v>105.0</v>
      </c>
    </row>
    <row r="759">
      <c r="A759" s="1" t="s">
        <v>1188</v>
      </c>
      <c r="B759" s="3" t="s">
        <v>1189</v>
      </c>
      <c r="C759" s="1" t="s">
        <v>16</v>
      </c>
      <c r="D759" s="1" t="s">
        <v>979</v>
      </c>
      <c r="E759" s="1" t="s">
        <v>979</v>
      </c>
      <c r="F759" s="1" t="str">
        <f>IFERROR(__xludf.DUMMYFUNCTION("SPLIT(E759,""&gt;"")"),"Force of Will")</f>
        <v>Force of Will</v>
      </c>
      <c r="G759" s="1"/>
      <c r="H759" s="1" t="s">
        <v>979</v>
      </c>
      <c r="I759" s="1" t="s">
        <v>622</v>
      </c>
      <c r="J759" s="4">
        <v>42675.0</v>
      </c>
      <c r="K759" s="1">
        <v>1000.0</v>
      </c>
      <c r="L759" s="1">
        <v>500.0</v>
      </c>
      <c r="M759" s="1">
        <v>106.0</v>
      </c>
    </row>
    <row r="760" hidden="1">
      <c r="A760" s="1" t="s">
        <v>1188</v>
      </c>
      <c r="B760" s="3" t="s">
        <v>1812</v>
      </c>
      <c r="C760" s="1" t="s">
        <v>1569</v>
      </c>
      <c r="D760" s="1" t="s">
        <v>979</v>
      </c>
      <c r="E760" s="1" t="s">
        <v>979</v>
      </c>
      <c r="F760" s="1"/>
      <c r="G760" s="1"/>
      <c r="H760" s="1" t="s">
        <v>979</v>
      </c>
      <c r="I760" s="1" t="s">
        <v>622</v>
      </c>
      <c r="J760" s="4">
        <v>42675.0</v>
      </c>
      <c r="K760" s="1">
        <v>1000.0</v>
      </c>
      <c r="L760" s="1">
        <v>500.0</v>
      </c>
      <c r="M760" s="1">
        <v>106.0</v>
      </c>
    </row>
    <row r="761">
      <c r="A761" s="1" t="s">
        <v>1190</v>
      </c>
      <c r="B761" s="3" t="s">
        <v>1191</v>
      </c>
      <c r="C761" s="1" t="s">
        <v>16</v>
      </c>
      <c r="D761" s="1" t="s">
        <v>979</v>
      </c>
      <c r="E761" s="1" t="s">
        <v>979</v>
      </c>
      <c r="F761" s="1" t="str">
        <f>IFERROR(__xludf.DUMMYFUNCTION("SPLIT(E761,""&gt;"")"),"Force of Will")</f>
        <v>Force of Will</v>
      </c>
      <c r="G761" s="1"/>
      <c r="H761" s="1" t="s">
        <v>979</v>
      </c>
      <c r="I761" s="1" t="s">
        <v>622</v>
      </c>
      <c r="J761" s="4">
        <v>42675.0</v>
      </c>
      <c r="K761" s="1">
        <v>1000.0</v>
      </c>
      <c r="L761" s="1">
        <v>500.0</v>
      </c>
      <c r="M761" s="1">
        <v>107.0</v>
      </c>
    </row>
    <row r="762" hidden="1">
      <c r="A762" s="1" t="s">
        <v>1190</v>
      </c>
      <c r="B762" s="3" t="s">
        <v>1813</v>
      </c>
      <c r="C762" s="1" t="s">
        <v>1569</v>
      </c>
      <c r="D762" s="1" t="s">
        <v>979</v>
      </c>
      <c r="E762" s="1" t="s">
        <v>979</v>
      </c>
      <c r="F762" s="1"/>
      <c r="G762" s="1"/>
      <c r="H762" s="1" t="s">
        <v>979</v>
      </c>
      <c r="I762" s="1" t="s">
        <v>622</v>
      </c>
      <c r="J762" s="4">
        <v>42675.0</v>
      </c>
      <c r="K762" s="1">
        <v>1000.0</v>
      </c>
      <c r="L762" s="1">
        <v>500.0</v>
      </c>
      <c r="M762" s="1">
        <v>107.0</v>
      </c>
    </row>
    <row r="763">
      <c r="A763" s="1" t="s">
        <v>1192</v>
      </c>
      <c r="B763" s="3" t="s">
        <v>1193</v>
      </c>
      <c r="C763" s="1" t="s">
        <v>16</v>
      </c>
      <c r="D763" s="1" t="s">
        <v>979</v>
      </c>
      <c r="E763" s="1" t="s">
        <v>979</v>
      </c>
      <c r="F763" s="1" t="str">
        <f>IFERROR(__xludf.DUMMYFUNCTION("SPLIT(E763,""&gt;"")"),"Force of Will")</f>
        <v>Force of Will</v>
      </c>
      <c r="G763" s="1"/>
      <c r="H763" s="1" t="s">
        <v>979</v>
      </c>
      <c r="I763" s="1" t="s">
        <v>622</v>
      </c>
      <c r="J763" s="4">
        <v>42675.0</v>
      </c>
      <c r="K763" s="1">
        <v>1000.0</v>
      </c>
      <c r="L763" s="1">
        <v>500.0</v>
      </c>
      <c r="M763" s="1">
        <v>108.0</v>
      </c>
    </row>
    <row r="764" hidden="1">
      <c r="A764" s="1" t="s">
        <v>1192</v>
      </c>
      <c r="B764" s="3" t="s">
        <v>1814</v>
      </c>
      <c r="C764" s="1" t="s">
        <v>1569</v>
      </c>
      <c r="D764" s="1" t="s">
        <v>979</v>
      </c>
      <c r="E764" s="1" t="s">
        <v>979</v>
      </c>
      <c r="F764" s="1"/>
      <c r="G764" s="1"/>
      <c r="H764" s="1" t="s">
        <v>979</v>
      </c>
      <c r="I764" s="1" t="s">
        <v>622</v>
      </c>
      <c r="J764" s="4">
        <v>42675.0</v>
      </c>
      <c r="K764" s="1">
        <v>1000.0</v>
      </c>
      <c r="L764" s="1">
        <v>500.0</v>
      </c>
      <c r="M764" s="1">
        <v>108.0</v>
      </c>
    </row>
    <row r="765">
      <c r="A765" s="1" t="s">
        <v>1194</v>
      </c>
      <c r="B765" s="3" t="s">
        <v>1195</v>
      </c>
      <c r="C765" s="1" t="s">
        <v>16</v>
      </c>
      <c r="D765" s="1" t="s">
        <v>979</v>
      </c>
      <c r="E765" s="1" t="s">
        <v>979</v>
      </c>
      <c r="F765" s="1" t="str">
        <f>IFERROR(__xludf.DUMMYFUNCTION("SPLIT(E765,""&gt;"")"),"Force of Will")</f>
        <v>Force of Will</v>
      </c>
      <c r="G765" s="1"/>
      <c r="H765" s="1" t="s">
        <v>979</v>
      </c>
      <c r="I765" s="1" t="s">
        <v>622</v>
      </c>
      <c r="J765" s="4">
        <v>42675.0</v>
      </c>
      <c r="K765" s="1">
        <v>1000.0</v>
      </c>
      <c r="L765" s="1">
        <v>500.0</v>
      </c>
      <c r="M765" s="1">
        <v>109.0</v>
      </c>
    </row>
    <row r="766" hidden="1">
      <c r="A766" s="1" t="s">
        <v>1194</v>
      </c>
      <c r="B766" s="3" t="s">
        <v>1815</v>
      </c>
      <c r="C766" s="1" t="s">
        <v>1569</v>
      </c>
      <c r="D766" s="1" t="s">
        <v>979</v>
      </c>
      <c r="E766" s="1" t="s">
        <v>979</v>
      </c>
      <c r="F766" s="1"/>
      <c r="G766" s="1"/>
      <c r="H766" s="1" t="s">
        <v>979</v>
      </c>
      <c r="I766" s="1" t="s">
        <v>622</v>
      </c>
      <c r="J766" s="4">
        <v>42675.0</v>
      </c>
      <c r="K766" s="1">
        <v>1000.0</v>
      </c>
      <c r="L766" s="1">
        <v>500.0</v>
      </c>
      <c r="M766" s="1">
        <v>109.0</v>
      </c>
    </row>
    <row r="767">
      <c r="A767" s="1" t="s">
        <v>1196</v>
      </c>
      <c r="B767" s="3" t="s">
        <v>1197</v>
      </c>
      <c r="C767" s="1" t="s">
        <v>16</v>
      </c>
      <c r="D767" s="1" t="s">
        <v>979</v>
      </c>
      <c r="E767" s="1" t="s">
        <v>979</v>
      </c>
      <c r="F767" s="1" t="str">
        <f>IFERROR(__xludf.DUMMYFUNCTION("SPLIT(E767,""&gt;"")"),"Force of Will")</f>
        <v>Force of Will</v>
      </c>
      <c r="G767" s="1"/>
      <c r="H767" s="1" t="s">
        <v>979</v>
      </c>
      <c r="I767" s="1" t="s">
        <v>622</v>
      </c>
      <c r="J767" s="4">
        <v>42675.0</v>
      </c>
      <c r="K767" s="1">
        <v>1000.0</v>
      </c>
      <c r="L767" s="1">
        <v>500.0</v>
      </c>
      <c r="M767" s="1">
        <v>110.0</v>
      </c>
    </row>
    <row r="768" hidden="1">
      <c r="A768" s="1" t="s">
        <v>1196</v>
      </c>
      <c r="B768" s="3" t="s">
        <v>1816</v>
      </c>
      <c r="C768" s="1" t="s">
        <v>1569</v>
      </c>
      <c r="D768" s="1" t="s">
        <v>979</v>
      </c>
      <c r="E768" s="1" t="s">
        <v>979</v>
      </c>
      <c r="F768" s="1"/>
      <c r="G768" s="1"/>
      <c r="H768" s="1" t="s">
        <v>979</v>
      </c>
      <c r="I768" s="1" t="s">
        <v>622</v>
      </c>
      <c r="J768" s="4">
        <v>42675.0</v>
      </c>
      <c r="K768" s="1">
        <v>1000.0</v>
      </c>
      <c r="L768" s="1">
        <v>500.0</v>
      </c>
      <c r="M768" s="1">
        <v>110.0</v>
      </c>
    </row>
    <row r="769">
      <c r="A769" s="1" t="s">
        <v>1198</v>
      </c>
      <c r="B769" s="3" t="s">
        <v>1199</v>
      </c>
      <c r="C769" s="1" t="s">
        <v>16</v>
      </c>
      <c r="D769" s="1" t="s">
        <v>979</v>
      </c>
      <c r="E769" s="1" t="s">
        <v>979</v>
      </c>
      <c r="F769" s="1" t="str">
        <f>IFERROR(__xludf.DUMMYFUNCTION("SPLIT(E769,""&gt;"")"),"Force of Will")</f>
        <v>Force of Will</v>
      </c>
      <c r="G769" s="1"/>
      <c r="H769" s="1" t="s">
        <v>979</v>
      </c>
      <c r="I769" s="1" t="s">
        <v>622</v>
      </c>
      <c r="J769" s="4">
        <v>42675.0</v>
      </c>
      <c r="K769" s="1">
        <v>1000.0</v>
      </c>
      <c r="L769" s="1">
        <v>500.0</v>
      </c>
      <c r="M769" s="1">
        <v>111.0</v>
      </c>
    </row>
    <row r="770" hidden="1">
      <c r="A770" s="1" t="s">
        <v>1198</v>
      </c>
      <c r="B770" s="3" t="s">
        <v>1817</v>
      </c>
      <c r="C770" s="1" t="s">
        <v>1569</v>
      </c>
      <c r="D770" s="1" t="s">
        <v>979</v>
      </c>
      <c r="E770" s="1" t="s">
        <v>979</v>
      </c>
      <c r="F770" s="1"/>
      <c r="G770" s="1"/>
      <c r="H770" s="1" t="s">
        <v>979</v>
      </c>
      <c r="I770" s="1" t="s">
        <v>622</v>
      </c>
      <c r="J770" s="4">
        <v>42675.0</v>
      </c>
      <c r="K770" s="1">
        <v>1000.0</v>
      </c>
      <c r="L770" s="1">
        <v>500.0</v>
      </c>
      <c r="M770" s="1">
        <v>111.0</v>
      </c>
    </row>
    <row r="771">
      <c r="A771" s="1" t="s">
        <v>1200</v>
      </c>
      <c r="B771" s="3" t="s">
        <v>1201</v>
      </c>
      <c r="C771" s="1" t="s">
        <v>16</v>
      </c>
      <c r="D771" s="1" t="s">
        <v>979</v>
      </c>
      <c r="E771" s="1" t="s">
        <v>979</v>
      </c>
      <c r="F771" s="1" t="str">
        <f>IFERROR(__xludf.DUMMYFUNCTION("SPLIT(E771,""&gt;"")"),"Force of Will")</f>
        <v>Force of Will</v>
      </c>
      <c r="G771" s="1"/>
      <c r="H771" s="1" t="s">
        <v>979</v>
      </c>
      <c r="I771" s="1" t="s">
        <v>622</v>
      </c>
      <c r="J771" s="4">
        <v>42675.0</v>
      </c>
      <c r="K771" s="1">
        <v>1000.0</v>
      </c>
      <c r="L771" s="1">
        <v>500.0</v>
      </c>
      <c r="M771" s="1">
        <v>112.0</v>
      </c>
    </row>
    <row r="772" hidden="1">
      <c r="A772" s="1" t="s">
        <v>1200</v>
      </c>
      <c r="B772" s="3" t="s">
        <v>1818</v>
      </c>
      <c r="C772" s="1" t="s">
        <v>1569</v>
      </c>
      <c r="D772" s="1" t="s">
        <v>979</v>
      </c>
      <c r="E772" s="1" t="s">
        <v>979</v>
      </c>
      <c r="F772" s="1"/>
      <c r="G772" s="1"/>
      <c r="H772" s="1" t="s">
        <v>979</v>
      </c>
      <c r="I772" s="1" t="s">
        <v>622</v>
      </c>
      <c r="J772" s="4">
        <v>42675.0</v>
      </c>
      <c r="K772" s="1">
        <v>1000.0</v>
      </c>
      <c r="L772" s="1">
        <v>500.0</v>
      </c>
      <c r="M772" s="1">
        <v>112.0</v>
      </c>
    </row>
    <row r="773">
      <c r="A773" s="1" t="s">
        <v>1202</v>
      </c>
      <c r="B773" s="3" t="s">
        <v>1203</v>
      </c>
      <c r="C773" s="1" t="s">
        <v>16</v>
      </c>
      <c r="D773" s="1" t="s">
        <v>979</v>
      </c>
      <c r="E773" s="1" t="s">
        <v>979</v>
      </c>
      <c r="F773" s="1" t="str">
        <f>IFERROR(__xludf.DUMMYFUNCTION("SPLIT(E773,""&gt;"")"),"Force of Will")</f>
        <v>Force of Will</v>
      </c>
      <c r="G773" s="1"/>
      <c r="H773" s="1" t="s">
        <v>979</v>
      </c>
      <c r="I773" s="1" t="s">
        <v>622</v>
      </c>
      <c r="J773" s="4">
        <v>42675.0</v>
      </c>
      <c r="K773" s="1">
        <v>1000.0</v>
      </c>
      <c r="L773" s="1">
        <v>500.0</v>
      </c>
      <c r="M773" s="1">
        <v>113.0</v>
      </c>
    </row>
    <row r="774" hidden="1">
      <c r="A774" s="1" t="s">
        <v>1202</v>
      </c>
      <c r="B774" s="3" t="s">
        <v>1819</v>
      </c>
      <c r="C774" s="1" t="s">
        <v>1569</v>
      </c>
      <c r="D774" s="1" t="s">
        <v>979</v>
      </c>
      <c r="E774" s="1" t="s">
        <v>979</v>
      </c>
      <c r="F774" s="1"/>
      <c r="G774" s="1"/>
      <c r="H774" s="1" t="s">
        <v>979</v>
      </c>
      <c r="I774" s="1" t="s">
        <v>622</v>
      </c>
      <c r="J774" s="4">
        <v>42675.0</v>
      </c>
      <c r="K774" s="1">
        <v>1000.0</v>
      </c>
      <c r="L774" s="1">
        <v>500.0</v>
      </c>
      <c r="M774" s="1">
        <v>113.0</v>
      </c>
    </row>
    <row r="775">
      <c r="A775" s="1" t="s">
        <v>1204</v>
      </c>
      <c r="B775" s="3" t="s">
        <v>1205</v>
      </c>
      <c r="C775" s="1" t="s">
        <v>16</v>
      </c>
      <c r="D775" s="1" t="s">
        <v>979</v>
      </c>
      <c r="E775" s="1" t="s">
        <v>979</v>
      </c>
      <c r="F775" s="1" t="str">
        <f>IFERROR(__xludf.DUMMYFUNCTION("SPLIT(E775,""&gt;"")"),"Force of Will")</f>
        <v>Force of Will</v>
      </c>
      <c r="G775" s="1"/>
      <c r="H775" s="1" t="s">
        <v>979</v>
      </c>
      <c r="I775" s="1" t="s">
        <v>622</v>
      </c>
      <c r="J775" s="4">
        <v>42675.0</v>
      </c>
      <c r="K775" s="1">
        <v>1000.0</v>
      </c>
      <c r="L775" s="1">
        <v>500.0</v>
      </c>
      <c r="M775" s="1">
        <v>114.0</v>
      </c>
    </row>
    <row r="776" hidden="1">
      <c r="A776" s="1" t="s">
        <v>1204</v>
      </c>
      <c r="B776" s="3" t="s">
        <v>1820</v>
      </c>
      <c r="C776" s="1" t="s">
        <v>1569</v>
      </c>
      <c r="D776" s="1" t="s">
        <v>979</v>
      </c>
      <c r="E776" s="1" t="s">
        <v>979</v>
      </c>
      <c r="F776" s="1"/>
      <c r="G776" s="1"/>
      <c r="H776" s="1" t="s">
        <v>979</v>
      </c>
      <c r="I776" s="1" t="s">
        <v>622</v>
      </c>
      <c r="J776" s="4">
        <v>42675.0</v>
      </c>
      <c r="K776" s="1">
        <v>1000.0</v>
      </c>
      <c r="L776" s="1">
        <v>500.0</v>
      </c>
      <c r="M776" s="1">
        <v>114.0</v>
      </c>
    </row>
    <row r="777">
      <c r="A777" s="1" t="s">
        <v>1206</v>
      </c>
      <c r="B777" s="3" t="s">
        <v>1207</v>
      </c>
      <c r="C777" s="1" t="s">
        <v>16</v>
      </c>
      <c r="D777" s="1" t="s">
        <v>979</v>
      </c>
      <c r="E777" s="1" t="s">
        <v>979</v>
      </c>
      <c r="F777" s="1" t="str">
        <f>IFERROR(__xludf.DUMMYFUNCTION("SPLIT(E777,""&gt;"")"),"Force of Will")</f>
        <v>Force of Will</v>
      </c>
      <c r="G777" s="1"/>
      <c r="H777" s="1" t="s">
        <v>979</v>
      </c>
      <c r="I777" s="1" t="s">
        <v>622</v>
      </c>
      <c r="J777" s="4">
        <v>42675.0</v>
      </c>
      <c r="K777" s="1">
        <v>1000.0</v>
      </c>
      <c r="L777" s="1">
        <v>500.0</v>
      </c>
      <c r="M777" s="1">
        <v>115.0</v>
      </c>
    </row>
    <row r="778" hidden="1">
      <c r="A778" s="1" t="s">
        <v>1206</v>
      </c>
      <c r="B778" s="3" t="s">
        <v>1821</v>
      </c>
      <c r="C778" s="1" t="s">
        <v>1569</v>
      </c>
      <c r="D778" s="1" t="s">
        <v>979</v>
      </c>
      <c r="E778" s="1" t="s">
        <v>979</v>
      </c>
      <c r="F778" s="1"/>
      <c r="G778" s="1"/>
      <c r="H778" s="1" t="s">
        <v>979</v>
      </c>
      <c r="I778" s="1" t="s">
        <v>622</v>
      </c>
      <c r="J778" s="4">
        <v>42675.0</v>
      </c>
      <c r="K778" s="1">
        <v>1000.0</v>
      </c>
      <c r="L778" s="1">
        <v>500.0</v>
      </c>
      <c r="M778" s="1">
        <v>115.0</v>
      </c>
    </row>
    <row r="779">
      <c r="A779" s="1" t="s">
        <v>1208</v>
      </c>
      <c r="B779" s="3" t="s">
        <v>1209</v>
      </c>
      <c r="C779" s="1" t="s">
        <v>16</v>
      </c>
      <c r="D779" s="1" t="s">
        <v>979</v>
      </c>
      <c r="E779" s="1" t="s">
        <v>979</v>
      </c>
      <c r="F779" s="1" t="str">
        <f>IFERROR(__xludf.DUMMYFUNCTION("SPLIT(E779,""&gt;"")"),"Force of Will")</f>
        <v>Force of Will</v>
      </c>
      <c r="G779" s="1"/>
      <c r="H779" s="1" t="s">
        <v>979</v>
      </c>
      <c r="I779" s="1" t="s">
        <v>622</v>
      </c>
      <c r="J779" s="4">
        <v>42675.0</v>
      </c>
      <c r="K779" s="1">
        <v>1000.0</v>
      </c>
      <c r="L779" s="1">
        <v>500.0</v>
      </c>
      <c r="M779" s="1">
        <v>116.0</v>
      </c>
    </row>
    <row r="780" hidden="1">
      <c r="A780" s="1" t="s">
        <v>1208</v>
      </c>
      <c r="B780" s="3" t="s">
        <v>1822</v>
      </c>
      <c r="C780" s="1" t="s">
        <v>1569</v>
      </c>
      <c r="D780" s="1" t="s">
        <v>979</v>
      </c>
      <c r="E780" s="1" t="s">
        <v>979</v>
      </c>
      <c r="F780" s="1"/>
      <c r="G780" s="1"/>
      <c r="H780" s="1" t="s">
        <v>979</v>
      </c>
      <c r="I780" s="1" t="s">
        <v>622</v>
      </c>
      <c r="J780" s="4">
        <v>42675.0</v>
      </c>
      <c r="K780" s="1">
        <v>1000.0</v>
      </c>
      <c r="L780" s="1">
        <v>500.0</v>
      </c>
      <c r="M780" s="1">
        <v>116.0</v>
      </c>
    </row>
    <row r="781">
      <c r="A781" s="1" t="s">
        <v>1210</v>
      </c>
      <c r="B781" s="3" t="s">
        <v>1211</v>
      </c>
      <c r="C781" s="1" t="s">
        <v>16</v>
      </c>
      <c r="D781" s="1" t="s">
        <v>979</v>
      </c>
      <c r="E781" s="1" t="s">
        <v>979</v>
      </c>
      <c r="F781" s="1" t="str">
        <f>IFERROR(__xludf.DUMMYFUNCTION("SPLIT(E781,""&gt;"")"),"Force of Will")</f>
        <v>Force of Will</v>
      </c>
      <c r="G781" s="1"/>
      <c r="H781" s="1" t="s">
        <v>979</v>
      </c>
      <c r="I781" s="1" t="s">
        <v>622</v>
      </c>
      <c r="J781" s="4">
        <v>42675.0</v>
      </c>
      <c r="K781" s="1">
        <v>1000.0</v>
      </c>
      <c r="L781" s="1">
        <v>500.0</v>
      </c>
      <c r="M781" s="1">
        <v>117.0</v>
      </c>
    </row>
    <row r="782" hidden="1">
      <c r="A782" s="1" t="s">
        <v>1210</v>
      </c>
      <c r="B782" s="3" t="s">
        <v>1823</v>
      </c>
      <c r="C782" s="1" t="s">
        <v>1569</v>
      </c>
      <c r="D782" s="1" t="s">
        <v>979</v>
      </c>
      <c r="E782" s="1" t="s">
        <v>979</v>
      </c>
      <c r="F782" s="1"/>
      <c r="G782" s="1"/>
      <c r="H782" s="1" t="s">
        <v>979</v>
      </c>
      <c r="I782" s="1" t="s">
        <v>622</v>
      </c>
      <c r="J782" s="4">
        <v>42675.0</v>
      </c>
      <c r="K782" s="1">
        <v>1000.0</v>
      </c>
      <c r="L782" s="1">
        <v>500.0</v>
      </c>
      <c r="M782" s="1">
        <v>117.0</v>
      </c>
    </row>
    <row r="783">
      <c r="A783" s="1" t="s">
        <v>1212</v>
      </c>
      <c r="B783" s="3" t="s">
        <v>1213</v>
      </c>
      <c r="C783" s="1" t="s">
        <v>16</v>
      </c>
      <c r="D783" s="1" t="s">
        <v>979</v>
      </c>
      <c r="E783" s="1" t="s">
        <v>979</v>
      </c>
      <c r="F783" s="1" t="str">
        <f>IFERROR(__xludf.DUMMYFUNCTION("SPLIT(E783,""&gt;"")"),"Force of Will")</f>
        <v>Force of Will</v>
      </c>
      <c r="G783" s="1"/>
      <c r="H783" s="1" t="s">
        <v>979</v>
      </c>
      <c r="I783" s="1" t="s">
        <v>622</v>
      </c>
      <c r="J783" s="4">
        <v>42675.0</v>
      </c>
      <c r="K783" s="1">
        <v>1000.0</v>
      </c>
      <c r="L783" s="1">
        <v>500.0</v>
      </c>
      <c r="M783" s="1">
        <v>118.0</v>
      </c>
    </row>
    <row r="784" hidden="1">
      <c r="A784" s="1" t="s">
        <v>1212</v>
      </c>
      <c r="B784" s="3" t="s">
        <v>1824</v>
      </c>
      <c r="C784" s="1" t="s">
        <v>1569</v>
      </c>
      <c r="D784" s="1" t="s">
        <v>979</v>
      </c>
      <c r="E784" s="1" t="s">
        <v>979</v>
      </c>
      <c r="F784" s="1"/>
      <c r="G784" s="1"/>
      <c r="H784" s="1" t="s">
        <v>979</v>
      </c>
      <c r="I784" s="1" t="s">
        <v>622</v>
      </c>
      <c r="J784" s="4">
        <v>42675.0</v>
      </c>
      <c r="K784" s="1">
        <v>1000.0</v>
      </c>
      <c r="L784" s="1">
        <v>500.0</v>
      </c>
      <c r="M784" s="1">
        <v>118.0</v>
      </c>
    </row>
    <row r="785">
      <c r="A785" s="1" t="s">
        <v>1214</v>
      </c>
      <c r="B785" s="3" t="s">
        <v>1215</v>
      </c>
      <c r="C785" s="1" t="s">
        <v>16</v>
      </c>
      <c r="D785" s="1" t="s">
        <v>979</v>
      </c>
      <c r="E785" s="1" t="s">
        <v>979</v>
      </c>
      <c r="F785" s="1" t="str">
        <f>IFERROR(__xludf.DUMMYFUNCTION("SPLIT(E785,""&gt;"")"),"Force of Will")</f>
        <v>Force of Will</v>
      </c>
      <c r="G785" s="1"/>
      <c r="H785" s="1" t="s">
        <v>979</v>
      </c>
      <c r="I785" s="1" t="s">
        <v>622</v>
      </c>
      <c r="J785" s="4">
        <v>42675.0</v>
      </c>
      <c r="K785" s="1">
        <v>1000.0</v>
      </c>
      <c r="L785" s="1">
        <v>500.0</v>
      </c>
      <c r="M785" s="1">
        <v>119.0</v>
      </c>
    </row>
    <row r="786" hidden="1">
      <c r="A786" s="1" t="s">
        <v>1214</v>
      </c>
      <c r="B786" s="3" t="s">
        <v>1825</v>
      </c>
      <c r="C786" s="1" t="s">
        <v>1569</v>
      </c>
      <c r="D786" s="1" t="s">
        <v>979</v>
      </c>
      <c r="E786" s="1" t="s">
        <v>979</v>
      </c>
      <c r="F786" s="1"/>
      <c r="G786" s="1"/>
      <c r="H786" s="1" t="s">
        <v>979</v>
      </c>
      <c r="I786" s="1" t="s">
        <v>622</v>
      </c>
      <c r="J786" s="4">
        <v>42675.0</v>
      </c>
      <c r="K786" s="1">
        <v>1000.0</v>
      </c>
      <c r="L786" s="1">
        <v>500.0</v>
      </c>
      <c r="M786" s="1">
        <v>119.0</v>
      </c>
    </row>
    <row r="787">
      <c r="A787" s="1" t="s">
        <v>1216</v>
      </c>
      <c r="B787" s="3" t="s">
        <v>1217</v>
      </c>
      <c r="C787" s="1" t="s">
        <v>16</v>
      </c>
      <c r="D787" s="1" t="s">
        <v>979</v>
      </c>
      <c r="E787" s="1" t="s">
        <v>979</v>
      </c>
      <c r="F787" s="1" t="str">
        <f>IFERROR(__xludf.DUMMYFUNCTION("SPLIT(E787,""&gt;"")"),"Force of Will")</f>
        <v>Force of Will</v>
      </c>
      <c r="G787" s="1"/>
      <c r="H787" s="1" t="s">
        <v>979</v>
      </c>
      <c r="I787" s="1" t="s">
        <v>622</v>
      </c>
      <c r="J787" s="4">
        <v>42675.0</v>
      </c>
      <c r="K787" s="1">
        <v>1000.0</v>
      </c>
      <c r="L787" s="1">
        <v>500.0</v>
      </c>
      <c r="M787" s="1">
        <v>120.0</v>
      </c>
    </row>
    <row r="788" hidden="1">
      <c r="A788" s="1" t="s">
        <v>1216</v>
      </c>
      <c r="B788" s="3" t="s">
        <v>1826</v>
      </c>
      <c r="C788" s="1" t="s">
        <v>1569</v>
      </c>
      <c r="D788" s="1" t="s">
        <v>979</v>
      </c>
      <c r="E788" s="1" t="s">
        <v>979</v>
      </c>
      <c r="F788" s="1"/>
      <c r="G788" s="1"/>
      <c r="H788" s="1" t="s">
        <v>979</v>
      </c>
      <c r="I788" s="1" t="s">
        <v>622</v>
      </c>
      <c r="J788" s="4">
        <v>42675.0</v>
      </c>
      <c r="K788" s="1">
        <v>1000.0</v>
      </c>
      <c r="L788" s="1">
        <v>500.0</v>
      </c>
      <c r="M788" s="1">
        <v>120.0</v>
      </c>
    </row>
    <row r="789">
      <c r="A789" s="1" t="s">
        <v>1218</v>
      </c>
      <c r="B789" s="3" t="s">
        <v>1219</v>
      </c>
      <c r="C789" s="1" t="s">
        <v>16</v>
      </c>
      <c r="D789" s="1" t="s">
        <v>979</v>
      </c>
      <c r="E789" s="1" t="s">
        <v>979</v>
      </c>
      <c r="F789" s="1" t="str">
        <f>IFERROR(__xludf.DUMMYFUNCTION("SPLIT(E789,""&gt;"")"),"Force of Will")</f>
        <v>Force of Will</v>
      </c>
      <c r="G789" s="1"/>
      <c r="H789" s="1" t="s">
        <v>979</v>
      </c>
      <c r="I789" s="1" t="s">
        <v>622</v>
      </c>
      <c r="J789" s="4">
        <v>42675.0</v>
      </c>
      <c r="K789" s="1">
        <v>1000.0</v>
      </c>
      <c r="L789" s="1">
        <v>500.0</v>
      </c>
      <c r="M789" s="1">
        <v>121.0</v>
      </c>
    </row>
    <row r="790" hidden="1">
      <c r="A790" s="1" t="s">
        <v>1218</v>
      </c>
      <c r="B790" s="3" t="s">
        <v>1827</v>
      </c>
      <c r="C790" s="1" t="s">
        <v>1569</v>
      </c>
      <c r="D790" s="1" t="s">
        <v>979</v>
      </c>
      <c r="E790" s="1" t="s">
        <v>979</v>
      </c>
      <c r="F790" s="1"/>
      <c r="G790" s="1"/>
      <c r="H790" s="1" t="s">
        <v>979</v>
      </c>
      <c r="I790" s="1" t="s">
        <v>622</v>
      </c>
      <c r="J790" s="4">
        <v>42675.0</v>
      </c>
      <c r="K790" s="1">
        <v>1000.0</v>
      </c>
      <c r="L790" s="1">
        <v>500.0</v>
      </c>
      <c r="M790" s="1">
        <v>121.0</v>
      </c>
    </row>
    <row r="791">
      <c r="A791" s="1" t="s">
        <v>1220</v>
      </c>
      <c r="B791" s="3" t="s">
        <v>1221</v>
      </c>
      <c r="C791" s="1" t="s">
        <v>16</v>
      </c>
      <c r="D791" s="1" t="s">
        <v>979</v>
      </c>
      <c r="E791" s="1" t="s">
        <v>979</v>
      </c>
      <c r="F791" s="1" t="str">
        <f>IFERROR(__xludf.DUMMYFUNCTION("SPLIT(E791,""&gt;"")"),"Force of Will")</f>
        <v>Force of Will</v>
      </c>
      <c r="G791" s="1"/>
      <c r="H791" s="1" t="s">
        <v>979</v>
      </c>
      <c r="I791" s="1" t="s">
        <v>622</v>
      </c>
      <c r="J791" s="4">
        <v>42675.0</v>
      </c>
      <c r="K791" s="1">
        <v>1000.0</v>
      </c>
      <c r="L791" s="1">
        <v>500.0</v>
      </c>
      <c r="M791" s="1">
        <v>122.0</v>
      </c>
    </row>
    <row r="792" hidden="1">
      <c r="A792" s="1" t="s">
        <v>1220</v>
      </c>
      <c r="B792" s="3" t="s">
        <v>1828</v>
      </c>
      <c r="C792" s="1" t="s">
        <v>1569</v>
      </c>
      <c r="D792" s="1" t="s">
        <v>979</v>
      </c>
      <c r="E792" s="1" t="s">
        <v>979</v>
      </c>
      <c r="F792" s="1"/>
      <c r="G792" s="1"/>
      <c r="H792" s="1" t="s">
        <v>979</v>
      </c>
      <c r="I792" s="1" t="s">
        <v>622</v>
      </c>
      <c r="J792" s="4">
        <v>42675.0</v>
      </c>
      <c r="K792" s="1">
        <v>1000.0</v>
      </c>
      <c r="L792" s="1">
        <v>500.0</v>
      </c>
      <c r="M792" s="1">
        <v>122.0</v>
      </c>
    </row>
    <row r="793">
      <c r="A793" s="1" t="s">
        <v>1222</v>
      </c>
      <c r="B793" s="3" t="s">
        <v>1223</v>
      </c>
      <c r="C793" s="1" t="s">
        <v>16</v>
      </c>
      <c r="D793" s="1" t="s">
        <v>979</v>
      </c>
      <c r="E793" s="1" t="s">
        <v>979</v>
      </c>
      <c r="F793" s="1" t="str">
        <f>IFERROR(__xludf.DUMMYFUNCTION("SPLIT(E793,""&gt;"")"),"Force of Will")</f>
        <v>Force of Will</v>
      </c>
      <c r="G793" s="1"/>
      <c r="H793" s="1" t="s">
        <v>979</v>
      </c>
      <c r="I793" s="1" t="s">
        <v>622</v>
      </c>
      <c r="J793" s="4">
        <v>42675.0</v>
      </c>
      <c r="K793" s="1">
        <v>1000.0</v>
      </c>
      <c r="L793" s="1">
        <v>500.0</v>
      </c>
      <c r="M793" s="1">
        <v>123.0</v>
      </c>
    </row>
    <row r="794" hidden="1">
      <c r="A794" s="1" t="s">
        <v>1222</v>
      </c>
      <c r="B794" s="3" t="s">
        <v>1829</v>
      </c>
      <c r="C794" s="1" t="s">
        <v>1569</v>
      </c>
      <c r="D794" s="1" t="s">
        <v>979</v>
      </c>
      <c r="E794" s="1" t="s">
        <v>979</v>
      </c>
      <c r="F794" s="1"/>
      <c r="G794" s="1"/>
      <c r="H794" s="1" t="s">
        <v>979</v>
      </c>
      <c r="I794" s="1" t="s">
        <v>622</v>
      </c>
      <c r="J794" s="4">
        <v>42675.0</v>
      </c>
      <c r="K794" s="1">
        <v>1000.0</v>
      </c>
      <c r="L794" s="1">
        <v>500.0</v>
      </c>
      <c r="M794" s="1">
        <v>123.0</v>
      </c>
    </row>
    <row r="795">
      <c r="A795" s="1" t="s">
        <v>1224</v>
      </c>
      <c r="B795" s="3" t="s">
        <v>1225</v>
      </c>
      <c r="C795" s="1" t="s">
        <v>16</v>
      </c>
      <c r="D795" s="1" t="s">
        <v>979</v>
      </c>
      <c r="E795" s="1" t="s">
        <v>979</v>
      </c>
      <c r="F795" s="1" t="str">
        <f>IFERROR(__xludf.DUMMYFUNCTION("SPLIT(E795,""&gt;"")"),"Force of Will")</f>
        <v>Force of Will</v>
      </c>
      <c r="G795" s="1"/>
      <c r="H795" s="1" t="s">
        <v>979</v>
      </c>
      <c r="I795" s="1" t="s">
        <v>622</v>
      </c>
      <c r="J795" s="4">
        <v>42675.0</v>
      </c>
      <c r="K795" s="1">
        <v>1000.0</v>
      </c>
      <c r="L795" s="1">
        <v>500.0</v>
      </c>
      <c r="M795" s="1">
        <v>124.0</v>
      </c>
    </row>
    <row r="796" hidden="1">
      <c r="A796" s="1" t="s">
        <v>1224</v>
      </c>
      <c r="B796" s="3" t="s">
        <v>1830</v>
      </c>
      <c r="C796" s="1" t="s">
        <v>1569</v>
      </c>
      <c r="D796" s="1" t="s">
        <v>979</v>
      </c>
      <c r="E796" s="1" t="s">
        <v>979</v>
      </c>
      <c r="F796" s="1"/>
      <c r="G796" s="1"/>
      <c r="H796" s="1" t="s">
        <v>979</v>
      </c>
      <c r="I796" s="1" t="s">
        <v>622</v>
      </c>
      <c r="J796" s="4">
        <v>42675.0</v>
      </c>
      <c r="K796" s="1">
        <v>1000.0</v>
      </c>
      <c r="L796" s="1">
        <v>500.0</v>
      </c>
      <c r="M796" s="1">
        <v>124.0</v>
      </c>
    </row>
    <row r="797">
      <c r="A797" s="1" t="s">
        <v>1226</v>
      </c>
      <c r="B797" s="3" t="s">
        <v>1227</v>
      </c>
      <c r="C797" s="1" t="s">
        <v>16</v>
      </c>
      <c r="D797" s="1" t="s">
        <v>979</v>
      </c>
      <c r="E797" s="1" t="s">
        <v>979</v>
      </c>
      <c r="F797" s="1" t="str">
        <f>IFERROR(__xludf.DUMMYFUNCTION("SPLIT(E797,""&gt;"")"),"Force of Will")</f>
        <v>Force of Will</v>
      </c>
      <c r="G797" s="1"/>
      <c r="H797" s="1" t="s">
        <v>979</v>
      </c>
      <c r="I797" s="1" t="s">
        <v>622</v>
      </c>
      <c r="J797" s="4">
        <v>42675.0</v>
      </c>
      <c r="K797" s="1">
        <v>1000.0</v>
      </c>
      <c r="L797" s="1">
        <v>500.0</v>
      </c>
      <c r="M797" s="1">
        <v>125.0</v>
      </c>
    </row>
    <row r="798" hidden="1">
      <c r="A798" s="1" t="s">
        <v>1226</v>
      </c>
      <c r="B798" s="3" t="s">
        <v>1831</v>
      </c>
      <c r="C798" s="1" t="s">
        <v>1569</v>
      </c>
      <c r="D798" s="1" t="s">
        <v>979</v>
      </c>
      <c r="E798" s="1" t="s">
        <v>979</v>
      </c>
      <c r="F798" s="1"/>
      <c r="G798" s="1"/>
      <c r="H798" s="1" t="s">
        <v>979</v>
      </c>
      <c r="I798" s="1" t="s">
        <v>622</v>
      </c>
      <c r="J798" s="4">
        <v>42675.0</v>
      </c>
      <c r="K798" s="1">
        <v>1000.0</v>
      </c>
      <c r="L798" s="1">
        <v>500.0</v>
      </c>
      <c r="M798" s="1">
        <v>125.0</v>
      </c>
    </row>
    <row r="799">
      <c r="A799" s="1" t="s">
        <v>1228</v>
      </c>
      <c r="B799" s="3" t="s">
        <v>1229</v>
      </c>
      <c r="C799" s="1" t="s">
        <v>16</v>
      </c>
      <c r="D799" s="1" t="s">
        <v>979</v>
      </c>
      <c r="E799" s="1" t="s">
        <v>979</v>
      </c>
      <c r="F799" s="1" t="str">
        <f>IFERROR(__xludf.DUMMYFUNCTION("SPLIT(E799,""&gt;"")"),"Force of Will")</f>
        <v>Force of Will</v>
      </c>
      <c r="G799" s="1"/>
      <c r="H799" s="1" t="s">
        <v>979</v>
      </c>
      <c r="I799" s="1" t="s">
        <v>622</v>
      </c>
      <c r="J799" s="4">
        <v>42675.0</v>
      </c>
      <c r="K799" s="1">
        <v>1000.0</v>
      </c>
      <c r="L799" s="1">
        <v>500.0</v>
      </c>
      <c r="M799" s="1">
        <v>126.0</v>
      </c>
    </row>
    <row r="800" hidden="1">
      <c r="A800" s="1" t="s">
        <v>1228</v>
      </c>
      <c r="B800" s="3" t="s">
        <v>1832</v>
      </c>
      <c r="C800" s="1" t="s">
        <v>1569</v>
      </c>
      <c r="D800" s="1" t="s">
        <v>979</v>
      </c>
      <c r="E800" s="1" t="s">
        <v>979</v>
      </c>
      <c r="F800" s="1"/>
      <c r="G800" s="1"/>
      <c r="H800" s="1" t="s">
        <v>979</v>
      </c>
      <c r="I800" s="1" t="s">
        <v>622</v>
      </c>
      <c r="J800" s="4">
        <v>42675.0</v>
      </c>
      <c r="K800" s="1">
        <v>1000.0</v>
      </c>
      <c r="L800" s="1">
        <v>500.0</v>
      </c>
      <c r="M800" s="1">
        <v>126.0</v>
      </c>
    </row>
    <row r="801">
      <c r="A801" s="1" t="s">
        <v>1230</v>
      </c>
      <c r="B801" s="3" t="s">
        <v>1231</v>
      </c>
      <c r="C801" s="1" t="s">
        <v>16</v>
      </c>
      <c r="D801" s="1" t="s">
        <v>979</v>
      </c>
      <c r="E801" s="1" t="s">
        <v>979</v>
      </c>
      <c r="F801" s="1" t="str">
        <f>IFERROR(__xludf.DUMMYFUNCTION("SPLIT(E801,""&gt;"")"),"Force of Will")</f>
        <v>Force of Will</v>
      </c>
      <c r="G801" s="1"/>
      <c r="H801" s="1" t="s">
        <v>979</v>
      </c>
      <c r="I801" s="1" t="s">
        <v>622</v>
      </c>
      <c r="J801" s="4">
        <v>42675.0</v>
      </c>
      <c r="K801" s="1">
        <v>1000.0</v>
      </c>
      <c r="L801" s="1">
        <v>500.0</v>
      </c>
      <c r="M801" s="1">
        <v>127.0</v>
      </c>
    </row>
    <row r="802" hidden="1">
      <c r="A802" s="1" t="s">
        <v>1230</v>
      </c>
      <c r="B802" s="3" t="s">
        <v>1833</v>
      </c>
      <c r="C802" s="1" t="s">
        <v>1569</v>
      </c>
      <c r="D802" s="1" t="s">
        <v>979</v>
      </c>
      <c r="E802" s="1" t="s">
        <v>979</v>
      </c>
      <c r="F802" s="1"/>
      <c r="G802" s="1"/>
      <c r="H802" s="1" t="s">
        <v>979</v>
      </c>
      <c r="I802" s="1" t="s">
        <v>622</v>
      </c>
      <c r="J802" s="4">
        <v>42675.0</v>
      </c>
      <c r="K802" s="1">
        <v>1000.0</v>
      </c>
      <c r="L802" s="1">
        <v>500.0</v>
      </c>
      <c r="M802" s="1">
        <v>127.0</v>
      </c>
    </row>
    <row r="803">
      <c r="A803" s="1" t="s">
        <v>1232</v>
      </c>
      <c r="B803" s="3" t="s">
        <v>1233</v>
      </c>
      <c r="C803" s="1" t="s">
        <v>16</v>
      </c>
      <c r="D803" s="1" t="s">
        <v>979</v>
      </c>
      <c r="E803" s="1" t="s">
        <v>979</v>
      </c>
      <c r="F803" s="1" t="str">
        <f>IFERROR(__xludf.DUMMYFUNCTION("SPLIT(E803,""&gt;"")"),"Force of Will")</f>
        <v>Force of Will</v>
      </c>
      <c r="G803" s="1"/>
      <c r="H803" s="1" t="s">
        <v>979</v>
      </c>
      <c r="I803" s="1" t="s">
        <v>622</v>
      </c>
      <c r="J803" s="4">
        <v>42675.0</v>
      </c>
      <c r="K803" s="1">
        <v>1000.0</v>
      </c>
      <c r="L803" s="1">
        <v>500.0</v>
      </c>
      <c r="M803" s="1">
        <v>128.0</v>
      </c>
    </row>
    <row r="804" hidden="1">
      <c r="A804" s="1" t="s">
        <v>1232</v>
      </c>
      <c r="B804" s="3" t="s">
        <v>1834</v>
      </c>
      <c r="C804" s="1" t="s">
        <v>1569</v>
      </c>
      <c r="D804" s="1" t="s">
        <v>979</v>
      </c>
      <c r="E804" s="1" t="s">
        <v>979</v>
      </c>
      <c r="F804" s="1"/>
      <c r="G804" s="1"/>
      <c r="H804" s="1" t="s">
        <v>979</v>
      </c>
      <c r="I804" s="1" t="s">
        <v>622</v>
      </c>
      <c r="J804" s="4">
        <v>42675.0</v>
      </c>
      <c r="K804" s="1">
        <v>1000.0</v>
      </c>
      <c r="L804" s="1">
        <v>500.0</v>
      </c>
      <c r="M804" s="1">
        <v>128.0</v>
      </c>
    </row>
    <row r="805">
      <c r="A805" s="1" t="s">
        <v>1234</v>
      </c>
      <c r="B805" s="3" t="s">
        <v>1235</v>
      </c>
      <c r="C805" s="1" t="s">
        <v>16</v>
      </c>
      <c r="D805" s="1" t="s">
        <v>979</v>
      </c>
      <c r="E805" s="1" t="s">
        <v>979</v>
      </c>
      <c r="F805" s="1" t="str">
        <f>IFERROR(__xludf.DUMMYFUNCTION("SPLIT(E805,""&gt;"")"),"Force of Will")</f>
        <v>Force of Will</v>
      </c>
      <c r="G805" s="1"/>
      <c r="H805" s="1" t="s">
        <v>979</v>
      </c>
      <c r="I805" s="1" t="s">
        <v>622</v>
      </c>
      <c r="J805" s="4">
        <v>42675.0</v>
      </c>
      <c r="K805" s="1">
        <v>1000.0</v>
      </c>
      <c r="L805" s="1">
        <v>500.0</v>
      </c>
      <c r="M805" s="1">
        <v>129.0</v>
      </c>
    </row>
    <row r="806" hidden="1">
      <c r="A806" s="1" t="s">
        <v>1234</v>
      </c>
      <c r="B806" s="3" t="s">
        <v>1835</v>
      </c>
      <c r="C806" s="1" t="s">
        <v>1569</v>
      </c>
      <c r="D806" s="1" t="s">
        <v>979</v>
      </c>
      <c r="E806" s="1" t="s">
        <v>979</v>
      </c>
      <c r="F806" s="1"/>
      <c r="G806" s="1"/>
      <c r="H806" s="1" t="s">
        <v>979</v>
      </c>
      <c r="I806" s="1" t="s">
        <v>622</v>
      </c>
      <c r="J806" s="4">
        <v>42675.0</v>
      </c>
      <c r="K806" s="1">
        <v>1000.0</v>
      </c>
      <c r="L806" s="1">
        <v>500.0</v>
      </c>
      <c r="M806" s="1">
        <v>129.0</v>
      </c>
    </row>
    <row r="807">
      <c r="A807" s="1" t="s">
        <v>1236</v>
      </c>
      <c r="B807" s="3" t="s">
        <v>1237</v>
      </c>
      <c r="C807" s="1" t="s">
        <v>16</v>
      </c>
      <c r="D807" s="1" t="s">
        <v>979</v>
      </c>
      <c r="E807" s="1" t="s">
        <v>979</v>
      </c>
      <c r="F807" s="1" t="str">
        <f>IFERROR(__xludf.DUMMYFUNCTION("SPLIT(E807,""&gt;"")"),"Force of Will")</f>
        <v>Force of Will</v>
      </c>
      <c r="G807" s="1"/>
      <c r="H807" s="1" t="s">
        <v>979</v>
      </c>
      <c r="I807" s="1" t="s">
        <v>622</v>
      </c>
      <c r="J807" s="4">
        <v>42675.0</v>
      </c>
      <c r="K807" s="1">
        <v>1000.0</v>
      </c>
      <c r="L807" s="1">
        <v>500.0</v>
      </c>
      <c r="M807" s="1">
        <v>130.0</v>
      </c>
    </row>
    <row r="808" hidden="1">
      <c r="A808" s="1" t="s">
        <v>1236</v>
      </c>
      <c r="B808" s="3" t="s">
        <v>1836</v>
      </c>
      <c r="C808" s="1" t="s">
        <v>1569</v>
      </c>
      <c r="D808" s="1" t="s">
        <v>979</v>
      </c>
      <c r="E808" s="1" t="s">
        <v>979</v>
      </c>
      <c r="F808" s="1"/>
      <c r="G808" s="1"/>
      <c r="H808" s="1" t="s">
        <v>979</v>
      </c>
      <c r="I808" s="1" t="s">
        <v>622</v>
      </c>
      <c r="J808" s="4">
        <v>42675.0</v>
      </c>
      <c r="K808" s="1">
        <v>1000.0</v>
      </c>
      <c r="L808" s="1">
        <v>500.0</v>
      </c>
      <c r="M808" s="1">
        <v>130.0</v>
      </c>
    </row>
    <row r="809">
      <c r="A809" s="1" t="s">
        <v>1238</v>
      </c>
      <c r="B809" s="3" t="s">
        <v>1239</v>
      </c>
      <c r="C809" s="1" t="s">
        <v>16</v>
      </c>
      <c r="D809" s="1" t="s">
        <v>979</v>
      </c>
      <c r="E809" s="1" t="s">
        <v>979</v>
      </c>
      <c r="F809" s="1" t="str">
        <f>IFERROR(__xludf.DUMMYFUNCTION("SPLIT(E809,""&gt;"")"),"Force of Will")</f>
        <v>Force of Will</v>
      </c>
      <c r="G809" s="1"/>
      <c r="H809" s="1" t="s">
        <v>979</v>
      </c>
      <c r="I809" s="1" t="s">
        <v>622</v>
      </c>
      <c r="J809" s="4">
        <v>42675.0</v>
      </c>
      <c r="K809" s="1">
        <v>1000.0</v>
      </c>
      <c r="L809" s="1">
        <v>500.0</v>
      </c>
      <c r="M809" s="1">
        <v>131.0</v>
      </c>
    </row>
    <row r="810" hidden="1">
      <c r="A810" s="1" t="s">
        <v>1238</v>
      </c>
      <c r="B810" s="3" t="s">
        <v>1837</v>
      </c>
      <c r="C810" s="1" t="s">
        <v>1569</v>
      </c>
      <c r="D810" s="1" t="s">
        <v>979</v>
      </c>
      <c r="E810" s="1" t="s">
        <v>979</v>
      </c>
      <c r="F810" s="1"/>
      <c r="G810" s="1"/>
      <c r="H810" s="1" t="s">
        <v>979</v>
      </c>
      <c r="I810" s="1" t="s">
        <v>622</v>
      </c>
      <c r="J810" s="4">
        <v>42675.0</v>
      </c>
      <c r="K810" s="1">
        <v>1000.0</v>
      </c>
      <c r="L810" s="1">
        <v>500.0</v>
      </c>
      <c r="M810" s="1">
        <v>131.0</v>
      </c>
    </row>
    <row r="811">
      <c r="A811" s="1" t="s">
        <v>1240</v>
      </c>
      <c r="B811" s="3" t="s">
        <v>1241</v>
      </c>
      <c r="C811" s="1" t="s">
        <v>16</v>
      </c>
      <c r="D811" s="1" t="s">
        <v>979</v>
      </c>
      <c r="E811" s="1" t="s">
        <v>979</v>
      </c>
      <c r="F811" s="1" t="str">
        <f>IFERROR(__xludf.DUMMYFUNCTION("SPLIT(E811,""&gt;"")"),"Force of Will")</f>
        <v>Force of Will</v>
      </c>
      <c r="G811" s="1"/>
      <c r="H811" s="1" t="s">
        <v>979</v>
      </c>
      <c r="I811" s="1" t="s">
        <v>622</v>
      </c>
      <c r="J811" s="4">
        <v>42675.0</v>
      </c>
      <c r="K811" s="1">
        <v>1000.0</v>
      </c>
      <c r="L811" s="1">
        <v>500.0</v>
      </c>
      <c r="M811" s="1">
        <v>132.0</v>
      </c>
    </row>
    <row r="812" hidden="1">
      <c r="A812" s="1" t="s">
        <v>1240</v>
      </c>
      <c r="B812" s="3" t="s">
        <v>1838</v>
      </c>
      <c r="C812" s="1" t="s">
        <v>1569</v>
      </c>
      <c r="D812" s="1" t="s">
        <v>979</v>
      </c>
      <c r="E812" s="1" t="s">
        <v>979</v>
      </c>
      <c r="F812" s="1"/>
      <c r="G812" s="1"/>
      <c r="H812" s="1" t="s">
        <v>979</v>
      </c>
      <c r="I812" s="1" t="s">
        <v>622</v>
      </c>
      <c r="J812" s="4">
        <v>42675.0</v>
      </c>
      <c r="K812" s="1">
        <v>1000.0</v>
      </c>
      <c r="L812" s="1">
        <v>500.0</v>
      </c>
      <c r="M812" s="1">
        <v>132.0</v>
      </c>
    </row>
    <row r="813">
      <c r="A813" s="1" t="s">
        <v>1242</v>
      </c>
      <c r="B813" s="3" t="s">
        <v>1243</v>
      </c>
      <c r="C813" s="1" t="s">
        <v>16</v>
      </c>
      <c r="D813" s="1" t="s">
        <v>979</v>
      </c>
      <c r="E813" s="1" t="s">
        <v>979</v>
      </c>
      <c r="F813" s="1" t="str">
        <f>IFERROR(__xludf.DUMMYFUNCTION("SPLIT(E813,""&gt;"")"),"Force of Will")</f>
        <v>Force of Will</v>
      </c>
      <c r="G813" s="1"/>
      <c r="H813" s="1" t="s">
        <v>979</v>
      </c>
      <c r="I813" s="1" t="s">
        <v>622</v>
      </c>
      <c r="J813" s="4">
        <v>42675.0</v>
      </c>
      <c r="K813" s="1">
        <v>1000.0</v>
      </c>
      <c r="L813" s="1">
        <v>500.0</v>
      </c>
      <c r="M813" s="1">
        <v>133.0</v>
      </c>
    </row>
    <row r="814" hidden="1">
      <c r="A814" s="1" t="s">
        <v>1242</v>
      </c>
      <c r="B814" s="3" t="s">
        <v>1839</v>
      </c>
      <c r="C814" s="1" t="s">
        <v>1569</v>
      </c>
      <c r="D814" s="1" t="s">
        <v>979</v>
      </c>
      <c r="E814" s="1" t="s">
        <v>979</v>
      </c>
      <c r="F814" s="1"/>
      <c r="G814" s="1"/>
      <c r="H814" s="1" t="s">
        <v>979</v>
      </c>
      <c r="I814" s="1" t="s">
        <v>622</v>
      </c>
      <c r="J814" s="4">
        <v>42675.0</v>
      </c>
      <c r="K814" s="1">
        <v>1000.0</v>
      </c>
      <c r="L814" s="1">
        <v>500.0</v>
      </c>
      <c r="M814" s="1">
        <v>133.0</v>
      </c>
    </row>
    <row r="815">
      <c r="A815" s="1" t="s">
        <v>1244</v>
      </c>
      <c r="B815" s="3" t="s">
        <v>1245</v>
      </c>
      <c r="C815" s="1" t="s">
        <v>16</v>
      </c>
      <c r="D815" s="1" t="s">
        <v>979</v>
      </c>
      <c r="E815" s="1" t="s">
        <v>979</v>
      </c>
      <c r="F815" s="1" t="str">
        <f>IFERROR(__xludf.DUMMYFUNCTION("SPLIT(E815,""&gt;"")"),"Force of Will")</f>
        <v>Force of Will</v>
      </c>
      <c r="G815" s="1"/>
      <c r="H815" s="1" t="s">
        <v>979</v>
      </c>
      <c r="I815" s="1" t="s">
        <v>622</v>
      </c>
      <c r="J815" s="4">
        <v>42675.0</v>
      </c>
      <c r="K815" s="1">
        <v>1000.0</v>
      </c>
      <c r="L815" s="1">
        <v>500.0</v>
      </c>
      <c r="M815" s="1">
        <v>134.0</v>
      </c>
    </row>
    <row r="816" hidden="1">
      <c r="A816" s="1" t="s">
        <v>1244</v>
      </c>
      <c r="B816" s="3" t="s">
        <v>1840</v>
      </c>
      <c r="C816" s="1" t="s">
        <v>1569</v>
      </c>
      <c r="D816" s="1" t="s">
        <v>979</v>
      </c>
      <c r="E816" s="1" t="s">
        <v>979</v>
      </c>
      <c r="F816" s="1"/>
      <c r="G816" s="1"/>
      <c r="H816" s="1" t="s">
        <v>979</v>
      </c>
      <c r="I816" s="1" t="s">
        <v>622</v>
      </c>
      <c r="J816" s="4">
        <v>42675.0</v>
      </c>
      <c r="K816" s="1">
        <v>1000.0</v>
      </c>
      <c r="L816" s="1">
        <v>500.0</v>
      </c>
      <c r="M816" s="1">
        <v>134.0</v>
      </c>
    </row>
    <row r="817">
      <c r="A817" s="1" t="s">
        <v>1246</v>
      </c>
      <c r="B817" s="3" t="s">
        <v>1247</v>
      </c>
      <c r="C817" s="1" t="s">
        <v>16</v>
      </c>
      <c r="D817" s="1" t="s">
        <v>979</v>
      </c>
      <c r="E817" s="1" t="s">
        <v>979</v>
      </c>
      <c r="F817" s="1" t="str">
        <f>IFERROR(__xludf.DUMMYFUNCTION("SPLIT(E817,""&gt;"")"),"Force of Will")</f>
        <v>Force of Will</v>
      </c>
      <c r="G817" s="1"/>
      <c r="H817" s="1" t="s">
        <v>979</v>
      </c>
      <c r="I817" s="1" t="s">
        <v>622</v>
      </c>
      <c r="J817" s="4">
        <v>42675.0</v>
      </c>
      <c r="K817" s="1">
        <v>1000.0</v>
      </c>
      <c r="L817" s="1">
        <v>500.0</v>
      </c>
      <c r="M817" s="1">
        <v>135.0</v>
      </c>
    </row>
    <row r="818" hidden="1">
      <c r="A818" s="1" t="s">
        <v>1246</v>
      </c>
      <c r="B818" s="3" t="s">
        <v>1841</v>
      </c>
      <c r="C818" s="1" t="s">
        <v>1569</v>
      </c>
      <c r="D818" s="1" t="s">
        <v>979</v>
      </c>
      <c r="E818" s="1" t="s">
        <v>979</v>
      </c>
      <c r="F818" s="1"/>
      <c r="G818" s="1"/>
      <c r="H818" s="1" t="s">
        <v>979</v>
      </c>
      <c r="I818" s="1" t="s">
        <v>622</v>
      </c>
      <c r="J818" s="4">
        <v>42675.0</v>
      </c>
      <c r="K818" s="1">
        <v>1000.0</v>
      </c>
      <c r="L818" s="1">
        <v>500.0</v>
      </c>
      <c r="M818" s="1">
        <v>135.0</v>
      </c>
    </row>
    <row r="819">
      <c r="A819" s="1" t="s">
        <v>1248</v>
      </c>
      <c r="B819" s="3" t="s">
        <v>1249</v>
      </c>
      <c r="C819" s="1" t="s">
        <v>16</v>
      </c>
      <c r="D819" s="1" t="s">
        <v>979</v>
      </c>
      <c r="E819" s="1" t="s">
        <v>979</v>
      </c>
      <c r="F819" s="1" t="str">
        <f>IFERROR(__xludf.DUMMYFUNCTION("SPLIT(E819,""&gt;"")"),"Force of Will")</f>
        <v>Force of Will</v>
      </c>
      <c r="G819" s="1"/>
      <c r="H819" s="1" t="s">
        <v>979</v>
      </c>
      <c r="I819" s="1" t="s">
        <v>622</v>
      </c>
      <c r="J819" s="4">
        <v>42675.0</v>
      </c>
      <c r="K819" s="1">
        <v>1000.0</v>
      </c>
      <c r="L819" s="1">
        <v>500.0</v>
      </c>
      <c r="M819" s="1">
        <v>136.0</v>
      </c>
    </row>
    <row r="820" hidden="1">
      <c r="A820" s="1" t="s">
        <v>1248</v>
      </c>
      <c r="B820" s="3" t="s">
        <v>1842</v>
      </c>
      <c r="C820" s="1" t="s">
        <v>1569</v>
      </c>
      <c r="D820" s="1" t="s">
        <v>979</v>
      </c>
      <c r="E820" s="1" t="s">
        <v>979</v>
      </c>
      <c r="F820" s="1"/>
      <c r="G820" s="1"/>
      <c r="H820" s="1" t="s">
        <v>979</v>
      </c>
      <c r="I820" s="1" t="s">
        <v>622</v>
      </c>
      <c r="J820" s="4">
        <v>42675.0</v>
      </c>
      <c r="K820" s="1">
        <v>1000.0</v>
      </c>
      <c r="L820" s="1">
        <v>500.0</v>
      </c>
      <c r="M820" s="1">
        <v>136.0</v>
      </c>
    </row>
    <row r="821">
      <c r="A821" s="1" t="s">
        <v>1250</v>
      </c>
      <c r="B821" s="3" t="s">
        <v>1251</v>
      </c>
      <c r="C821" s="1" t="s">
        <v>16</v>
      </c>
      <c r="D821" s="1" t="s">
        <v>979</v>
      </c>
      <c r="E821" s="1" t="s">
        <v>979</v>
      </c>
      <c r="F821" s="1" t="str">
        <f>IFERROR(__xludf.DUMMYFUNCTION("SPLIT(E821,""&gt;"")"),"Force of Will")</f>
        <v>Force of Will</v>
      </c>
      <c r="G821" s="1"/>
      <c r="H821" s="1" t="s">
        <v>979</v>
      </c>
      <c r="I821" s="1" t="s">
        <v>622</v>
      </c>
      <c r="J821" s="4">
        <v>42675.0</v>
      </c>
      <c r="K821" s="1">
        <v>1000.0</v>
      </c>
      <c r="L821" s="1">
        <v>500.0</v>
      </c>
      <c r="M821" s="1">
        <v>137.0</v>
      </c>
    </row>
    <row r="822" hidden="1">
      <c r="A822" s="1" t="s">
        <v>1250</v>
      </c>
      <c r="B822" s="3" t="s">
        <v>1843</v>
      </c>
      <c r="C822" s="1" t="s">
        <v>1569</v>
      </c>
      <c r="D822" s="1" t="s">
        <v>979</v>
      </c>
      <c r="E822" s="1" t="s">
        <v>979</v>
      </c>
      <c r="F822" s="1"/>
      <c r="G822" s="1"/>
      <c r="H822" s="1" t="s">
        <v>979</v>
      </c>
      <c r="I822" s="1" t="s">
        <v>622</v>
      </c>
      <c r="J822" s="4">
        <v>42675.0</v>
      </c>
      <c r="K822" s="1">
        <v>1000.0</v>
      </c>
      <c r="L822" s="1">
        <v>500.0</v>
      </c>
      <c r="M822" s="1">
        <v>137.0</v>
      </c>
    </row>
    <row r="823">
      <c r="A823" s="1" t="s">
        <v>1252</v>
      </c>
      <c r="B823" s="3" t="s">
        <v>1253</v>
      </c>
      <c r="C823" s="1" t="s">
        <v>16</v>
      </c>
      <c r="D823" s="1" t="s">
        <v>979</v>
      </c>
      <c r="E823" s="1" t="s">
        <v>979</v>
      </c>
      <c r="F823" s="1" t="str">
        <f>IFERROR(__xludf.DUMMYFUNCTION("SPLIT(E823,""&gt;"")"),"Force of Will")</f>
        <v>Force of Will</v>
      </c>
      <c r="G823" s="1"/>
      <c r="H823" s="1" t="s">
        <v>979</v>
      </c>
      <c r="I823" s="1" t="s">
        <v>622</v>
      </c>
      <c r="J823" s="4">
        <v>42675.0</v>
      </c>
      <c r="K823" s="1">
        <v>1000.0</v>
      </c>
      <c r="L823" s="1">
        <v>500.0</v>
      </c>
      <c r="M823" s="1">
        <v>138.0</v>
      </c>
    </row>
    <row r="824" hidden="1">
      <c r="A824" s="1" t="s">
        <v>1252</v>
      </c>
      <c r="B824" s="3" t="s">
        <v>1844</v>
      </c>
      <c r="C824" s="1" t="s">
        <v>1569</v>
      </c>
      <c r="D824" s="1" t="s">
        <v>979</v>
      </c>
      <c r="E824" s="1" t="s">
        <v>979</v>
      </c>
      <c r="F824" s="1"/>
      <c r="G824" s="1"/>
      <c r="H824" s="1" t="s">
        <v>979</v>
      </c>
      <c r="I824" s="1" t="s">
        <v>622</v>
      </c>
      <c r="J824" s="4">
        <v>42675.0</v>
      </c>
      <c r="K824" s="1">
        <v>1000.0</v>
      </c>
      <c r="L824" s="1">
        <v>500.0</v>
      </c>
      <c r="M824" s="1">
        <v>138.0</v>
      </c>
    </row>
    <row r="825">
      <c r="A825" s="1" t="s">
        <v>1254</v>
      </c>
      <c r="B825" s="3" t="s">
        <v>1255</v>
      </c>
      <c r="C825" s="1" t="s">
        <v>16</v>
      </c>
      <c r="D825" s="1" t="s">
        <v>979</v>
      </c>
      <c r="E825" s="1" t="s">
        <v>979</v>
      </c>
      <c r="F825" s="1" t="str">
        <f>IFERROR(__xludf.DUMMYFUNCTION("SPLIT(E825,""&gt;"")"),"Force of Will")</f>
        <v>Force of Will</v>
      </c>
      <c r="G825" s="1"/>
      <c r="H825" s="1" t="s">
        <v>979</v>
      </c>
      <c r="I825" s="1" t="s">
        <v>622</v>
      </c>
      <c r="J825" s="4">
        <v>42675.0</v>
      </c>
      <c r="K825" s="1">
        <v>1000.0</v>
      </c>
      <c r="L825" s="1">
        <v>500.0</v>
      </c>
      <c r="M825" s="1">
        <v>139.0</v>
      </c>
    </row>
    <row r="826" hidden="1">
      <c r="A826" s="1" t="s">
        <v>1254</v>
      </c>
      <c r="B826" s="3" t="s">
        <v>1845</v>
      </c>
      <c r="C826" s="1" t="s">
        <v>1569</v>
      </c>
      <c r="D826" s="1" t="s">
        <v>979</v>
      </c>
      <c r="E826" s="1" t="s">
        <v>979</v>
      </c>
      <c r="F826" s="1"/>
      <c r="G826" s="1"/>
      <c r="H826" s="1" t="s">
        <v>979</v>
      </c>
      <c r="I826" s="1" t="s">
        <v>622</v>
      </c>
      <c r="J826" s="4">
        <v>42675.0</v>
      </c>
      <c r="K826" s="1">
        <v>1000.0</v>
      </c>
      <c r="L826" s="1">
        <v>500.0</v>
      </c>
      <c r="M826" s="1">
        <v>139.0</v>
      </c>
    </row>
    <row r="827">
      <c r="A827" s="1" t="s">
        <v>1256</v>
      </c>
      <c r="B827" s="3" t="s">
        <v>1257</v>
      </c>
      <c r="C827" s="1" t="s">
        <v>16</v>
      </c>
      <c r="D827" s="1" t="s">
        <v>979</v>
      </c>
      <c r="E827" s="1" t="s">
        <v>979</v>
      </c>
      <c r="F827" s="1" t="str">
        <f>IFERROR(__xludf.DUMMYFUNCTION("SPLIT(E827,""&gt;"")"),"Force of Will")</f>
        <v>Force of Will</v>
      </c>
      <c r="G827" s="1"/>
      <c r="H827" s="1" t="s">
        <v>979</v>
      </c>
      <c r="I827" s="1" t="s">
        <v>622</v>
      </c>
      <c r="J827" s="4">
        <v>42675.0</v>
      </c>
      <c r="K827" s="1">
        <v>1000.0</v>
      </c>
      <c r="L827" s="1">
        <v>500.0</v>
      </c>
      <c r="M827" s="1">
        <v>140.0</v>
      </c>
    </row>
    <row r="828" hidden="1">
      <c r="A828" s="1" t="s">
        <v>1256</v>
      </c>
      <c r="B828" s="3" t="s">
        <v>1846</v>
      </c>
      <c r="C828" s="1" t="s">
        <v>1569</v>
      </c>
      <c r="D828" s="1" t="s">
        <v>979</v>
      </c>
      <c r="E828" s="1" t="s">
        <v>979</v>
      </c>
      <c r="F828" s="1"/>
      <c r="G828" s="1"/>
      <c r="H828" s="1" t="s">
        <v>979</v>
      </c>
      <c r="I828" s="1" t="s">
        <v>622</v>
      </c>
      <c r="J828" s="4">
        <v>42675.0</v>
      </c>
      <c r="K828" s="1">
        <v>1000.0</v>
      </c>
      <c r="L828" s="1">
        <v>500.0</v>
      </c>
      <c r="M828" s="1">
        <v>140.0</v>
      </c>
    </row>
    <row r="829">
      <c r="A829" s="1" t="s">
        <v>1258</v>
      </c>
      <c r="B829" s="3" t="s">
        <v>1259</v>
      </c>
      <c r="C829" s="1" t="s">
        <v>16</v>
      </c>
      <c r="D829" s="1" t="s">
        <v>979</v>
      </c>
      <c r="E829" s="1" t="s">
        <v>979</v>
      </c>
      <c r="F829" s="1" t="str">
        <f>IFERROR(__xludf.DUMMYFUNCTION("SPLIT(E829,""&gt;"")"),"Force of Will")</f>
        <v>Force of Will</v>
      </c>
      <c r="G829" s="1"/>
      <c r="H829" s="1" t="s">
        <v>979</v>
      </c>
      <c r="I829" s="1" t="s">
        <v>622</v>
      </c>
      <c r="J829" s="4">
        <v>42675.0</v>
      </c>
      <c r="K829" s="1">
        <v>1000.0</v>
      </c>
      <c r="L829" s="1">
        <v>500.0</v>
      </c>
      <c r="M829" s="1">
        <v>141.0</v>
      </c>
    </row>
    <row r="830" hidden="1">
      <c r="A830" s="1" t="s">
        <v>1258</v>
      </c>
      <c r="B830" s="3" t="s">
        <v>1847</v>
      </c>
      <c r="C830" s="1" t="s">
        <v>1569</v>
      </c>
      <c r="D830" s="1" t="s">
        <v>979</v>
      </c>
      <c r="E830" s="1" t="s">
        <v>979</v>
      </c>
      <c r="F830" s="1"/>
      <c r="G830" s="1"/>
      <c r="H830" s="1" t="s">
        <v>979</v>
      </c>
      <c r="I830" s="1" t="s">
        <v>622</v>
      </c>
      <c r="J830" s="4">
        <v>42675.0</v>
      </c>
      <c r="K830" s="1">
        <v>1000.0</v>
      </c>
      <c r="L830" s="1">
        <v>500.0</v>
      </c>
      <c r="M830" s="1">
        <v>141.0</v>
      </c>
    </row>
    <row r="831">
      <c r="A831" s="1" t="s">
        <v>1260</v>
      </c>
      <c r="B831" s="3" t="s">
        <v>1261</v>
      </c>
      <c r="C831" s="1" t="s">
        <v>16</v>
      </c>
      <c r="D831" s="1" t="s">
        <v>979</v>
      </c>
      <c r="E831" s="1" t="s">
        <v>979</v>
      </c>
      <c r="F831" s="1" t="str">
        <f>IFERROR(__xludf.DUMMYFUNCTION("SPLIT(E831,""&gt;"")"),"Force of Will")</f>
        <v>Force of Will</v>
      </c>
      <c r="G831" s="1"/>
      <c r="H831" s="1" t="s">
        <v>979</v>
      </c>
      <c r="I831" s="1" t="s">
        <v>622</v>
      </c>
      <c r="J831" s="4">
        <v>42675.0</v>
      </c>
      <c r="K831" s="1">
        <v>1000.0</v>
      </c>
      <c r="L831" s="1">
        <v>500.0</v>
      </c>
      <c r="M831" s="1">
        <v>142.0</v>
      </c>
    </row>
    <row r="832" hidden="1">
      <c r="A832" s="1" t="s">
        <v>1260</v>
      </c>
      <c r="B832" s="3" t="s">
        <v>1848</v>
      </c>
      <c r="C832" s="1" t="s">
        <v>1569</v>
      </c>
      <c r="D832" s="1" t="s">
        <v>979</v>
      </c>
      <c r="E832" s="1" t="s">
        <v>979</v>
      </c>
      <c r="F832" s="1"/>
      <c r="G832" s="1"/>
      <c r="H832" s="1" t="s">
        <v>979</v>
      </c>
      <c r="I832" s="1" t="s">
        <v>622</v>
      </c>
      <c r="J832" s="4">
        <v>42675.0</v>
      </c>
      <c r="K832" s="1">
        <v>1000.0</v>
      </c>
      <c r="L832" s="1">
        <v>500.0</v>
      </c>
      <c r="M832" s="1">
        <v>142.0</v>
      </c>
    </row>
    <row r="833">
      <c r="A833" s="1" t="s">
        <v>1262</v>
      </c>
      <c r="B833" s="3" t="s">
        <v>1263</v>
      </c>
      <c r="C833" s="1" t="s">
        <v>16</v>
      </c>
      <c r="D833" s="1" t="s">
        <v>979</v>
      </c>
      <c r="E833" s="1" t="s">
        <v>979</v>
      </c>
      <c r="F833" s="1" t="str">
        <f>IFERROR(__xludf.DUMMYFUNCTION("SPLIT(E833,""&gt;"")"),"Force of Will")</f>
        <v>Force of Will</v>
      </c>
      <c r="G833" s="1"/>
      <c r="H833" s="1" t="s">
        <v>979</v>
      </c>
      <c r="I833" s="1" t="s">
        <v>622</v>
      </c>
      <c r="J833" s="4">
        <v>42675.0</v>
      </c>
      <c r="K833" s="1">
        <v>1000.0</v>
      </c>
      <c r="L833" s="1">
        <v>500.0</v>
      </c>
      <c r="M833" s="1">
        <v>143.0</v>
      </c>
    </row>
    <row r="834" hidden="1">
      <c r="A834" s="1" t="s">
        <v>1262</v>
      </c>
      <c r="B834" s="3" t="s">
        <v>1849</v>
      </c>
      <c r="C834" s="1" t="s">
        <v>1569</v>
      </c>
      <c r="D834" s="1" t="s">
        <v>979</v>
      </c>
      <c r="E834" s="1" t="s">
        <v>979</v>
      </c>
      <c r="F834" s="1"/>
      <c r="G834" s="1"/>
      <c r="H834" s="1" t="s">
        <v>979</v>
      </c>
      <c r="I834" s="1" t="s">
        <v>622</v>
      </c>
      <c r="J834" s="4">
        <v>42675.0</v>
      </c>
      <c r="K834" s="1">
        <v>1000.0</v>
      </c>
      <c r="L834" s="1">
        <v>500.0</v>
      </c>
      <c r="M834" s="1">
        <v>143.0</v>
      </c>
    </row>
    <row r="835">
      <c r="A835" s="1" t="s">
        <v>1264</v>
      </c>
      <c r="B835" s="3" t="s">
        <v>1265</v>
      </c>
      <c r="C835" s="1" t="s">
        <v>16</v>
      </c>
      <c r="D835" s="1" t="s">
        <v>979</v>
      </c>
      <c r="E835" s="1" t="s">
        <v>979</v>
      </c>
      <c r="F835" s="1" t="str">
        <f>IFERROR(__xludf.DUMMYFUNCTION("SPLIT(E835,""&gt;"")"),"Force of Will")</f>
        <v>Force of Will</v>
      </c>
      <c r="G835" s="1"/>
      <c r="H835" s="1" t="s">
        <v>979</v>
      </c>
      <c r="I835" s="1" t="s">
        <v>622</v>
      </c>
      <c r="J835" s="4">
        <v>42675.0</v>
      </c>
      <c r="K835" s="1">
        <v>1000.0</v>
      </c>
      <c r="L835" s="1">
        <v>500.0</v>
      </c>
      <c r="M835" s="1">
        <v>144.0</v>
      </c>
    </row>
    <row r="836" hidden="1">
      <c r="A836" s="1" t="s">
        <v>1264</v>
      </c>
      <c r="B836" s="3" t="s">
        <v>1850</v>
      </c>
      <c r="C836" s="1" t="s">
        <v>1569</v>
      </c>
      <c r="D836" s="1" t="s">
        <v>979</v>
      </c>
      <c r="E836" s="1" t="s">
        <v>979</v>
      </c>
      <c r="F836" s="1"/>
      <c r="G836" s="1"/>
      <c r="H836" s="1" t="s">
        <v>979</v>
      </c>
      <c r="I836" s="1" t="s">
        <v>622</v>
      </c>
      <c r="J836" s="4">
        <v>42675.0</v>
      </c>
      <c r="K836" s="1">
        <v>1000.0</v>
      </c>
      <c r="L836" s="1">
        <v>500.0</v>
      </c>
      <c r="M836" s="1">
        <v>144.0</v>
      </c>
    </row>
    <row r="837">
      <c r="A837" s="1" t="s">
        <v>1266</v>
      </c>
      <c r="B837" s="3" t="s">
        <v>1267</v>
      </c>
      <c r="C837" s="1" t="s">
        <v>16</v>
      </c>
      <c r="D837" s="1" t="s">
        <v>979</v>
      </c>
      <c r="E837" s="1" t="s">
        <v>979</v>
      </c>
      <c r="F837" s="1" t="str">
        <f>IFERROR(__xludf.DUMMYFUNCTION("SPLIT(E837,""&gt;"")"),"Force of Will")</f>
        <v>Force of Will</v>
      </c>
      <c r="G837" s="1"/>
      <c r="H837" s="1" t="s">
        <v>979</v>
      </c>
      <c r="I837" s="1" t="s">
        <v>622</v>
      </c>
      <c r="J837" s="4">
        <v>42675.0</v>
      </c>
      <c r="K837" s="1">
        <v>1000.0</v>
      </c>
      <c r="L837" s="1">
        <v>500.0</v>
      </c>
      <c r="M837" s="1">
        <v>145.0</v>
      </c>
    </row>
    <row r="838" hidden="1">
      <c r="A838" s="1" t="s">
        <v>1266</v>
      </c>
      <c r="B838" s="3" t="s">
        <v>1851</v>
      </c>
      <c r="C838" s="1" t="s">
        <v>1569</v>
      </c>
      <c r="D838" s="1" t="s">
        <v>979</v>
      </c>
      <c r="E838" s="1" t="s">
        <v>979</v>
      </c>
      <c r="F838" s="1"/>
      <c r="G838" s="1"/>
      <c r="H838" s="1" t="s">
        <v>979</v>
      </c>
      <c r="I838" s="1" t="s">
        <v>622</v>
      </c>
      <c r="J838" s="4">
        <v>42675.0</v>
      </c>
      <c r="K838" s="1">
        <v>1000.0</v>
      </c>
      <c r="L838" s="1">
        <v>500.0</v>
      </c>
      <c r="M838" s="1">
        <v>145.0</v>
      </c>
    </row>
    <row r="839">
      <c r="A839" s="1" t="s">
        <v>1268</v>
      </c>
      <c r="B839" s="3" t="s">
        <v>1269</v>
      </c>
      <c r="C839" s="1" t="s">
        <v>16</v>
      </c>
      <c r="D839" s="1" t="s">
        <v>979</v>
      </c>
      <c r="E839" s="1" t="s">
        <v>979</v>
      </c>
      <c r="F839" s="1" t="str">
        <f>IFERROR(__xludf.DUMMYFUNCTION("SPLIT(E839,""&gt;"")"),"Force of Will")</f>
        <v>Force of Will</v>
      </c>
      <c r="G839" s="1"/>
      <c r="H839" s="1" t="s">
        <v>979</v>
      </c>
      <c r="I839" s="1" t="s">
        <v>622</v>
      </c>
      <c r="J839" s="4">
        <v>42675.0</v>
      </c>
      <c r="K839" s="1">
        <v>1000.0</v>
      </c>
      <c r="L839" s="1">
        <v>500.0</v>
      </c>
      <c r="M839" s="1">
        <v>146.0</v>
      </c>
    </row>
    <row r="840" hidden="1">
      <c r="A840" s="1" t="s">
        <v>1268</v>
      </c>
      <c r="B840" s="3" t="s">
        <v>1852</v>
      </c>
      <c r="C840" s="1" t="s">
        <v>1569</v>
      </c>
      <c r="D840" s="1" t="s">
        <v>979</v>
      </c>
      <c r="E840" s="1" t="s">
        <v>979</v>
      </c>
      <c r="F840" s="1"/>
      <c r="G840" s="1"/>
      <c r="H840" s="1" t="s">
        <v>979</v>
      </c>
      <c r="I840" s="1" t="s">
        <v>622</v>
      </c>
      <c r="J840" s="4">
        <v>42675.0</v>
      </c>
      <c r="K840" s="1">
        <v>1000.0</v>
      </c>
      <c r="L840" s="1">
        <v>500.0</v>
      </c>
      <c r="M840" s="1">
        <v>146.0</v>
      </c>
    </row>
    <row r="841">
      <c r="A841" s="1" t="s">
        <v>1270</v>
      </c>
      <c r="B841" s="3" t="s">
        <v>1271</v>
      </c>
      <c r="C841" s="1" t="s">
        <v>16</v>
      </c>
      <c r="D841" s="1" t="s">
        <v>979</v>
      </c>
      <c r="E841" s="1" t="s">
        <v>979</v>
      </c>
      <c r="F841" s="1" t="str">
        <f>IFERROR(__xludf.DUMMYFUNCTION("SPLIT(E841,""&gt;"")"),"Force of Will")</f>
        <v>Force of Will</v>
      </c>
      <c r="G841" s="1"/>
      <c r="H841" s="1" t="s">
        <v>979</v>
      </c>
      <c r="I841" s="1" t="s">
        <v>622</v>
      </c>
      <c r="J841" s="4">
        <v>42675.0</v>
      </c>
      <c r="K841" s="1">
        <v>1000.0</v>
      </c>
      <c r="L841" s="1">
        <v>500.0</v>
      </c>
      <c r="M841" s="1">
        <v>147.0</v>
      </c>
    </row>
    <row r="842" hidden="1">
      <c r="A842" s="1" t="s">
        <v>1270</v>
      </c>
      <c r="B842" s="3" t="s">
        <v>1853</v>
      </c>
      <c r="C842" s="1" t="s">
        <v>1569</v>
      </c>
      <c r="D842" s="1" t="s">
        <v>979</v>
      </c>
      <c r="E842" s="1" t="s">
        <v>979</v>
      </c>
      <c r="F842" s="1"/>
      <c r="G842" s="1"/>
      <c r="H842" s="1" t="s">
        <v>979</v>
      </c>
      <c r="I842" s="1" t="s">
        <v>622</v>
      </c>
      <c r="J842" s="4">
        <v>42675.0</v>
      </c>
      <c r="K842" s="1">
        <v>1000.0</v>
      </c>
      <c r="L842" s="1">
        <v>500.0</v>
      </c>
      <c r="M842" s="1">
        <v>147.0</v>
      </c>
    </row>
    <row r="843">
      <c r="A843" s="1" t="s">
        <v>1272</v>
      </c>
      <c r="B843" s="3" t="s">
        <v>1273</v>
      </c>
      <c r="C843" s="1" t="s">
        <v>16</v>
      </c>
      <c r="D843" s="1" t="s">
        <v>979</v>
      </c>
      <c r="E843" s="1" t="s">
        <v>979</v>
      </c>
      <c r="F843" s="1" t="str">
        <f>IFERROR(__xludf.DUMMYFUNCTION("SPLIT(E843,""&gt;"")"),"Force of Will")</f>
        <v>Force of Will</v>
      </c>
      <c r="G843" s="1"/>
      <c r="H843" s="1" t="s">
        <v>979</v>
      </c>
      <c r="I843" s="1" t="s">
        <v>622</v>
      </c>
      <c r="J843" s="4">
        <v>42675.0</v>
      </c>
      <c r="K843" s="1">
        <v>1000.0</v>
      </c>
      <c r="L843" s="1">
        <v>500.0</v>
      </c>
      <c r="M843" s="1">
        <v>148.0</v>
      </c>
    </row>
    <row r="844" hidden="1">
      <c r="A844" s="1" t="s">
        <v>1272</v>
      </c>
      <c r="B844" s="3" t="s">
        <v>1854</v>
      </c>
      <c r="C844" s="1" t="s">
        <v>1569</v>
      </c>
      <c r="D844" s="1" t="s">
        <v>979</v>
      </c>
      <c r="E844" s="1" t="s">
        <v>979</v>
      </c>
      <c r="F844" s="1"/>
      <c r="G844" s="1"/>
      <c r="H844" s="1" t="s">
        <v>979</v>
      </c>
      <c r="I844" s="1" t="s">
        <v>622</v>
      </c>
      <c r="J844" s="4">
        <v>42675.0</v>
      </c>
      <c r="K844" s="1">
        <v>1000.0</v>
      </c>
      <c r="L844" s="1">
        <v>500.0</v>
      </c>
      <c r="M844" s="1">
        <v>148.0</v>
      </c>
    </row>
    <row r="845">
      <c r="A845" s="1" t="s">
        <v>1274</v>
      </c>
      <c r="B845" s="3" t="s">
        <v>1275</v>
      </c>
      <c r="C845" s="1" t="s">
        <v>16</v>
      </c>
      <c r="D845" s="1" t="s">
        <v>979</v>
      </c>
      <c r="E845" s="1" t="s">
        <v>979</v>
      </c>
      <c r="F845" s="1" t="str">
        <f>IFERROR(__xludf.DUMMYFUNCTION("SPLIT(E845,""&gt;"")"),"Force of Will")</f>
        <v>Force of Will</v>
      </c>
      <c r="G845" s="1"/>
      <c r="H845" s="1" t="s">
        <v>979</v>
      </c>
      <c r="I845" s="1" t="s">
        <v>622</v>
      </c>
      <c r="J845" s="4">
        <v>42675.0</v>
      </c>
      <c r="K845" s="1">
        <v>1000.0</v>
      </c>
      <c r="L845" s="1">
        <v>500.0</v>
      </c>
      <c r="M845" s="1">
        <v>149.0</v>
      </c>
    </row>
    <row r="846" hidden="1">
      <c r="A846" s="1" t="s">
        <v>1274</v>
      </c>
      <c r="B846" s="3" t="s">
        <v>1855</v>
      </c>
      <c r="C846" s="1" t="s">
        <v>1569</v>
      </c>
      <c r="D846" s="1" t="s">
        <v>979</v>
      </c>
      <c r="E846" s="1" t="s">
        <v>979</v>
      </c>
      <c r="F846" s="1"/>
      <c r="G846" s="1"/>
      <c r="H846" s="1" t="s">
        <v>979</v>
      </c>
      <c r="I846" s="1" t="s">
        <v>622</v>
      </c>
      <c r="J846" s="4">
        <v>42675.0</v>
      </c>
      <c r="K846" s="1">
        <v>1000.0</v>
      </c>
      <c r="L846" s="1">
        <v>500.0</v>
      </c>
      <c r="M846" s="1">
        <v>149.0</v>
      </c>
    </row>
    <row r="847">
      <c r="A847" s="1" t="s">
        <v>1276</v>
      </c>
      <c r="B847" s="3" t="s">
        <v>1277</v>
      </c>
      <c r="C847" s="1" t="s">
        <v>16</v>
      </c>
      <c r="D847" s="1" t="s">
        <v>979</v>
      </c>
      <c r="E847" s="1" t="s">
        <v>979</v>
      </c>
      <c r="F847" s="1" t="str">
        <f>IFERROR(__xludf.DUMMYFUNCTION("SPLIT(E847,""&gt;"")"),"Force of Will")</f>
        <v>Force of Will</v>
      </c>
      <c r="G847" s="1"/>
      <c r="H847" s="1" t="s">
        <v>979</v>
      </c>
      <c r="I847" s="1" t="s">
        <v>622</v>
      </c>
      <c r="J847" s="4">
        <v>42675.0</v>
      </c>
      <c r="K847" s="1">
        <v>1000.0</v>
      </c>
      <c r="L847" s="1">
        <v>500.0</v>
      </c>
      <c r="M847" s="1">
        <v>150.0</v>
      </c>
    </row>
    <row r="848" hidden="1">
      <c r="A848" s="1" t="s">
        <v>1276</v>
      </c>
      <c r="B848" s="3" t="s">
        <v>1856</v>
      </c>
      <c r="C848" s="1" t="s">
        <v>1569</v>
      </c>
      <c r="D848" s="1" t="s">
        <v>979</v>
      </c>
      <c r="E848" s="1" t="s">
        <v>979</v>
      </c>
      <c r="F848" s="1"/>
      <c r="G848" s="1"/>
      <c r="H848" s="1" t="s">
        <v>979</v>
      </c>
      <c r="I848" s="1" t="s">
        <v>622</v>
      </c>
      <c r="J848" s="4">
        <v>42675.0</v>
      </c>
      <c r="K848" s="1">
        <v>1000.0</v>
      </c>
      <c r="L848" s="1">
        <v>500.0</v>
      </c>
      <c r="M848" s="1">
        <v>150.0</v>
      </c>
    </row>
    <row r="849">
      <c r="A849" s="1" t="s">
        <v>1278</v>
      </c>
      <c r="B849" s="3" t="s">
        <v>1279</v>
      </c>
      <c r="C849" s="1" t="s">
        <v>16</v>
      </c>
      <c r="D849" s="1" t="s">
        <v>979</v>
      </c>
      <c r="E849" s="1" t="s">
        <v>979</v>
      </c>
      <c r="F849" s="1" t="str">
        <f>IFERROR(__xludf.DUMMYFUNCTION("SPLIT(E849,""&gt;"")"),"Force of Will")</f>
        <v>Force of Will</v>
      </c>
      <c r="G849" s="1"/>
      <c r="H849" s="1" t="s">
        <v>979</v>
      </c>
      <c r="I849" s="1" t="s">
        <v>622</v>
      </c>
      <c r="J849" s="4">
        <v>42675.0</v>
      </c>
      <c r="K849" s="1">
        <v>1000.0</v>
      </c>
      <c r="L849" s="1">
        <v>500.0</v>
      </c>
      <c r="M849" s="1">
        <v>151.0</v>
      </c>
    </row>
    <row r="850" hidden="1">
      <c r="A850" s="1" t="s">
        <v>1278</v>
      </c>
      <c r="B850" s="3" t="s">
        <v>1857</v>
      </c>
      <c r="C850" s="1" t="s">
        <v>1569</v>
      </c>
      <c r="D850" s="1" t="s">
        <v>979</v>
      </c>
      <c r="E850" s="1" t="s">
        <v>979</v>
      </c>
      <c r="F850" s="1"/>
      <c r="G850" s="1"/>
      <c r="H850" s="1" t="s">
        <v>979</v>
      </c>
      <c r="I850" s="1" t="s">
        <v>622</v>
      </c>
      <c r="J850" s="4">
        <v>42675.0</v>
      </c>
      <c r="K850" s="1">
        <v>1000.0</v>
      </c>
      <c r="L850" s="1">
        <v>500.0</v>
      </c>
      <c r="M850" s="1">
        <v>151.0</v>
      </c>
    </row>
    <row r="851">
      <c r="A851" s="1" t="s">
        <v>1280</v>
      </c>
      <c r="B851" s="3" t="s">
        <v>1281</v>
      </c>
      <c r="C851" s="1" t="s">
        <v>16</v>
      </c>
      <c r="D851" s="1" t="s">
        <v>979</v>
      </c>
      <c r="E851" s="1" t="s">
        <v>979</v>
      </c>
      <c r="F851" s="1" t="str">
        <f>IFERROR(__xludf.DUMMYFUNCTION("SPLIT(E851,""&gt;"")"),"Force of Will")</f>
        <v>Force of Will</v>
      </c>
      <c r="G851" s="1"/>
      <c r="H851" s="1" t="s">
        <v>979</v>
      </c>
      <c r="I851" s="1" t="s">
        <v>622</v>
      </c>
      <c r="J851" s="4">
        <v>42675.0</v>
      </c>
      <c r="K851" s="1">
        <v>1000.0</v>
      </c>
      <c r="L851" s="1">
        <v>500.0</v>
      </c>
      <c r="M851" s="1">
        <v>152.0</v>
      </c>
    </row>
    <row r="852" hidden="1">
      <c r="A852" s="1" t="s">
        <v>1280</v>
      </c>
      <c r="B852" s="3" t="s">
        <v>1858</v>
      </c>
      <c r="C852" s="1" t="s">
        <v>1569</v>
      </c>
      <c r="D852" s="1" t="s">
        <v>979</v>
      </c>
      <c r="E852" s="1" t="s">
        <v>979</v>
      </c>
      <c r="F852" s="1"/>
      <c r="G852" s="1"/>
      <c r="H852" s="1" t="s">
        <v>979</v>
      </c>
      <c r="I852" s="1" t="s">
        <v>622</v>
      </c>
      <c r="J852" s="4">
        <v>42675.0</v>
      </c>
      <c r="K852" s="1">
        <v>1000.0</v>
      </c>
      <c r="L852" s="1">
        <v>500.0</v>
      </c>
      <c r="M852" s="1">
        <v>152.0</v>
      </c>
    </row>
    <row r="853">
      <c r="A853" s="1" t="s">
        <v>1282</v>
      </c>
      <c r="B853" s="3" t="s">
        <v>1283</v>
      </c>
      <c r="C853" s="1" t="s">
        <v>16</v>
      </c>
      <c r="D853" s="1" t="s">
        <v>979</v>
      </c>
      <c r="E853" s="1" t="s">
        <v>979</v>
      </c>
      <c r="F853" s="1" t="str">
        <f>IFERROR(__xludf.DUMMYFUNCTION("SPLIT(E853,""&gt;"")"),"Force of Will")</f>
        <v>Force of Will</v>
      </c>
      <c r="G853" s="1"/>
      <c r="H853" s="1" t="s">
        <v>979</v>
      </c>
      <c r="I853" s="1" t="s">
        <v>622</v>
      </c>
      <c r="J853" s="4">
        <v>42675.0</v>
      </c>
      <c r="K853" s="1">
        <v>1000.0</v>
      </c>
      <c r="L853" s="1">
        <v>500.0</v>
      </c>
      <c r="M853" s="1">
        <v>153.0</v>
      </c>
    </row>
    <row r="854" hidden="1">
      <c r="A854" s="1" t="s">
        <v>1282</v>
      </c>
      <c r="B854" s="3" t="s">
        <v>1859</v>
      </c>
      <c r="C854" s="1" t="s">
        <v>1569</v>
      </c>
      <c r="D854" s="1" t="s">
        <v>979</v>
      </c>
      <c r="E854" s="1" t="s">
        <v>979</v>
      </c>
      <c r="F854" s="1"/>
      <c r="G854" s="1"/>
      <c r="H854" s="1" t="s">
        <v>979</v>
      </c>
      <c r="I854" s="1" t="s">
        <v>622</v>
      </c>
      <c r="J854" s="4">
        <v>42675.0</v>
      </c>
      <c r="K854" s="1">
        <v>1000.0</v>
      </c>
      <c r="L854" s="1">
        <v>500.0</v>
      </c>
      <c r="M854" s="1">
        <v>153.0</v>
      </c>
    </row>
    <row r="855">
      <c r="A855" s="1" t="s">
        <v>1284</v>
      </c>
      <c r="B855" s="3" t="s">
        <v>1285</v>
      </c>
      <c r="C855" s="1" t="s">
        <v>16</v>
      </c>
      <c r="D855" s="1" t="s">
        <v>979</v>
      </c>
      <c r="E855" s="1" t="s">
        <v>979</v>
      </c>
      <c r="F855" s="1" t="str">
        <f>IFERROR(__xludf.DUMMYFUNCTION("SPLIT(E855,""&gt;"")"),"Force of Will")</f>
        <v>Force of Will</v>
      </c>
      <c r="G855" s="1"/>
      <c r="H855" s="1" t="s">
        <v>979</v>
      </c>
      <c r="I855" s="1" t="s">
        <v>622</v>
      </c>
      <c r="J855" s="4">
        <v>42675.0</v>
      </c>
      <c r="K855" s="1">
        <v>1000.0</v>
      </c>
      <c r="L855" s="1">
        <v>500.0</v>
      </c>
      <c r="M855" s="1">
        <v>154.0</v>
      </c>
    </row>
    <row r="856" hidden="1">
      <c r="A856" s="1" t="s">
        <v>1284</v>
      </c>
      <c r="B856" s="3" t="s">
        <v>1860</v>
      </c>
      <c r="C856" s="1" t="s">
        <v>1569</v>
      </c>
      <c r="D856" s="1" t="s">
        <v>979</v>
      </c>
      <c r="E856" s="1" t="s">
        <v>979</v>
      </c>
      <c r="F856" s="1"/>
      <c r="G856" s="1"/>
      <c r="H856" s="1" t="s">
        <v>979</v>
      </c>
      <c r="I856" s="1" t="s">
        <v>622</v>
      </c>
      <c r="J856" s="4">
        <v>42675.0</v>
      </c>
      <c r="K856" s="1">
        <v>1000.0</v>
      </c>
      <c r="L856" s="1">
        <v>500.0</v>
      </c>
      <c r="M856" s="1">
        <v>154.0</v>
      </c>
    </row>
    <row r="857">
      <c r="A857" s="1" t="s">
        <v>1286</v>
      </c>
      <c r="B857" s="3" t="s">
        <v>1287</v>
      </c>
      <c r="C857" s="1" t="s">
        <v>16</v>
      </c>
      <c r="D857" s="1" t="s">
        <v>979</v>
      </c>
      <c r="E857" s="1" t="s">
        <v>979</v>
      </c>
      <c r="F857" s="1" t="str">
        <f>IFERROR(__xludf.DUMMYFUNCTION("SPLIT(E857,""&gt;"")"),"Force of Will")</f>
        <v>Force of Will</v>
      </c>
      <c r="G857" s="1"/>
      <c r="H857" s="1" t="s">
        <v>979</v>
      </c>
      <c r="I857" s="1" t="s">
        <v>622</v>
      </c>
      <c r="J857" s="4">
        <v>42675.0</v>
      </c>
      <c r="K857" s="1">
        <v>1000.0</v>
      </c>
      <c r="L857" s="1">
        <v>500.0</v>
      </c>
      <c r="M857" s="1">
        <v>155.0</v>
      </c>
    </row>
    <row r="858" hidden="1">
      <c r="A858" s="1" t="s">
        <v>1286</v>
      </c>
      <c r="B858" s="3" t="s">
        <v>1861</v>
      </c>
      <c r="C858" s="1" t="s">
        <v>1569</v>
      </c>
      <c r="D858" s="1" t="s">
        <v>979</v>
      </c>
      <c r="E858" s="1" t="s">
        <v>979</v>
      </c>
      <c r="F858" s="1"/>
      <c r="G858" s="1"/>
      <c r="H858" s="1" t="s">
        <v>979</v>
      </c>
      <c r="I858" s="1" t="s">
        <v>622</v>
      </c>
      <c r="J858" s="4">
        <v>42675.0</v>
      </c>
      <c r="K858" s="1">
        <v>1000.0</v>
      </c>
      <c r="L858" s="1">
        <v>500.0</v>
      </c>
      <c r="M858" s="1">
        <v>155.0</v>
      </c>
    </row>
    <row r="859">
      <c r="A859" s="1" t="s">
        <v>1288</v>
      </c>
      <c r="B859" s="3" t="s">
        <v>1289</v>
      </c>
      <c r="C859" s="1" t="s">
        <v>16</v>
      </c>
      <c r="D859" s="1" t="s">
        <v>979</v>
      </c>
      <c r="E859" s="1" t="s">
        <v>979</v>
      </c>
      <c r="F859" s="1" t="str">
        <f>IFERROR(__xludf.DUMMYFUNCTION("SPLIT(E859,""&gt;"")"),"Force of Will")</f>
        <v>Force of Will</v>
      </c>
      <c r="G859" s="1"/>
      <c r="H859" s="1" t="s">
        <v>979</v>
      </c>
      <c r="I859" s="1" t="s">
        <v>622</v>
      </c>
      <c r="J859" s="4">
        <v>42675.0</v>
      </c>
      <c r="K859" s="1">
        <v>1000.0</v>
      </c>
      <c r="L859" s="1">
        <v>500.0</v>
      </c>
      <c r="M859" s="1">
        <v>156.0</v>
      </c>
    </row>
    <row r="860" hidden="1">
      <c r="A860" s="1" t="s">
        <v>1288</v>
      </c>
      <c r="B860" s="3" t="s">
        <v>1862</v>
      </c>
      <c r="C860" s="1" t="s">
        <v>1569</v>
      </c>
      <c r="D860" s="1" t="s">
        <v>979</v>
      </c>
      <c r="E860" s="1" t="s">
        <v>979</v>
      </c>
      <c r="F860" s="1"/>
      <c r="G860" s="1"/>
      <c r="H860" s="1" t="s">
        <v>979</v>
      </c>
      <c r="I860" s="1" t="s">
        <v>622</v>
      </c>
      <c r="J860" s="4">
        <v>42675.0</v>
      </c>
      <c r="K860" s="1">
        <v>1000.0</v>
      </c>
      <c r="L860" s="1">
        <v>500.0</v>
      </c>
      <c r="M860" s="1">
        <v>156.0</v>
      </c>
    </row>
    <row r="861">
      <c r="A861" s="1" t="s">
        <v>1290</v>
      </c>
      <c r="B861" s="3" t="s">
        <v>1291</v>
      </c>
      <c r="C861" s="1" t="s">
        <v>16</v>
      </c>
      <c r="D861" s="1" t="s">
        <v>979</v>
      </c>
      <c r="E861" s="1" t="s">
        <v>979</v>
      </c>
      <c r="F861" s="1" t="str">
        <f>IFERROR(__xludf.DUMMYFUNCTION("SPLIT(E861,""&gt;"")"),"Force of Will")</f>
        <v>Force of Will</v>
      </c>
      <c r="G861" s="1"/>
      <c r="H861" s="1" t="s">
        <v>979</v>
      </c>
      <c r="I861" s="1" t="s">
        <v>622</v>
      </c>
      <c r="J861" s="4">
        <v>42675.0</v>
      </c>
      <c r="K861" s="1">
        <v>1000.0</v>
      </c>
      <c r="L861" s="1">
        <v>500.0</v>
      </c>
      <c r="M861" s="1">
        <v>157.0</v>
      </c>
    </row>
    <row r="862" hidden="1">
      <c r="A862" s="1" t="s">
        <v>1290</v>
      </c>
      <c r="B862" s="3" t="s">
        <v>1863</v>
      </c>
      <c r="C862" s="1" t="s">
        <v>1569</v>
      </c>
      <c r="D862" s="1" t="s">
        <v>979</v>
      </c>
      <c r="E862" s="1" t="s">
        <v>979</v>
      </c>
      <c r="F862" s="1"/>
      <c r="G862" s="1"/>
      <c r="H862" s="1" t="s">
        <v>979</v>
      </c>
      <c r="I862" s="1" t="s">
        <v>622</v>
      </c>
      <c r="J862" s="4">
        <v>42675.0</v>
      </c>
      <c r="K862" s="1">
        <v>1000.0</v>
      </c>
      <c r="L862" s="1">
        <v>500.0</v>
      </c>
      <c r="M862" s="1">
        <v>157.0</v>
      </c>
    </row>
    <row r="863">
      <c r="A863" s="1" t="s">
        <v>1292</v>
      </c>
      <c r="B863" s="3" t="s">
        <v>1293</v>
      </c>
      <c r="C863" s="1" t="s">
        <v>16</v>
      </c>
      <c r="D863" s="1" t="s">
        <v>979</v>
      </c>
      <c r="E863" s="1" t="s">
        <v>979</v>
      </c>
      <c r="F863" s="1" t="str">
        <f>IFERROR(__xludf.DUMMYFUNCTION("SPLIT(E863,""&gt;"")"),"Force of Will")</f>
        <v>Force of Will</v>
      </c>
      <c r="G863" s="1"/>
      <c r="H863" s="1" t="s">
        <v>979</v>
      </c>
      <c r="I863" s="1" t="s">
        <v>622</v>
      </c>
      <c r="J863" s="4">
        <v>42675.0</v>
      </c>
      <c r="K863" s="1">
        <v>1000.0</v>
      </c>
      <c r="L863" s="1">
        <v>500.0</v>
      </c>
      <c r="M863" s="1">
        <v>158.0</v>
      </c>
    </row>
    <row r="864" hidden="1">
      <c r="A864" s="1" t="s">
        <v>1292</v>
      </c>
      <c r="B864" s="3" t="s">
        <v>1864</v>
      </c>
      <c r="C864" s="1" t="s">
        <v>1569</v>
      </c>
      <c r="D864" s="1" t="s">
        <v>979</v>
      </c>
      <c r="E864" s="1" t="s">
        <v>979</v>
      </c>
      <c r="F864" s="1"/>
      <c r="G864" s="1"/>
      <c r="H864" s="1" t="s">
        <v>979</v>
      </c>
      <c r="I864" s="1" t="s">
        <v>622</v>
      </c>
      <c r="J864" s="4">
        <v>42675.0</v>
      </c>
      <c r="K864" s="1">
        <v>1000.0</v>
      </c>
      <c r="L864" s="1">
        <v>500.0</v>
      </c>
      <c r="M864" s="1">
        <v>158.0</v>
      </c>
    </row>
    <row r="865">
      <c r="A865" s="1" t="s">
        <v>1294</v>
      </c>
      <c r="B865" s="3" t="s">
        <v>1295</v>
      </c>
      <c r="C865" s="1" t="s">
        <v>16</v>
      </c>
      <c r="D865" s="1" t="s">
        <v>979</v>
      </c>
      <c r="E865" s="1" t="s">
        <v>979</v>
      </c>
      <c r="F865" s="1" t="str">
        <f>IFERROR(__xludf.DUMMYFUNCTION("SPLIT(E865,""&gt;"")"),"Force of Will")</f>
        <v>Force of Will</v>
      </c>
      <c r="G865" s="1"/>
      <c r="H865" s="1" t="s">
        <v>979</v>
      </c>
      <c r="I865" s="1" t="s">
        <v>622</v>
      </c>
      <c r="J865" s="4">
        <v>42675.0</v>
      </c>
      <c r="K865" s="1">
        <v>1000.0</v>
      </c>
      <c r="L865" s="1">
        <v>500.0</v>
      </c>
      <c r="M865" s="1">
        <v>159.0</v>
      </c>
    </row>
    <row r="866" hidden="1">
      <c r="A866" s="1" t="s">
        <v>1294</v>
      </c>
      <c r="B866" s="3" t="s">
        <v>1865</v>
      </c>
      <c r="C866" s="1" t="s">
        <v>1569</v>
      </c>
      <c r="D866" s="1" t="s">
        <v>979</v>
      </c>
      <c r="E866" s="1" t="s">
        <v>979</v>
      </c>
      <c r="F866" s="1"/>
      <c r="G866" s="1"/>
      <c r="H866" s="1" t="s">
        <v>979</v>
      </c>
      <c r="I866" s="1" t="s">
        <v>622</v>
      </c>
      <c r="J866" s="4">
        <v>42675.0</v>
      </c>
      <c r="K866" s="1">
        <v>1000.0</v>
      </c>
      <c r="L866" s="1">
        <v>500.0</v>
      </c>
      <c r="M866" s="1">
        <v>159.0</v>
      </c>
    </row>
    <row r="867">
      <c r="A867" s="1" t="s">
        <v>1296</v>
      </c>
      <c r="B867" s="3" t="s">
        <v>1297</v>
      </c>
      <c r="C867" s="1" t="s">
        <v>16</v>
      </c>
      <c r="D867" s="1" t="s">
        <v>979</v>
      </c>
      <c r="E867" s="1" t="s">
        <v>979</v>
      </c>
      <c r="F867" s="1" t="str">
        <f>IFERROR(__xludf.DUMMYFUNCTION("SPLIT(E867,""&gt;"")"),"Force of Will")</f>
        <v>Force of Will</v>
      </c>
      <c r="G867" s="1"/>
      <c r="H867" s="1" t="s">
        <v>979</v>
      </c>
      <c r="I867" s="1" t="s">
        <v>622</v>
      </c>
      <c r="J867" s="4">
        <v>42675.0</v>
      </c>
      <c r="K867" s="1">
        <v>1000.0</v>
      </c>
      <c r="L867" s="1">
        <v>500.0</v>
      </c>
      <c r="M867" s="1">
        <v>160.0</v>
      </c>
    </row>
    <row r="868" hidden="1">
      <c r="A868" s="1" t="s">
        <v>1296</v>
      </c>
      <c r="B868" s="3" t="s">
        <v>1866</v>
      </c>
      <c r="C868" s="1" t="s">
        <v>1569</v>
      </c>
      <c r="D868" s="1" t="s">
        <v>979</v>
      </c>
      <c r="E868" s="1" t="s">
        <v>979</v>
      </c>
      <c r="F868" s="1"/>
      <c r="G868" s="1"/>
      <c r="H868" s="1" t="s">
        <v>979</v>
      </c>
      <c r="I868" s="1" t="s">
        <v>622</v>
      </c>
      <c r="J868" s="4">
        <v>42675.0</v>
      </c>
      <c r="K868" s="1">
        <v>1000.0</v>
      </c>
      <c r="L868" s="1">
        <v>500.0</v>
      </c>
      <c r="M868" s="1">
        <v>160.0</v>
      </c>
    </row>
    <row r="869" hidden="1">
      <c r="A869" s="1" t="s">
        <v>32</v>
      </c>
      <c r="B869" s="3" t="s">
        <v>1867</v>
      </c>
      <c r="C869" s="1" t="s">
        <v>1569</v>
      </c>
      <c r="D869" s="1" t="s">
        <v>34</v>
      </c>
      <c r="E869" s="1" t="s">
        <v>18</v>
      </c>
      <c r="F869" s="1"/>
      <c r="G869" s="1"/>
      <c r="H869" s="1" t="s">
        <v>34</v>
      </c>
      <c r="I869" s="1" t="s">
        <v>35</v>
      </c>
      <c r="J869" s="4">
        <v>44470.0</v>
      </c>
      <c r="K869" s="1">
        <v>250.0</v>
      </c>
      <c r="L869" s="1">
        <v>250.0</v>
      </c>
      <c r="M869" s="1">
        <v>3.0</v>
      </c>
    </row>
    <row r="870" hidden="1">
      <c r="A870" s="1" t="s">
        <v>48</v>
      </c>
      <c r="B870" s="3" t="s">
        <v>1868</v>
      </c>
      <c r="C870" s="1" t="s">
        <v>1569</v>
      </c>
      <c r="D870" s="1" t="s">
        <v>50</v>
      </c>
      <c r="E870" s="1" t="s">
        <v>18</v>
      </c>
      <c r="F870" s="1"/>
      <c r="G870" s="1"/>
      <c r="H870" s="1" t="s">
        <v>50</v>
      </c>
      <c r="I870" s="1" t="s">
        <v>35</v>
      </c>
      <c r="J870" s="4">
        <v>44470.0</v>
      </c>
      <c r="K870" s="1">
        <v>250.0</v>
      </c>
      <c r="L870" s="1">
        <v>250.0</v>
      </c>
      <c r="M870" s="1">
        <v>4.0</v>
      </c>
    </row>
    <row r="871" hidden="1">
      <c r="A871" s="1" t="s">
        <v>42</v>
      </c>
      <c r="B871" s="3" t="s">
        <v>1869</v>
      </c>
      <c r="C871" s="1" t="s">
        <v>1569</v>
      </c>
      <c r="D871" s="1" t="s">
        <v>44</v>
      </c>
      <c r="E871" s="1" t="s">
        <v>18</v>
      </c>
      <c r="F871" s="1"/>
      <c r="G871" s="1"/>
      <c r="H871" s="1" t="s">
        <v>44</v>
      </c>
      <c r="I871" s="1" t="s">
        <v>35</v>
      </c>
      <c r="J871" s="4">
        <v>44470.0</v>
      </c>
      <c r="K871" s="1">
        <v>250.0</v>
      </c>
      <c r="L871" s="1">
        <v>250.0</v>
      </c>
      <c r="M871" s="1">
        <v>5.0</v>
      </c>
    </row>
    <row r="872" hidden="1">
      <c r="A872" s="1" t="s">
        <v>45</v>
      </c>
      <c r="B872" s="3" t="s">
        <v>1870</v>
      </c>
      <c r="C872" s="1" t="s">
        <v>1569</v>
      </c>
      <c r="D872" s="1" t="s">
        <v>47</v>
      </c>
      <c r="E872" s="1" t="s">
        <v>18</v>
      </c>
      <c r="F872" s="1"/>
      <c r="G872" s="1"/>
      <c r="H872" s="1" t="s">
        <v>47</v>
      </c>
      <c r="I872" s="1" t="s">
        <v>35</v>
      </c>
      <c r="J872" s="4">
        <v>44470.0</v>
      </c>
      <c r="K872" s="1">
        <v>250.0</v>
      </c>
      <c r="L872" s="1">
        <v>250.0</v>
      </c>
      <c r="M872" s="1">
        <v>6.0</v>
      </c>
    </row>
    <row r="873" hidden="1">
      <c r="A873" s="1" t="s">
        <v>69</v>
      </c>
      <c r="B873" s="3" t="s">
        <v>1871</v>
      </c>
      <c r="C873" s="1" t="s">
        <v>1569</v>
      </c>
      <c r="D873" s="1" t="s">
        <v>71</v>
      </c>
      <c r="E873" s="1" t="s">
        <v>67</v>
      </c>
      <c r="F873" s="1"/>
      <c r="G873" s="1"/>
      <c r="H873" s="1" t="s">
        <v>71</v>
      </c>
      <c r="I873" s="1" t="s">
        <v>68</v>
      </c>
      <c r="J873" s="4">
        <v>42826.0</v>
      </c>
      <c r="K873" s="1">
        <v>100.0</v>
      </c>
      <c r="L873" s="1">
        <v>100.0</v>
      </c>
      <c r="M873" s="1">
        <v>2.0</v>
      </c>
    </row>
    <row r="874" hidden="1">
      <c r="A874" s="1" t="s">
        <v>36</v>
      </c>
      <c r="B874" s="3" t="s">
        <v>1872</v>
      </c>
      <c r="C874" s="1" t="s">
        <v>1569</v>
      </c>
      <c r="D874" s="1" t="s">
        <v>38</v>
      </c>
      <c r="E874" s="1" t="s">
        <v>39</v>
      </c>
      <c r="F874" s="1"/>
      <c r="G874" s="1"/>
      <c r="H874" s="1" t="s">
        <v>38</v>
      </c>
      <c r="I874" s="1" t="s">
        <v>35</v>
      </c>
      <c r="J874" s="4">
        <v>44470.0</v>
      </c>
      <c r="K874" s="1">
        <v>500.0</v>
      </c>
      <c r="L874" s="1">
        <v>500.0</v>
      </c>
      <c r="M874" s="1">
        <v>7.0</v>
      </c>
    </row>
    <row r="875" hidden="1">
      <c r="A875" s="1" t="s">
        <v>40</v>
      </c>
      <c r="B875" s="3" t="s">
        <v>1873</v>
      </c>
      <c r="C875" s="1" t="s">
        <v>1569</v>
      </c>
      <c r="D875" s="1" t="s">
        <v>34</v>
      </c>
      <c r="E875" s="1" t="s">
        <v>39</v>
      </c>
      <c r="F875" s="1"/>
      <c r="G875" s="1"/>
      <c r="H875" s="1" t="s">
        <v>34</v>
      </c>
      <c r="I875" s="1" t="s">
        <v>35</v>
      </c>
      <c r="J875" s="4">
        <v>44470.0</v>
      </c>
      <c r="K875" s="1">
        <v>500.0</v>
      </c>
      <c r="L875" s="1">
        <v>500.0</v>
      </c>
      <c r="M875" s="1">
        <v>8.0</v>
      </c>
    </row>
    <row r="876" hidden="1">
      <c r="A876" s="1" t="s">
        <v>21</v>
      </c>
      <c r="B876" s="3" t="s">
        <v>1874</v>
      </c>
      <c r="C876" s="1" t="s">
        <v>1569</v>
      </c>
      <c r="D876" s="1" t="s">
        <v>23</v>
      </c>
      <c r="E876" s="1" t="s">
        <v>18</v>
      </c>
      <c r="F876" s="1"/>
      <c r="G876" s="1"/>
      <c r="H876" s="1" t="s">
        <v>23</v>
      </c>
      <c r="I876" s="1" t="s">
        <v>19</v>
      </c>
      <c r="J876" s="4">
        <v>44501.0</v>
      </c>
      <c r="K876" s="1">
        <v>250.0</v>
      </c>
      <c r="L876" s="1">
        <v>250.0</v>
      </c>
      <c r="M876" s="1">
        <v>9.0</v>
      </c>
    </row>
    <row r="877" hidden="1">
      <c r="A877" s="1" t="s">
        <v>24</v>
      </c>
      <c r="B877" s="3" t="s">
        <v>1875</v>
      </c>
      <c r="C877" s="1" t="s">
        <v>1569</v>
      </c>
      <c r="D877" s="1" t="s">
        <v>23</v>
      </c>
      <c r="E877" s="1" t="s">
        <v>18</v>
      </c>
      <c r="F877" s="1"/>
      <c r="G877" s="1"/>
      <c r="H877" s="1" t="s">
        <v>23</v>
      </c>
      <c r="I877" s="1" t="s">
        <v>19</v>
      </c>
      <c r="J877" s="4">
        <v>44501.0</v>
      </c>
      <c r="K877" s="1">
        <v>250.0</v>
      </c>
      <c r="L877" s="1">
        <v>250.0</v>
      </c>
      <c r="M877" s="1">
        <v>10.0</v>
      </c>
    </row>
    <row r="878" hidden="1">
      <c r="A878" s="1" t="s">
        <v>30</v>
      </c>
      <c r="B878" s="3" t="s">
        <v>1876</v>
      </c>
      <c r="C878" s="1" t="s">
        <v>1569</v>
      </c>
      <c r="D878" s="1" t="s">
        <v>28</v>
      </c>
      <c r="E878" s="1" t="s">
        <v>18</v>
      </c>
      <c r="F878" s="1"/>
      <c r="G878" s="1"/>
      <c r="H878" s="1" t="s">
        <v>28</v>
      </c>
      <c r="I878" s="1" t="s">
        <v>19</v>
      </c>
      <c r="J878" s="4">
        <v>44501.0</v>
      </c>
      <c r="K878" s="1">
        <v>250.0</v>
      </c>
      <c r="L878" s="1">
        <v>250.0</v>
      </c>
      <c r="M878" s="1">
        <v>11.0</v>
      </c>
    </row>
    <row r="879" hidden="1">
      <c r="A879" s="1" t="s">
        <v>14</v>
      </c>
      <c r="B879" s="3" t="s">
        <v>1877</v>
      </c>
      <c r="C879" s="1" t="s">
        <v>1569</v>
      </c>
      <c r="D879" s="1" t="s">
        <v>17</v>
      </c>
      <c r="E879" s="1" t="s">
        <v>18</v>
      </c>
      <c r="F879" s="1"/>
      <c r="G879" s="1"/>
      <c r="H879" s="1" t="s">
        <v>17</v>
      </c>
      <c r="I879" s="1" t="s">
        <v>19</v>
      </c>
      <c r="J879" s="4">
        <v>44501.0</v>
      </c>
      <c r="K879" s="1">
        <v>250.0</v>
      </c>
      <c r="L879" s="1">
        <v>250.0</v>
      </c>
      <c r="M879" s="1">
        <v>12.0</v>
      </c>
    </row>
    <row r="880" hidden="1">
      <c r="A880" s="1" t="s">
        <v>51</v>
      </c>
      <c r="B880" s="3" t="s">
        <v>1878</v>
      </c>
      <c r="C880" s="1" t="s">
        <v>1569</v>
      </c>
      <c r="D880" s="1" t="s">
        <v>53</v>
      </c>
      <c r="E880" s="1" t="s">
        <v>18</v>
      </c>
      <c r="F880" s="1"/>
      <c r="G880" s="1"/>
      <c r="H880" s="1" t="s">
        <v>53</v>
      </c>
      <c r="I880" s="1" t="s">
        <v>19</v>
      </c>
      <c r="J880" s="4">
        <v>44501.0</v>
      </c>
      <c r="K880" s="1">
        <v>250.0</v>
      </c>
      <c r="L880" s="1">
        <v>250.0</v>
      </c>
      <c r="M880" s="1">
        <v>13.0</v>
      </c>
    </row>
    <row r="881" hidden="1">
      <c r="A881" s="1" t="s">
        <v>54</v>
      </c>
      <c r="B881" s="3" t="s">
        <v>1879</v>
      </c>
      <c r="C881" s="1" t="s">
        <v>1569</v>
      </c>
      <c r="D881" s="1" t="s">
        <v>34</v>
      </c>
      <c r="E881" s="1" t="s">
        <v>39</v>
      </c>
      <c r="F881" s="1"/>
      <c r="G881" s="1"/>
      <c r="H881" s="1" t="s">
        <v>34</v>
      </c>
      <c r="I881" s="1" t="s">
        <v>56</v>
      </c>
      <c r="J881" s="4">
        <v>44531.0</v>
      </c>
      <c r="K881" s="1">
        <v>500.0</v>
      </c>
      <c r="L881" s="1">
        <v>500.0</v>
      </c>
      <c r="M881" s="1">
        <v>14.0</v>
      </c>
    </row>
    <row r="882" hidden="1">
      <c r="A882" s="1" t="s">
        <v>57</v>
      </c>
      <c r="B882" s="3" t="s">
        <v>1880</v>
      </c>
      <c r="C882" s="1" t="s">
        <v>1569</v>
      </c>
      <c r="D882" s="1" t="s">
        <v>17</v>
      </c>
      <c r="E882" s="1" t="s">
        <v>18</v>
      </c>
      <c r="F882" s="1"/>
      <c r="G882" s="1"/>
      <c r="H882" s="1" t="s">
        <v>17</v>
      </c>
      <c r="I882" s="1" t="s">
        <v>56</v>
      </c>
      <c r="J882" s="4">
        <v>44531.0</v>
      </c>
      <c r="K882" s="1">
        <v>250.0</v>
      </c>
      <c r="L882" s="1">
        <v>250.0</v>
      </c>
      <c r="M882" s="1">
        <v>15.0</v>
      </c>
    </row>
    <row r="883" hidden="1">
      <c r="A883" s="1" t="s">
        <v>62</v>
      </c>
      <c r="B883" s="3" t="s">
        <v>1881</v>
      </c>
      <c r="C883" s="1" t="s">
        <v>1569</v>
      </c>
      <c r="D883" s="1" t="s">
        <v>17</v>
      </c>
      <c r="E883" s="1" t="s">
        <v>39</v>
      </c>
      <c r="F883" s="1"/>
      <c r="G883" s="1"/>
      <c r="H883" s="1" t="s">
        <v>17</v>
      </c>
      <c r="I883" s="1" t="s">
        <v>56</v>
      </c>
      <c r="J883" s="4">
        <v>44531.0</v>
      </c>
      <c r="K883" s="1">
        <v>250.0</v>
      </c>
      <c r="L883" s="1">
        <v>250.0</v>
      </c>
      <c r="M883" s="1">
        <v>16.0</v>
      </c>
    </row>
    <row r="884" hidden="1">
      <c r="A884" s="1" t="s">
        <v>59</v>
      </c>
      <c r="B884" s="3" t="s">
        <v>1882</v>
      </c>
      <c r="C884" s="1" t="s">
        <v>1569</v>
      </c>
      <c r="D884" s="1" t="s">
        <v>61</v>
      </c>
      <c r="E884" s="1" t="s">
        <v>39</v>
      </c>
      <c r="F884" s="1"/>
      <c r="G884" s="1"/>
      <c r="H884" s="1" t="s">
        <v>61</v>
      </c>
      <c r="I884" s="1" t="s">
        <v>56</v>
      </c>
      <c r="J884" s="4">
        <v>44531.0</v>
      </c>
      <c r="K884" s="1">
        <v>500.0</v>
      </c>
      <c r="L884" s="1">
        <v>500.0</v>
      </c>
      <c r="M884" s="1">
        <v>17.0</v>
      </c>
    </row>
    <row r="885" hidden="1">
      <c r="A885" s="1" t="s">
        <v>680</v>
      </c>
      <c r="B885" s="3" t="s">
        <v>1883</v>
      </c>
      <c r="C885" s="1" t="s">
        <v>1569</v>
      </c>
      <c r="D885" s="1" t="s">
        <v>34</v>
      </c>
      <c r="E885" s="1" t="s">
        <v>18</v>
      </c>
      <c r="F885" s="1"/>
      <c r="G885" s="1"/>
      <c r="H885" s="1" t="s">
        <v>34</v>
      </c>
      <c r="I885" s="1" t="s">
        <v>56</v>
      </c>
      <c r="J885" s="4">
        <v>44531.0</v>
      </c>
      <c r="K885" s="1">
        <v>250.0</v>
      </c>
      <c r="L885" s="1">
        <v>250.0</v>
      </c>
      <c r="M885" s="1">
        <v>18.0</v>
      </c>
    </row>
    <row r="886" hidden="1">
      <c r="A886" s="1" t="s">
        <v>682</v>
      </c>
      <c r="B886" s="3" t="s">
        <v>1884</v>
      </c>
      <c r="C886" s="1" t="s">
        <v>1569</v>
      </c>
      <c r="D886" s="1" t="s">
        <v>44</v>
      </c>
      <c r="E886" s="1" t="s">
        <v>39</v>
      </c>
      <c r="F886" s="1"/>
      <c r="G886" s="1"/>
      <c r="H886" s="1" t="s">
        <v>44</v>
      </c>
      <c r="I886" s="1" t="s">
        <v>56</v>
      </c>
      <c r="J886" s="4">
        <v>44531.0</v>
      </c>
      <c r="K886" s="1">
        <v>500.0</v>
      </c>
      <c r="L886" s="1">
        <v>500.0</v>
      </c>
      <c r="M886" s="1">
        <v>19.0</v>
      </c>
    </row>
    <row r="887" hidden="1">
      <c r="A887" s="1" t="s">
        <v>684</v>
      </c>
      <c r="B887" s="3" t="s">
        <v>1885</v>
      </c>
      <c r="C887" s="1" t="s">
        <v>1569</v>
      </c>
      <c r="D887" s="1" t="s">
        <v>53</v>
      </c>
      <c r="E887" s="1" t="s">
        <v>18</v>
      </c>
      <c r="F887" s="1"/>
      <c r="G887" s="1"/>
      <c r="H887" s="1" t="s">
        <v>53</v>
      </c>
      <c r="I887" s="1" t="s">
        <v>56</v>
      </c>
      <c r="J887" s="4">
        <v>44531.0</v>
      </c>
      <c r="K887" s="1">
        <v>250.0</v>
      </c>
      <c r="L887" s="1">
        <v>250.0</v>
      </c>
      <c r="M887" s="1">
        <v>20.0</v>
      </c>
    </row>
    <row r="888" hidden="1">
      <c r="A888" s="1" t="s">
        <v>686</v>
      </c>
      <c r="B888" s="3" t="s">
        <v>1886</v>
      </c>
      <c r="C888" s="1" t="s">
        <v>1569</v>
      </c>
      <c r="D888" s="1" t="s">
        <v>293</v>
      </c>
      <c r="E888" s="1" t="s">
        <v>39</v>
      </c>
      <c r="F888" s="1"/>
      <c r="G888" s="1"/>
      <c r="H888" s="1" t="s">
        <v>293</v>
      </c>
      <c r="I888" s="1" t="s">
        <v>56</v>
      </c>
      <c r="J888" s="4">
        <v>44531.0</v>
      </c>
      <c r="K888" s="1">
        <v>500.0</v>
      </c>
      <c r="L888" s="1">
        <v>500.0</v>
      </c>
      <c r="M888" s="1">
        <v>21.0</v>
      </c>
    </row>
    <row r="889" hidden="1">
      <c r="A889" s="1" t="s">
        <v>72</v>
      </c>
      <c r="B889" s="3" t="s">
        <v>1887</v>
      </c>
      <c r="C889" s="1" t="s">
        <v>1569</v>
      </c>
      <c r="D889" s="1" t="s">
        <v>71</v>
      </c>
      <c r="E889" s="1" t="s">
        <v>67</v>
      </c>
      <c r="F889" s="1"/>
      <c r="G889" s="1"/>
      <c r="H889" s="1" t="s">
        <v>71</v>
      </c>
      <c r="I889" s="1" t="s">
        <v>68</v>
      </c>
      <c r="J889" s="4">
        <v>42826.0</v>
      </c>
      <c r="K889" s="1">
        <v>100.0</v>
      </c>
      <c r="L889" s="1">
        <v>100.0</v>
      </c>
      <c r="M889" s="1">
        <v>3.0</v>
      </c>
    </row>
    <row r="890" hidden="1">
      <c r="A890" s="1" t="s">
        <v>74</v>
      </c>
      <c r="B890" s="3" t="s">
        <v>1888</v>
      </c>
      <c r="C890" s="1" t="s">
        <v>1569</v>
      </c>
      <c r="D890" s="1" t="s">
        <v>76</v>
      </c>
      <c r="E890" s="1" t="s">
        <v>67</v>
      </c>
      <c r="F890" s="1"/>
      <c r="G890" s="1"/>
      <c r="H890" s="1" t="s">
        <v>76</v>
      </c>
      <c r="I890" s="1" t="s">
        <v>68</v>
      </c>
      <c r="J890" s="4">
        <v>42826.0</v>
      </c>
      <c r="K890" s="1">
        <v>777.0</v>
      </c>
      <c r="L890" s="1">
        <v>777.0</v>
      </c>
      <c r="M890" s="1">
        <v>4.0</v>
      </c>
    </row>
    <row r="891" hidden="1">
      <c r="A891" s="1" t="s">
        <v>80</v>
      </c>
      <c r="B891" s="3" t="s">
        <v>1889</v>
      </c>
      <c r="C891" s="1" t="s">
        <v>1569</v>
      </c>
      <c r="D891" s="1" t="s">
        <v>79</v>
      </c>
      <c r="E891" s="1" t="s">
        <v>67</v>
      </c>
      <c r="F891" s="1"/>
      <c r="G891" s="1"/>
      <c r="H891" s="1" t="s">
        <v>79</v>
      </c>
      <c r="I891" s="1" t="s">
        <v>68</v>
      </c>
      <c r="J891" s="4">
        <v>42826.0</v>
      </c>
      <c r="K891" s="1">
        <v>100.0</v>
      </c>
      <c r="L891" s="1">
        <v>100.0</v>
      </c>
      <c r="M891" s="1">
        <v>6.0</v>
      </c>
    </row>
    <row r="892" hidden="1">
      <c r="A892" s="1" t="s">
        <v>77</v>
      </c>
      <c r="B892" s="3" t="s">
        <v>1890</v>
      </c>
      <c r="C892" s="1" t="s">
        <v>1569</v>
      </c>
      <c r="D892" s="1" t="s">
        <v>79</v>
      </c>
      <c r="E892" s="1" t="s">
        <v>67</v>
      </c>
      <c r="F892" s="1"/>
      <c r="G892" s="1"/>
      <c r="H892" s="1" t="s">
        <v>79</v>
      </c>
      <c r="I892" s="1" t="s">
        <v>68</v>
      </c>
      <c r="J892" s="4">
        <v>42826.0</v>
      </c>
      <c r="K892" s="1">
        <v>300.0</v>
      </c>
      <c r="L892" s="1">
        <v>300.0</v>
      </c>
      <c r="M892" s="1">
        <v>5.0</v>
      </c>
    </row>
    <row r="893" hidden="1">
      <c r="A893" s="1" t="s">
        <v>82</v>
      </c>
      <c r="B893" s="3" t="s">
        <v>1891</v>
      </c>
      <c r="C893" s="1" t="s">
        <v>1569</v>
      </c>
      <c r="D893" s="1" t="s">
        <v>84</v>
      </c>
      <c r="E893" s="1" t="s">
        <v>67</v>
      </c>
      <c r="F893" s="1"/>
      <c r="G893" s="1"/>
      <c r="H893" s="1" t="s">
        <v>84</v>
      </c>
      <c r="I893" s="1" t="s">
        <v>68</v>
      </c>
      <c r="J893" s="4">
        <v>42826.0</v>
      </c>
      <c r="K893" s="1">
        <v>1000.0</v>
      </c>
      <c r="L893" s="1">
        <v>1000.0</v>
      </c>
      <c r="M893" s="1">
        <v>7.0</v>
      </c>
    </row>
    <row r="894" hidden="1">
      <c r="A894" s="1" t="s">
        <v>85</v>
      </c>
      <c r="B894" s="3" t="s">
        <v>1892</v>
      </c>
      <c r="C894" s="1" t="s">
        <v>1569</v>
      </c>
      <c r="D894" s="1" t="s">
        <v>84</v>
      </c>
      <c r="E894" s="1" t="s">
        <v>67</v>
      </c>
      <c r="F894" s="1"/>
      <c r="G894" s="1"/>
      <c r="H894" s="1" t="s">
        <v>84</v>
      </c>
      <c r="I894" s="1" t="s">
        <v>68</v>
      </c>
      <c r="J894" s="4">
        <v>42826.0</v>
      </c>
      <c r="K894" s="1">
        <v>1000.0</v>
      </c>
      <c r="L894" s="1">
        <v>1000.0</v>
      </c>
      <c r="M894" s="1">
        <v>8.0</v>
      </c>
    </row>
    <row r="895" hidden="1">
      <c r="A895" s="1" t="s">
        <v>87</v>
      </c>
      <c r="B895" s="3" t="s">
        <v>1893</v>
      </c>
      <c r="C895" s="1" t="s">
        <v>1569</v>
      </c>
      <c r="D895" s="1" t="s">
        <v>89</v>
      </c>
      <c r="E895" s="1" t="s">
        <v>67</v>
      </c>
      <c r="F895" s="1"/>
      <c r="G895" s="1"/>
      <c r="H895" s="1" t="s">
        <v>89</v>
      </c>
      <c r="I895" s="1" t="s">
        <v>68</v>
      </c>
      <c r="J895" s="4">
        <v>42826.0</v>
      </c>
      <c r="K895" s="1">
        <v>1000.0</v>
      </c>
      <c r="L895" s="1">
        <v>1000.0</v>
      </c>
      <c r="M895" s="1">
        <v>9.0</v>
      </c>
    </row>
    <row r="896" hidden="1">
      <c r="A896" s="1" t="s">
        <v>90</v>
      </c>
      <c r="B896" s="3" t="s">
        <v>1894</v>
      </c>
      <c r="C896" s="1" t="s">
        <v>1569</v>
      </c>
      <c r="D896" s="1" t="s">
        <v>92</v>
      </c>
      <c r="E896" s="1" t="s">
        <v>67</v>
      </c>
      <c r="F896" s="1"/>
      <c r="G896" s="1"/>
      <c r="H896" s="1" t="s">
        <v>92</v>
      </c>
      <c r="I896" s="1" t="s">
        <v>68</v>
      </c>
      <c r="J896" s="4">
        <v>42826.0</v>
      </c>
      <c r="K896" s="1">
        <v>317.0</v>
      </c>
      <c r="L896" s="1">
        <v>317.0</v>
      </c>
      <c r="M896" s="1">
        <v>10.0</v>
      </c>
    </row>
    <row r="897" hidden="1">
      <c r="A897" s="1" t="s">
        <v>93</v>
      </c>
      <c r="B897" s="3" t="s">
        <v>1895</v>
      </c>
      <c r="C897" s="1" t="s">
        <v>1569</v>
      </c>
      <c r="D897" s="1" t="s">
        <v>95</v>
      </c>
      <c r="E897" s="1" t="s">
        <v>67</v>
      </c>
      <c r="F897" s="1"/>
      <c r="G897" s="1"/>
      <c r="H897" s="1" t="s">
        <v>95</v>
      </c>
      <c r="I897" s="1" t="s">
        <v>68</v>
      </c>
      <c r="J897" s="4">
        <v>42826.0</v>
      </c>
      <c r="K897" s="1">
        <v>100.0</v>
      </c>
      <c r="L897" s="1">
        <v>99.0</v>
      </c>
      <c r="M897" s="1">
        <v>11.0</v>
      </c>
    </row>
    <row r="898" hidden="1">
      <c r="A898" s="1" t="s">
        <v>96</v>
      </c>
      <c r="B898" s="3" t="s">
        <v>1896</v>
      </c>
      <c r="C898" s="1" t="s">
        <v>1569</v>
      </c>
      <c r="D898" s="1" t="s">
        <v>23</v>
      </c>
      <c r="E898" s="1" t="s">
        <v>67</v>
      </c>
      <c r="F898" s="1"/>
      <c r="G898" s="1"/>
      <c r="H898" s="1" t="s">
        <v>23</v>
      </c>
      <c r="I898" s="1" t="s">
        <v>68</v>
      </c>
      <c r="J898" s="4">
        <v>42826.0</v>
      </c>
      <c r="K898" s="1">
        <v>500.0</v>
      </c>
      <c r="L898" s="1">
        <v>500.0</v>
      </c>
      <c r="M898" s="1">
        <v>12.0</v>
      </c>
    </row>
    <row r="899" hidden="1">
      <c r="A899" s="1" t="s">
        <v>98</v>
      </c>
      <c r="B899" s="3" t="s">
        <v>1897</v>
      </c>
      <c r="C899" s="1" t="s">
        <v>1569</v>
      </c>
      <c r="D899" s="1" t="s">
        <v>89</v>
      </c>
      <c r="E899" s="1" t="s">
        <v>67</v>
      </c>
      <c r="F899" s="1"/>
      <c r="G899" s="1"/>
      <c r="H899" s="1" t="s">
        <v>89</v>
      </c>
      <c r="I899" s="1" t="s">
        <v>68</v>
      </c>
      <c r="J899" s="4">
        <v>42826.0</v>
      </c>
      <c r="K899" s="1">
        <v>300.0</v>
      </c>
      <c r="L899" s="1">
        <v>299.0</v>
      </c>
      <c r="M899" s="1">
        <v>13.0</v>
      </c>
    </row>
    <row r="900" hidden="1">
      <c r="A900" s="1" t="s">
        <v>100</v>
      </c>
      <c r="B900" s="3" t="s">
        <v>1898</v>
      </c>
      <c r="C900" s="1" t="s">
        <v>1569</v>
      </c>
      <c r="D900" s="1" t="s">
        <v>102</v>
      </c>
      <c r="E900" s="1" t="s">
        <v>67</v>
      </c>
      <c r="F900" s="1"/>
      <c r="G900" s="1"/>
      <c r="H900" s="1" t="s">
        <v>102</v>
      </c>
      <c r="I900" s="1" t="s">
        <v>68</v>
      </c>
      <c r="J900" s="4">
        <v>42826.0</v>
      </c>
      <c r="K900" s="1">
        <v>100.0</v>
      </c>
      <c r="L900" s="1">
        <v>100.0</v>
      </c>
      <c r="M900" s="1">
        <v>14.0</v>
      </c>
    </row>
    <row r="901" hidden="1">
      <c r="A901" s="1" t="s">
        <v>103</v>
      </c>
      <c r="B901" s="3" t="s">
        <v>1899</v>
      </c>
      <c r="C901" s="1" t="s">
        <v>1569</v>
      </c>
      <c r="D901" s="1" t="s">
        <v>105</v>
      </c>
      <c r="E901" s="1" t="s">
        <v>67</v>
      </c>
      <c r="F901" s="1"/>
      <c r="G901" s="1"/>
      <c r="H901" s="1" t="s">
        <v>105</v>
      </c>
      <c r="I901" s="1" t="s">
        <v>68</v>
      </c>
      <c r="J901" s="4">
        <v>42826.0</v>
      </c>
      <c r="K901" s="1">
        <v>100.0</v>
      </c>
      <c r="L901" s="1">
        <v>100.0</v>
      </c>
      <c r="M901" s="1">
        <v>15.0</v>
      </c>
    </row>
    <row r="902" hidden="1">
      <c r="A902" s="1" t="s">
        <v>106</v>
      </c>
      <c r="B902" s="3" t="s">
        <v>1900</v>
      </c>
      <c r="C902" s="1" t="s">
        <v>1569</v>
      </c>
      <c r="D902" s="1" t="s">
        <v>71</v>
      </c>
      <c r="E902" s="1" t="s">
        <v>108</v>
      </c>
      <c r="F902" s="1"/>
      <c r="G902" s="1"/>
      <c r="H902" s="1" t="s">
        <v>71</v>
      </c>
      <c r="I902" s="1" t="s">
        <v>68</v>
      </c>
      <c r="J902" s="4">
        <v>42826.0</v>
      </c>
      <c r="K902" s="1">
        <v>100.0</v>
      </c>
      <c r="L902" s="1">
        <v>100.0</v>
      </c>
      <c r="M902" s="1">
        <v>16.0</v>
      </c>
    </row>
    <row r="903" hidden="1">
      <c r="A903" s="1" t="s">
        <v>109</v>
      </c>
      <c r="B903" s="3" t="s">
        <v>1901</v>
      </c>
      <c r="C903" s="1" t="s">
        <v>1569</v>
      </c>
      <c r="D903" s="1" t="s">
        <v>71</v>
      </c>
      <c r="E903" s="1" t="s">
        <v>108</v>
      </c>
      <c r="F903" s="1"/>
      <c r="G903" s="1"/>
      <c r="H903" s="1" t="s">
        <v>71</v>
      </c>
      <c r="I903" s="1" t="s">
        <v>68</v>
      </c>
      <c r="J903" s="4">
        <v>42826.0</v>
      </c>
      <c r="K903" s="1">
        <v>100.0</v>
      </c>
      <c r="L903" s="1">
        <v>100.0</v>
      </c>
      <c r="M903" s="1">
        <v>17.0</v>
      </c>
    </row>
    <row r="904" hidden="1">
      <c r="A904" s="1" t="s">
        <v>111</v>
      </c>
      <c r="B904" s="3" t="s">
        <v>1902</v>
      </c>
      <c r="C904" s="1" t="s">
        <v>1569</v>
      </c>
      <c r="D904" s="1" t="s">
        <v>84</v>
      </c>
      <c r="E904" s="1" t="s">
        <v>108</v>
      </c>
      <c r="F904" s="1"/>
      <c r="G904" s="1"/>
      <c r="H904" s="1" t="s">
        <v>84</v>
      </c>
      <c r="I904" s="1" t="s">
        <v>68</v>
      </c>
      <c r="J904" s="4">
        <v>42826.0</v>
      </c>
      <c r="K904" s="1">
        <v>1000.0</v>
      </c>
      <c r="L904" s="1">
        <v>1000.0</v>
      </c>
      <c r="M904" s="1">
        <v>18.0</v>
      </c>
    </row>
    <row r="905" hidden="1">
      <c r="A905" s="1" t="s">
        <v>113</v>
      </c>
      <c r="B905" s="3" t="s">
        <v>1903</v>
      </c>
      <c r="C905" s="1" t="s">
        <v>1569</v>
      </c>
      <c r="D905" s="1" t="s">
        <v>84</v>
      </c>
      <c r="E905" s="1" t="s">
        <v>108</v>
      </c>
      <c r="F905" s="1"/>
      <c r="G905" s="1"/>
      <c r="H905" s="1" t="s">
        <v>84</v>
      </c>
      <c r="I905" s="1" t="s">
        <v>68</v>
      </c>
      <c r="J905" s="4">
        <v>42826.0</v>
      </c>
      <c r="K905" s="1">
        <v>1000.0</v>
      </c>
      <c r="L905" s="1">
        <v>1000.0</v>
      </c>
      <c r="M905" s="1">
        <v>19.0</v>
      </c>
    </row>
    <row r="906" hidden="1">
      <c r="A906" s="1" t="s">
        <v>115</v>
      </c>
      <c r="B906" s="3" t="s">
        <v>1904</v>
      </c>
      <c r="C906" s="1" t="s">
        <v>1569</v>
      </c>
      <c r="D906" s="1" t="s">
        <v>84</v>
      </c>
      <c r="E906" s="1" t="s">
        <v>108</v>
      </c>
      <c r="F906" s="1"/>
      <c r="G906" s="1"/>
      <c r="H906" s="1" t="s">
        <v>84</v>
      </c>
      <c r="I906" s="1" t="s">
        <v>68</v>
      </c>
      <c r="J906" s="4">
        <v>42826.0</v>
      </c>
      <c r="K906" s="1">
        <v>1000.0</v>
      </c>
      <c r="L906" s="1">
        <v>1000.0</v>
      </c>
      <c r="M906" s="1">
        <v>20.0</v>
      </c>
    </row>
    <row r="907" hidden="1">
      <c r="A907" s="1" t="s">
        <v>117</v>
      </c>
      <c r="B907" s="3" t="s">
        <v>1905</v>
      </c>
      <c r="C907" s="1" t="s">
        <v>1569</v>
      </c>
      <c r="D907" s="1" t="s">
        <v>95</v>
      </c>
      <c r="E907" s="1" t="s">
        <v>108</v>
      </c>
      <c r="F907" s="1"/>
      <c r="G907" s="1"/>
      <c r="H907" s="1" t="s">
        <v>95</v>
      </c>
      <c r="I907" s="1" t="s">
        <v>68</v>
      </c>
      <c r="J907" s="4">
        <v>42826.0</v>
      </c>
      <c r="K907" s="1">
        <v>100.0</v>
      </c>
      <c r="L907" s="1">
        <v>100.0</v>
      </c>
      <c r="M907" s="1">
        <v>21.0</v>
      </c>
    </row>
    <row r="908" hidden="1">
      <c r="A908" s="1" t="s">
        <v>119</v>
      </c>
      <c r="B908" s="3" t="s">
        <v>1906</v>
      </c>
      <c r="C908" s="1" t="s">
        <v>1569</v>
      </c>
      <c r="D908" s="1" t="s">
        <v>92</v>
      </c>
      <c r="E908" s="1" t="s">
        <v>108</v>
      </c>
      <c r="F908" s="1"/>
      <c r="G908" s="1"/>
      <c r="H908" s="1" t="s">
        <v>92</v>
      </c>
      <c r="I908" s="1" t="s">
        <v>68</v>
      </c>
      <c r="J908" s="4">
        <v>42826.0</v>
      </c>
      <c r="K908" s="1">
        <v>700.0</v>
      </c>
      <c r="L908" s="1">
        <v>700.0</v>
      </c>
      <c r="M908" s="1">
        <v>22.0</v>
      </c>
    </row>
    <row r="909" hidden="1">
      <c r="A909" s="1" t="s">
        <v>121</v>
      </c>
      <c r="B909" s="3" t="s">
        <v>1907</v>
      </c>
      <c r="C909" s="1" t="s">
        <v>1569</v>
      </c>
      <c r="D909" s="1" t="s">
        <v>123</v>
      </c>
      <c r="E909" s="1" t="s">
        <v>108</v>
      </c>
      <c r="F909" s="1"/>
      <c r="G909" s="1"/>
      <c r="H909" s="1" t="s">
        <v>123</v>
      </c>
      <c r="I909" s="1" t="s">
        <v>68</v>
      </c>
      <c r="J909" s="4">
        <v>42826.0</v>
      </c>
      <c r="K909" s="1">
        <v>150.0</v>
      </c>
      <c r="L909" s="1">
        <v>149.0</v>
      </c>
      <c r="M909" s="1">
        <v>23.0</v>
      </c>
    </row>
    <row r="910" hidden="1">
      <c r="A910" s="1" t="s">
        <v>124</v>
      </c>
      <c r="B910" s="3" t="s">
        <v>1908</v>
      </c>
      <c r="C910" s="1" t="s">
        <v>1569</v>
      </c>
      <c r="D910" s="1" t="s">
        <v>79</v>
      </c>
      <c r="E910" s="1" t="s">
        <v>108</v>
      </c>
      <c r="F910" s="1"/>
      <c r="G910" s="1"/>
      <c r="H910" s="1" t="s">
        <v>79</v>
      </c>
      <c r="I910" s="1" t="s">
        <v>68</v>
      </c>
      <c r="J910" s="4">
        <v>42826.0</v>
      </c>
      <c r="K910" s="1">
        <v>100.0</v>
      </c>
      <c r="L910" s="1">
        <v>100.0</v>
      </c>
      <c r="M910" s="1">
        <v>24.0</v>
      </c>
    </row>
    <row r="911" hidden="1">
      <c r="A911" s="1" t="s">
        <v>126</v>
      </c>
      <c r="B911" s="3" t="s">
        <v>1909</v>
      </c>
      <c r="C911" s="1" t="s">
        <v>1569</v>
      </c>
      <c r="D911" s="1" t="s">
        <v>128</v>
      </c>
      <c r="E911" s="1" t="s">
        <v>108</v>
      </c>
      <c r="F911" s="1"/>
      <c r="G911" s="1"/>
      <c r="H911" s="1" t="s">
        <v>128</v>
      </c>
      <c r="I911" s="1" t="s">
        <v>68</v>
      </c>
      <c r="J911" s="4">
        <v>42826.0</v>
      </c>
      <c r="K911" s="1">
        <v>500.0</v>
      </c>
      <c r="L911" s="1">
        <v>499.0</v>
      </c>
      <c r="M911" s="1">
        <v>25.0</v>
      </c>
    </row>
    <row r="912" hidden="1">
      <c r="A912" s="1" t="s">
        <v>129</v>
      </c>
      <c r="B912" s="3" t="s">
        <v>1910</v>
      </c>
      <c r="C912" s="1" t="s">
        <v>1569</v>
      </c>
      <c r="D912" s="1" t="s">
        <v>23</v>
      </c>
      <c r="E912" s="1" t="s">
        <v>131</v>
      </c>
      <c r="F912" s="1"/>
      <c r="G912" s="1"/>
      <c r="H912" s="1" t="s">
        <v>23</v>
      </c>
      <c r="I912" s="1" t="s">
        <v>132</v>
      </c>
      <c r="J912" s="4">
        <v>42856.0</v>
      </c>
      <c r="K912" s="1">
        <v>500.0</v>
      </c>
      <c r="L912" s="1">
        <v>500.0</v>
      </c>
      <c r="M912" s="1">
        <v>26.0</v>
      </c>
    </row>
    <row r="913" hidden="1">
      <c r="A913" s="1" t="s">
        <v>133</v>
      </c>
      <c r="B913" s="3" t="s">
        <v>1911</v>
      </c>
      <c r="C913" s="1" t="s">
        <v>1569</v>
      </c>
      <c r="D913" s="1" t="s">
        <v>135</v>
      </c>
      <c r="E913" s="1" t="s">
        <v>131</v>
      </c>
      <c r="F913" s="1"/>
      <c r="G913" s="1"/>
      <c r="H913" s="1" t="s">
        <v>135</v>
      </c>
      <c r="I913" s="1" t="s">
        <v>132</v>
      </c>
      <c r="J913" s="4">
        <v>42856.0</v>
      </c>
      <c r="K913" s="1">
        <v>108.0</v>
      </c>
      <c r="L913" s="1">
        <v>108.0</v>
      </c>
      <c r="M913" s="1">
        <v>27.0</v>
      </c>
    </row>
    <row r="914" hidden="1">
      <c r="A914" s="1" t="s">
        <v>136</v>
      </c>
      <c r="B914" s="3" t="s">
        <v>1912</v>
      </c>
      <c r="C914" s="1" t="s">
        <v>1569</v>
      </c>
      <c r="D914" s="1" t="s">
        <v>76</v>
      </c>
      <c r="E914" s="1" t="s">
        <v>131</v>
      </c>
      <c r="F914" s="1"/>
      <c r="G914" s="1"/>
      <c r="H914" s="1" t="s">
        <v>76</v>
      </c>
      <c r="I914" s="1" t="s">
        <v>132</v>
      </c>
      <c r="J914" s="4">
        <v>42856.0</v>
      </c>
      <c r="K914" s="1">
        <v>500.0</v>
      </c>
      <c r="L914" s="1">
        <v>500.0</v>
      </c>
      <c r="M914" s="1">
        <v>28.0</v>
      </c>
    </row>
    <row r="915" hidden="1">
      <c r="A915" s="1" t="s">
        <v>138</v>
      </c>
      <c r="B915" s="3" t="s">
        <v>1913</v>
      </c>
      <c r="C915" s="1" t="s">
        <v>1569</v>
      </c>
      <c r="D915" s="1" t="s">
        <v>76</v>
      </c>
      <c r="E915" s="1" t="s">
        <v>131</v>
      </c>
      <c r="F915" s="1"/>
      <c r="G915" s="1"/>
      <c r="H915" s="1" t="s">
        <v>76</v>
      </c>
      <c r="I915" s="1" t="s">
        <v>132</v>
      </c>
      <c r="J915" s="4">
        <v>42856.0</v>
      </c>
      <c r="K915" s="1">
        <v>500.0</v>
      </c>
      <c r="L915" s="1">
        <v>500.0</v>
      </c>
      <c r="M915" s="1">
        <v>29.0</v>
      </c>
    </row>
    <row r="916" hidden="1">
      <c r="A916" s="1" t="s">
        <v>140</v>
      </c>
      <c r="B916" s="3" t="s">
        <v>1914</v>
      </c>
      <c r="C916" s="1" t="s">
        <v>1569</v>
      </c>
      <c r="D916" s="1" t="s">
        <v>89</v>
      </c>
      <c r="E916" s="1" t="s">
        <v>131</v>
      </c>
      <c r="F916" s="1"/>
      <c r="G916" s="1"/>
      <c r="H916" s="1" t="s">
        <v>89</v>
      </c>
      <c r="I916" s="1" t="s">
        <v>132</v>
      </c>
      <c r="J916" s="4">
        <v>42856.0</v>
      </c>
      <c r="K916" s="1">
        <v>100.0</v>
      </c>
      <c r="L916" s="1">
        <v>100.0</v>
      </c>
      <c r="M916" s="1">
        <v>30.0</v>
      </c>
    </row>
    <row r="917" hidden="1">
      <c r="A917" s="1" t="s">
        <v>142</v>
      </c>
      <c r="B917" s="3" t="s">
        <v>1915</v>
      </c>
      <c r="C917" s="1" t="s">
        <v>1569</v>
      </c>
      <c r="D917" s="1" t="s">
        <v>123</v>
      </c>
      <c r="E917" s="1" t="s">
        <v>131</v>
      </c>
      <c r="F917" s="1"/>
      <c r="G917" s="1"/>
      <c r="H917" s="1" t="s">
        <v>123</v>
      </c>
      <c r="I917" s="1" t="s">
        <v>132</v>
      </c>
      <c r="J917" s="4">
        <v>42856.0</v>
      </c>
      <c r="K917" s="1">
        <v>108.0</v>
      </c>
      <c r="L917" s="1">
        <v>108.0</v>
      </c>
      <c r="M917" s="1">
        <v>31.0</v>
      </c>
    </row>
    <row r="918" hidden="1">
      <c r="A918" s="1" t="s">
        <v>144</v>
      </c>
      <c r="B918" s="3" t="s">
        <v>1916</v>
      </c>
      <c r="C918" s="1" t="s">
        <v>1569</v>
      </c>
      <c r="D918" s="1" t="s">
        <v>146</v>
      </c>
      <c r="E918" s="1" t="s">
        <v>131</v>
      </c>
      <c r="F918" s="1"/>
      <c r="G918" s="1"/>
      <c r="H918" s="1" t="s">
        <v>146</v>
      </c>
      <c r="I918" s="1" t="s">
        <v>132</v>
      </c>
      <c r="J918" s="4">
        <v>42856.0</v>
      </c>
      <c r="K918" s="1">
        <v>1000.0</v>
      </c>
      <c r="L918" s="1">
        <v>1000.0</v>
      </c>
      <c r="M918" s="1">
        <v>32.0</v>
      </c>
    </row>
    <row r="919" hidden="1">
      <c r="A919" s="1" t="s">
        <v>147</v>
      </c>
      <c r="B919" s="3" t="s">
        <v>1917</v>
      </c>
      <c r="C919" s="1" t="s">
        <v>1569</v>
      </c>
      <c r="D919" s="1" t="s">
        <v>84</v>
      </c>
      <c r="E919" s="1" t="s">
        <v>131</v>
      </c>
      <c r="F919" s="1"/>
      <c r="G919" s="1"/>
      <c r="H919" s="1" t="s">
        <v>84</v>
      </c>
      <c r="I919" s="1" t="s">
        <v>132</v>
      </c>
      <c r="J919" s="4">
        <v>42856.0</v>
      </c>
      <c r="K919" s="1">
        <v>1000.0</v>
      </c>
      <c r="L919" s="1">
        <v>1000.0</v>
      </c>
      <c r="M919" s="1">
        <v>33.0</v>
      </c>
    </row>
    <row r="920" hidden="1">
      <c r="A920" s="1" t="s">
        <v>149</v>
      </c>
      <c r="B920" s="3" t="s">
        <v>1918</v>
      </c>
      <c r="C920" s="1" t="s">
        <v>1569</v>
      </c>
      <c r="D920" s="1" t="s">
        <v>84</v>
      </c>
      <c r="E920" s="1" t="s">
        <v>131</v>
      </c>
      <c r="F920" s="1"/>
      <c r="G920" s="1"/>
      <c r="H920" s="1" t="s">
        <v>84</v>
      </c>
      <c r="I920" s="1" t="s">
        <v>132</v>
      </c>
      <c r="J920" s="4">
        <v>42856.0</v>
      </c>
      <c r="K920" s="1">
        <v>1000.0</v>
      </c>
      <c r="L920" s="1">
        <v>1000.0</v>
      </c>
      <c r="M920" s="1">
        <v>34.0</v>
      </c>
    </row>
    <row r="921" hidden="1">
      <c r="A921" s="1" t="s">
        <v>151</v>
      </c>
      <c r="B921" s="3" t="s">
        <v>1919</v>
      </c>
      <c r="C921" s="1" t="s">
        <v>1569</v>
      </c>
      <c r="D921" s="1" t="s">
        <v>79</v>
      </c>
      <c r="E921" s="1" t="s">
        <v>131</v>
      </c>
      <c r="F921" s="1"/>
      <c r="G921" s="1"/>
      <c r="H921" s="1" t="s">
        <v>79</v>
      </c>
      <c r="I921" s="1" t="s">
        <v>132</v>
      </c>
      <c r="J921" s="4">
        <v>42856.0</v>
      </c>
      <c r="K921" s="1">
        <v>100.0</v>
      </c>
      <c r="L921" s="1">
        <v>100.0</v>
      </c>
      <c r="M921" s="1">
        <v>35.0</v>
      </c>
    </row>
    <row r="922" hidden="1">
      <c r="A922" s="1" t="s">
        <v>153</v>
      </c>
      <c r="B922" s="3" t="s">
        <v>1920</v>
      </c>
      <c r="C922" s="1" t="s">
        <v>1569</v>
      </c>
      <c r="D922" s="1" t="s">
        <v>79</v>
      </c>
      <c r="E922" s="1" t="s">
        <v>131</v>
      </c>
      <c r="F922" s="1"/>
      <c r="G922" s="1"/>
      <c r="H922" s="1" t="s">
        <v>79</v>
      </c>
      <c r="I922" s="1" t="s">
        <v>132</v>
      </c>
      <c r="J922" s="4">
        <v>42856.0</v>
      </c>
      <c r="K922" s="1">
        <v>100.0</v>
      </c>
      <c r="L922" s="1">
        <v>100.0</v>
      </c>
      <c r="M922" s="1">
        <v>36.0</v>
      </c>
    </row>
    <row r="923" hidden="1">
      <c r="A923" s="1" t="s">
        <v>155</v>
      </c>
      <c r="B923" s="3" t="s">
        <v>1921</v>
      </c>
      <c r="C923" s="1" t="s">
        <v>1569</v>
      </c>
      <c r="D923" s="1" t="s">
        <v>79</v>
      </c>
      <c r="E923" s="1" t="s">
        <v>131</v>
      </c>
      <c r="F923" s="1"/>
      <c r="G923" s="1"/>
      <c r="H923" s="1" t="s">
        <v>79</v>
      </c>
      <c r="I923" s="1" t="s">
        <v>132</v>
      </c>
      <c r="J923" s="4">
        <v>42856.0</v>
      </c>
      <c r="K923" s="1">
        <v>100.0</v>
      </c>
      <c r="L923" s="1">
        <v>100.0</v>
      </c>
      <c r="M923" s="1">
        <v>37.0</v>
      </c>
    </row>
    <row r="924" hidden="1">
      <c r="A924" s="1" t="s">
        <v>157</v>
      </c>
      <c r="B924" s="3" t="s">
        <v>1922</v>
      </c>
      <c r="C924" s="1" t="s">
        <v>1569</v>
      </c>
      <c r="D924" s="1" t="s">
        <v>159</v>
      </c>
      <c r="E924" s="1" t="s">
        <v>131</v>
      </c>
      <c r="F924" s="1"/>
      <c r="G924" s="1"/>
      <c r="H924" s="1" t="s">
        <v>159</v>
      </c>
      <c r="I924" s="1" t="s">
        <v>132</v>
      </c>
      <c r="J924" s="4">
        <v>42856.0</v>
      </c>
      <c r="K924" s="1">
        <v>200.0</v>
      </c>
      <c r="L924" s="1">
        <v>199.0</v>
      </c>
      <c r="M924" s="1">
        <v>38.0</v>
      </c>
    </row>
    <row r="925" hidden="1">
      <c r="A925" s="1" t="s">
        <v>160</v>
      </c>
      <c r="B925" s="3" t="s">
        <v>1923</v>
      </c>
      <c r="C925" s="1" t="s">
        <v>1569</v>
      </c>
      <c r="D925" s="1" t="s">
        <v>162</v>
      </c>
      <c r="E925" s="1" t="s">
        <v>163</v>
      </c>
      <c r="F925" s="1"/>
      <c r="G925" s="1"/>
      <c r="H925" s="1" t="s">
        <v>162</v>
      </c>
      <c r="I925" s="1" t="s">
        <v>132</v>
      </c>
      <c r="J925" s="4">
        <v>42856.0</v>
      </c>
      <c r="K925" s="1">
        <v>1000.0</v>
      </c>
      <c r="L925" s="1">
        <v>1000.0</v>
      </c>
      <c r="M925" s="1">
        <v>39.0</v>
      </c>
    </row>
    <row r="926" hidden="1">
      <c r="A926" s="1" t="s">
        <v>164</v>
      </c>
      <c r="B926" s="3" t="s">
        <v>1924</v>
      </c>
      <c r="C926" s="1" t="s">
        <v>1569</v>
      </c>
      <c r="D926" s="1" t="s">
        <v>146</v>
      </c>
      <c r="E926" s="1" t="s">
        <v>163</v>
      </c>
      <c r="F926" s="1"/>
      <c r="G926" s="1"/>
      <c r="H926" s="1" t="s">
        <v>146</v>
      </c>
      <c r="I926" s="1" t="s">
        <v>132</v>
      </c>
      <c r="J926" s="4">
        <v>42856.0</v>
      </c>
      <c r="K926" s="1">
        <v>1000.0</v>
      </c>
      <c r="L926" s="1">
        <v>1000.0</v>
      </c>
      <c r="M926" s="1">
        <v>40.0</v>
      </c>
    </row>
    <row r="927" hidden="1">
      <c r="A927" s="1" t="s">
        <v>166</v>
      </c>
      <c r="B927" s="3" t="s">
        <v>1925</v>
      </c>
      <c r="C927" s="1" t="s">
        <v>1569</v>
      </c>
      <c r="D927" s="1" t="s">
        <v>168</v>
      </c>
      <c r="E927" s="1" t="s">
        <v>163</v>
      </c>
      <c r="F927" s="1"/>
      <c r="G927" s="1"/>
      <c r="H927" s="1" t="s">
        <v>168</v>
      </c>
      <c r="I927" s="1" t="s">
        <v>132</v>
      </c>
      <c r="J927" s="4">
        <v>42856.0</v>
      </c>
      <c r="K927" s="1">
        <v>300.0</v>
      </c>
      <c r="L927" s="1">
        <v>150.0</v>
      </c>
      <c r="M927" s="1">
        <v>41.0</v>
      </c>
    </row>
    <row r="928" hidden="1">
      <c r="A928" s="1" t="s">
        <v>169</v>
      </c>
      <c r="B928" s="3" t="s">
        <v>1926</v>
      </c>
      <c r="C928" s="1" t="s">
        <v>1569</v>
      </c>
      <c r="D928" s="1" t="s">
        <v>128</v>
      </c>
      <c r="E928" s="1" t="s">
        <v>163</v>
      </c>
      <c r="F928" s="1"/>
      <c r="G928" s="1"/>
      <c r="H928" s="1" t="s">
        <v>128</v>
      </c>
      <c r="I928" s="1" t="s">
        <v>132</v>
      </c>
      <c r="J928" s="4">
        <v>42856.0</v>
      </c>
      <c r="K928" s="1">
        <v>500.0</v>
      </c>
      <c r="L928" s="1">
        <v>500.0</v>
      </c>
      <c r="M928" s="1">
        <v>42.0</v>
      </c>
    </row>
    <row r="929" hidden="1">
      <c r="A929" s="1" t="s">
        <v>171</v>
      </c>
      <c r="B929" s="3" t="s">
        <v>1927</v>
      </c>
      <c r="C929" s="1" t="s">
        <v>1569</v>
      </c>
      <c r="D929" s="1" t="s">
        <v>79</v>
      </c>
      <c r="E929" s="1" t="s">
        <v>163</v>
      </c>
      <c r="F929" s="1"/>
      <c r="G929" s="1"/>
      <c r="H929" s="1" t="s">
        <v>79</v>
      </c>
      <c r="I929" s="1" t="s">
        <v>132</v>
      </c>
      <c r="J929" s="4">
        <v>42856.0</v>
      </c>
      <c r="K929" s="1">
        <v>100.0</v>
      </c>
      <c r="L929" s="1">
        <v>100.0</v>
      </c>
      <c r="M929" s="1">
        <v>43.0</v>
      </c>
    </row>
    <row r="930" hidden="1">
      <c r="A930" s="1" t="s">
        <v>173</v>
      </c>
      <c r="B930" s="3" t="s">
        <v>1928</v>
      </c>
      <c r="C930" s="1" t="s">
        <v>1569</v>
      </c>
      <c r="D930" s="1" t="s">
        <v>79</v>
      </c>
      <c r="E930" s="1" t="s">
        <v>163</v>
      </c>
      <c r="F930" s="1"/>
      <c r="G930" s="1"/>
      <c r="H930" s="1" t="s">
        <v>79</v>
      </c>
      <c r="I930" s="1" t="s">
        <v>132</v>
      </c>
      <c r="J930" s="4">
        <v>42856.0</v>
      </c>
      <c r="K930" s="1">
        <v>100.0</v>
      </c>
      <c r="L930" s="1">
        <v>100.0</v>
      </c>
      <c r="M930" s="1">
        <v>44.0</v>
      </c>
    </row>
    <row r="931" hidden="1">
      <c r="A931" s="1" t="s">
        <v>175</v>
      </c>
      <c r="B931" s="3" t="s">
        <v>1929</v>
      </c>
      <c r="C931" s="1" t="s">
        <v>1569</v>
      </c>
      <c r="D931" s="1" t="s">
        <v>79</v>
      </c>
      <c r="E931" s="1" t="s">
        <v>163</v>
      </c>
      <c r="F931" s="1"/>
      <c r="G931" s="1"/>
      <c r="H931" s="1" t="s">
        <v>79</v>
      </c>
      <c r="I931" s="1" t="s">
        <v>132</v>
      </c>
      <c r="J931" s="4">
        <v>42856.0</v>
      </c>
      <c r="K931" s="1">
        <v>100.0</v>
      </c>
      <c r="L931" s="1">
        <v>100.0</v>
      </c>
      <c r="M931" s="1">
        <v>45.0</v>
      </c>
    </row>
    <row r="932" hidden="1">
      <c r="A932" s="1" t="s">
        <v>177</v>
      </c>
      <c r="B932" s="3" t="s">
        <v>1930</v>
      </c>
      <c r="C932" s="1" t="s">
        <v>1569</v>
      </c>
      <c r="D932" s="1" t="s">
        <v>179</v>
      </c>
      <c r="E932" s="1" t="s">
        <v>163</v>
      </c>
      <c r="F932" s="1"/>
      <c r="G932" s="1"/>
      <c r="H932" s="1" t="s">
        <v>179</v>
      </c>
      <c r="I932" s="1" t="s">
        <v>132</v>
      </c>
      <c r="J932" s="4">
        <v>42856.0</v>
      </c>
      <c r="K932" s="1">
        <v>10000.0</v>
      </c>
      <c r="L932" s="1">
        <v>10000.0</v>
      </c>
      <c r="M932" s="1">
        <v>46.0</v>
      </c>
    </row>
    <row r="933" hidden="1">
      <c r="A933" s="1" t="s">
        <v>180</v>
      </c>
      <c r="B933" s="3" t="s">
        <v>1931</v>
      </c>
      <c r="C933" s="1" t="s">
        <v>1569</v>
      </c>
      <c r="D933" s="1" t="s">
        <v>71</v>
      </c>
      <c r="E933" s="1" t="s">
        <v>163</v>
      </c>
      <c r="F933" s="1"/>
      <c r="G933" s="1"/>
      <c r="H933" s="1" t="s">
        <v>71</v>
      </c>
      <c r="I933" s="1" t="s">
        <v>132</v>
      </c>
      <c r="J933" s="4">
        <v>42856.0</v>
      </c>
      <c r="K933" s="1">
        <v>100.0</v>
      </c>
      <c r="L933" s="1">
        <v>100.0</v>
      </c>
      <c r="M933" s="1">
        <v>47.0</v>
      </c>
    </row>
    <row r="934" hidden="1">
      <c r="A934" s="1" t="s">
        <v>182</v>
      </c>
      <c r="B934" s="3" t="s">
        <v>1932</v>
      </c>
      <c r="C934" s="1" t="s">
        <v>1569</v>
      </c>
      <c r="D934" s="1" t="s">
        <v>76</v>
      </c>
      <c r="E934" s="1" t="s">
        <v>163</v>
      </c>
      <c r="F934" s="1"/>
      <c r="G934" s="1"/>
      <c r="H934" s="1" t="s">
        <v>76</v>
      </c>
      <c r="I934" s="1" t="s">
        <v>132</v>
      </c>
      <c r="J934" s="4">
        <v>42856.0</v>
      </c>
      <c r="K934" s="1">
        <v>555.0</v>
      </c>
      <c r="L934" s="1">
        <v>555.0</v>
      </c>
      <c r="M934" s="1">
        <v>48.0</v>
      </c>
    </row>
    <row r="935" hidden="1">
      <c r="A935" s="1" t="s">
        <v>184</v>
      </c>
      <c r="B935" s="3" t="s">
        <v>1933</v>
      </c>
      <c r="C935" s="1" t="s">
        <v>1569</v>
      </c>
      <c r="D935" s="1" t="s">
        <v>186</v>
      </c>
      <c r="E935" s="1" t="s">
        <v>163</v>
      </c>
      <c r="F935" s="1"/>
      <c r="G935" s="1"/>
      <c r="H935" s="1" t="s">
        <v>186</v>
      </c>
      <c r="I935" s="1" t="s">
        <v>132</v>
      </c>
      <c r="J935" s="4">
        <v>42856.0</v>
      </c>
      <c r="K935" s="1">
        <v>500.0</v>
      </c>
      <c r="L935" s="1">
        <v>500.0</v>
      </c>
      <c r="M935" s="1">
        <v>49.0</v>
      </c>
    </row>
    <row r="936" hidden="1">
      <c r="A936" s="1" t="s">
        <v>187</v>
      </c>
      <c r="B936" s="3" t="s">
        <v>1934</v>
      </c>
      <c r="C936" s="1" t="s">
        <v>1569</v>
      </c>
      <c r="D936" s="1" t="s">
        <v>189</v>
      </c>
      <c r="E936" s="1" t="s">
        <v>163</v>
      </c>
      <c r="F936" s="1"/>
      <c r="G936" s="1"/>
      <c r="H936" s="1" t="s">
        <v>189</v>
      </c>
      <c r="I936" s="1" t="s">
        <v>132</v>
      </c>
      <c r="J936" s="4">
        <v>42856.0</v>
      </c>
      <c r="K936" s="1">
        <v>1300.0</v>
      </c>
      <c r="L936" s="1">
        <v>1300.0</v>
      </c>
      <c r="M936" s="1">
        <v>50.0</v>
      </c>
    </row>
    <row r="937" hidden="1">
      <c r="A937" s="1" t="s">
        <v>190</v>
      </c>
      <c r="B937" s="3" t="s">
        <v>1935</v>
      </c>
      <c r="C937" s="1" t="s">
        <v>1569</v>
      </c>
      <c r="D937" s="1" t="s">
        <v>123</v>
      </c>
      <c r="E937" s="1" t="s">
        <v>163</v>
      </c>
      <c r="F937" s="1"/>
      <c r="G937" s="1"/>
      <c r="H937" s="1" t="s">
        <v>123</v>
      </c>
      <c r="I937" s="1" t="s">
        <v>132</v>
      </c>
      <c r="J937" s="4">
        <v>42856.0</v>
      </c>
      <c r="K937" s="1">
        <v>100.0</v>
      </c>
      <c r="L937" s="1">
        <v>100.0</v>
      </c>
      <c r="M937" s="1">
        <v>51.0</v>
      </c>
    </row>
    <row r="938" hidden="1">
      <c r="A938" s="1" t="s">
        <v>192</v>
      </c>
      <c r="B938" s="3" t="s">
        <v>1936</v>
      </c>
      <c r="C938" s="1" t="s">
        <v>1569</v>
      </c>
      <c r="D938" s="1" t="s">
        <v>66</v>
      </c>
      <c r="E938" s="1" t="s">
        <v>163</v>
      </c>
      <c r="F938" s="1"/>
      <c r="G938" s="1"/>
      <c r="H938" s="1" t="s">
        <v>66</v>
      </c>
      <c r="I938" s="1" t="s">
        <v>132</v>
      </c>
      <c r="J938" s="4">
        <v>42856.0</v>
      </c>
      <c r="K938" s="1">
        <v>2014.0</v>
      </c>
      <c r="L938" s="1">
        <v>2014.0</v>
      </c>
      <c r="M938" s="1">
        <v>52.0</v>
      </c>
    </row>
    <row r="939" hidden="1">
      <c r="A939" s="1" t="s">
        <v>194</v>
      </c>
      <c r="B939" s="3" t="s">
        <v>1937</v>
      </c>
      <c r="C939" s="1" t="s">
        <v>1569</v>
      </c>
      <c r="D939" s="1" t="s">
        <v>84</v>
      </c>
      <c r="E939" s="1" t="s">
        <v>163</v>
      </c>
      <c r="F939" s="1"/>
      <c r="G939" s="1"/>
      <c r="H939" s="1" t="s">
        <v>84</v>
      </c>
      <c r="I939" s="1" t="s">
        <v>132</v>
      </c>
      <c r="J939" s="4">
        <v>42856.0</v>
      </c>
      <c r="K939" s="1">
        <v>1000.0</v>
      </c>
      <c r="L939" s="1">
        <v>1000.0</v>
      </c>
      <c r="M939" s="1">
        <v>53.0</v>
      </c>
    </row>
    <row r="940" hidden="1">
      <c r="A940" s="1" t="s">
        <v>196</v>
      </c>
      <c r="B940" s="3" t="s">
        <v>1938</v>
      </c>
      <c r="C940" s="1" t="s">
        <v>1569</v>
      </c>
      <c r="D940" s="1" t="s">
        <v>123</v>
      </c>
      <c r="E940" s="1" t="s">
        <v>198</v>
      </c>
      <c r="F940" s="1"/>
      <c r="G940" s="1"/>
      <c r="H940" s="1" t="s">
        <v>123</v>
      </c>
      <c r="I940" s="1" t="s">
        <v>199</v>
      </c>
      <c r="J940" s="4">
        <v>42887.0</v>
      </c>
      <c r="K940" s="1">
        <v>100.0</v>
      </c>
      <c r="L940" s="1">
        <v>100.0</v>
      </c>
      <c r="M940" s="1">
        <v>54.0</v>
      </c>
    </row>
    <row r="941" hidden="1">
      <c r="A941" s="1" t="s">
        <v>200</v>
      </c>
      <c r="B941" s="3" t="s">
        <v>1939</v>
      </c>
      <c r="C941" s="1" t="s">
        <v>1569</v>
      </c>
      <c r="D941" s="1" t="s">
        <v>123</v>
      </c>
      <c r="E941" s="1" t="s">
        <v>198</v>
      </c>
      <c r="F941" s="1"/>
      <c r="G941" s="1"/>
      <c r="H941" s="1" t="s">
        <v>123</v>
      </c>
      <c r="I941" s="1" t="s">
        <v>199</v>
      </c>
      <c r="J941" s="4">
        <v>42887.0</v>
      </c>
      <c r="K941" s="1">
        <v>100.0</v>
      </c>
      <c r="L941" s="1">
        <v>100.0</v>
      </c>
      <c r="M941" s="1">
        <v>55.0</v>
      </c>
    </row>
    <row r="942" hidden="1">
      <c r="A942" s="1" t="s">
        <v>202</v>
      </c>
      <c r="B942" s="3" t="s">
        <v>1940</v>
      </c>
      <c r="C942" s="1" t="s">
        <v>1569</v>
      </c>
      <c r="D942" s="1" t="s">
        <v>204</v>
      </c>
      <c r="E942" s="1" t="s">
        <v>198</v>
      </c>
      <c r="F942" s="1"/>
      <c r="G942" s="1"/>
      <c r="H942" s="1" t="s">
        <v>204</v>
      </c>
      <c r="I942" s="1" t="s">
        <v>199</v>
      </c>
      <c r="J942" s="4">
        <v>42887.0</v>
      </c>
      <c r="K942" s="1">
        <v>1000.0</v>
      </c>
      <c r="L942" s="1">
        <v>1000.0</v>
      </c>
      <c r="M942" s="1">
        <v>56.0</v>
      </c>
    </row>
    <row r="943" hidden="1">
      <c r="A943" s="1" t="s">
        <v>205</v>
      </c>
      <c r="B943" s="3" t="s">
        <v>1941</v>
      </c>
      <c r="C943" s="1" t="s">
        <v>1569</v>
      </c>
      <c r="D943" s="1" t="s">
        <v>95</v>
      </c>
      <c r="E943" s="1" t="s">
        <v>198</v>
      </c>
      <c r="F943" s="1"/>
      <c r="G943" s="1"/>
      <c r="H943" s="1" t="s">
        <v>95</v>
      </c>
      <c r="I943" s="1" t="s">
        <v>199</v>
      </c>
      <c r="J943" s="4">
        <v>42887.0</v>
      </c>
      <c r="K943" s="1">
        <v>100.0</v>
      </c>
      <c r="L943" s="1">
        <v>100.0</v>
      </c>
      <c r="M943" s="1">
        <v>57.0</v>
      </c>
    </row>
    <row r="944" hidden="1">
      <c r="A944" s="1" t="s">
        <v>207</v>
      </c>
      <c r="B944" s="3" t="s">
        <v>1942</v>
      </c>
      <c r="C944" s="1" t="s">
        <v>1569</v>
      </c>
      <c r="D944" s="1" t="s">
        <v>84</v>
      </c>
      <c r="E944" s="1" t="s">
        <v>198</v>
      </c>
      <c r="F944" s="1"/>
      <c r="G944" s="1"/>
      <c r="H944" s="1" t="s">
        <v>84</v>
      </c>
      <c r="I944" s="1" t="s">
        <v>199</v>
      </c>
      <c r="J944" s="4">
        <v>42887.0</v>
      </c>
      <c r="K944" s="1">
        <v>1000.0</v>
      </c>
      <c r="L944" s="1">
        <v>1000.0</v>
      </c>
      <c r="M944" s="1">
        <v>58.0</v>
      </c>
    </row>
    <row r="945" hidden="1">
      <c r="A945" s="1" t="s">
        <v>209</v>
      </c>
      <c r="B945" s="3" t="s">
        <v>1943</v>
      </c>
      <c r="C945" s="1" t="s">
        <v>1569</v>
      </c>
      <c r="D945" s="1" t="s">
        <v>84</v>
      </c>
      <c r="E945" s="1" t="s">
        <v>198</v>
      </c>
      <c r="F945" s="1"/>
      <c r="G945" s="1"/>
      <c r="H945" s="1" t="s">
        <v>84</v>
      </c>
      <c r="I945" s="1" t="s">
        <v>199</v>
      </c>
      <c r="J945" s="4">
        <v>42887.0</v>
      </c>
      <c r="K945" s="1">
        <v>1000.0</v>
      </c>
      <c r="L945" s="1">
        <v>1000.0</v>
      </c>
      <c r="M945" s="1">
        <v>59.0</v>
      </c>
    </row>
    <row r="946" hidden="1">
      <c r="A946" s="1" t="s">
        <v>211</v>
      </c>
      <c r="B946" s="3" t="s">
        <v>1944</v>
      </c>
      <c r="C946" s="1" t="s">
        <v>1569</v>
      </c>
      <c r="D946" s="1" t="s">
        <v>53</v>
      </c>
      <c r="E946" s="1" t="s">
        <v>198</v>
      </c>
      <c r="F946" s="1"/>
      <c r="G946" s="1"/>
      <c r="H946" s="1" t="s">
        <v>53</v>
      </c>
      <c r="I946" s="1" t="s">
        <v>199</v>
      </c>
      <c r="J946" s="4">
        <v>42887.0</v>
      </c>
      <c r="K946" s="1">
        <v>150.0</v>
      </c>
      <c r="L946" s="1">
        <v>150.0</v>
      </c>
      <c r="M946" s="1">
        <v>60.0</v>
      </c>
    </row>
    <row r="947" hidden="1">
      <c r="A947" s="1" t="s">
        <v>213</v>
      </c>
      <c r="B947" s="3" t="s">
        <v>1945</v>
      </c>
      <c r="C947" s="1" t="s">
        <v>1569</v>
      </c>
      <c r="D947" s="1" t="s">
        <v>168</v>
      </c>
      <c r="E947" s="1" t="s">
        <v>198</v>
      </c>
      <c r="F947" s="1"/>
      <c r="G947" s="1"/>
      <c r="H947" s="1" t="s">
        <v>168</v>
      </c>
      <c r="I947" s="1" t="s">
        <v>199</v>
      </c>
      <c r="J947" s="4">
        <v>42887.0</v>
      </c>
      <c r="K947" s="1">
        <v>300.0</v>
      </c>
      <c r="L947" s="1">
        <v>100.0</v>
      </c>
      <c r="M947" s="1">
        <v>61.0</v>
      </c>
    </row>
    <row r="948" hidden="1">
      <c r="A948" s="1" t="s">
        <v>215</v>
      </c>
      <c r="B948" s="3" t="s">
        <v>1946</v>
      </c>
      <c r="C948" s="1" t="s">
        <v>1569</v>
      </c>
      <c r="D948" s="1" t="s">
        <v>168</v>
      </c>
      <c r="E948" s="1" t="s">
        <v>198</v>
      </c>
      <c r="F948" s="1"/>
      <c r="G948" s="1"/>
      <c r="H948" s="1" t="s">
        <v>168</v>
      </c>
      <c r="I948" s="1" t="s">
        <v>199</v>
      </c>
      <c r="J948" s="4">
        <v>42887.0</v>
      </c>
      <c r="K948" s="1">
        <v>300.0</v>
      </c>
      <c r="L948" s="1">
        <v>100.0</v>
      </c>
      <c r="M948" s="1">
        <v>62.0</v>
      </c>
    </row>
    <row r="949" hidden="1">
      <c r="A949" s="1" t="s">
        <v>217</v>
      </c>
      <c r="B949" s="3" t="s">
        <v>1947</v>
      </c>
      <c r="C949" s="1" t="s">
        <v>1569</v>
      </c>
      <c r="D949" s="1" t="s">
        <v>95</v>
      </c>
      <c r="E949" s="1" t="s">
        <v>198</v>
      </c>
      <c r="F949" s="1"/>
      <c r="G949" s="1"/>
      <c r="H949" s="1" t="s">
        <v>95</v>
      </c>
      <c r="I949" s="1" t="s">
        <v>199</v>
      </c>
      <c r="J949" s="4">
        <v>42887.0</v>
      </c>
      <c r="K949" s="1">
        <v>100.0</v>
      </c>
      <c r="L949" s="1">
        <v>100.0</v>
      </c>
      <c r="M949" s="1">
        <v>63.0</v>
      </c>
    </row>
    <row r="950" hidden="1">
      <c r="A950" s="1" t="s">
        <v>219</v>
      </c>
      <c r="B950" s="3" t="s">
        <v>1948</v>
      </c>
      <c r="C950" s="1" t="s">
        <v>1569</v>
      </c>
      <c r="D950" s="1" t="s">
        <v>79</v>
      </c>
      <c r="E950" s="1" t="s">
        <v>198</v>
      </c>
      <c r="F950" s="1"/>
      <c r="G950" s="1"/>
      <c r="H950" s="1" t="s">
        <v>79</v>
      </c>
      <c r="I950" s="1" t="s">
        <v>199</v>
      </c>
      <c r="J950" s="4">
        <v>42887.0</v>
      </c>
      <c r="K950" s="1">
        <v>300.0</v>
      </c>
      <c r="L950" s="1">
        <v>300.0</v>
      </c>
      <c r="M950" s="1">
        <v>64.0</v>
      </c>
    </row>
    <row r="951" hidden="1">
      <c r="A951" s="1" t="s">
        <v>221</v>
      </c>
      <c r="B951" s="3" t="s">
        <v>1949</v>
      </c>
      <c r="C951" s="1" t="s">
        <v>1569</v>
      </c>
      <c r="D951" s="1" t="s">
        <v>79</v>
      </c>
      <c r="E951" s="1" t="s">
        <v>198</v>
      </c>
      <c r="F951" s="1"/>
      <c r="G951" s="1"/>
      <c r="H951" s="1" t="s">
        <v>79</v>
      </c>
      <c r="I951" s="1" t="s">
        <v>199</v>
      </c>
      <c r="J951" s="4">
        <v>42887.0</v>
      </c>
      <c r="K951" s="1">
        <v>100.0</v>
      </c>
      <c r="L951" s="1">
        <v>100.0</v>
      </c>
      <c r="M951" s="1">
        <v>65.0</v>
      </c>
    </row>
    <row r="952" hidden="1">
      <c r="A952" s="1" t="s">
        <v>223</v>
      </c>
      <c r="B952" s="3" t="s">
        <v>1950</v>
      </c>
      <c r="C952" s="1" t="s">
        <v>1569</v>
      </c>
      <c r="D952" s="1" t="s">
        <v>79</v>
      </c>
      <c r="E952" s="1" t="s">
        <v>198</v>
      </c>
      <c r="F952" s="1"/>
      <c r="G952" s="1"/>
      <c r="H952" s="1" t="s">
        <v>79</v>
      </c>
      <c r="I952" s="1" t="s">
        <v>199</v>
      </c>
      <c r="J952" s="4">
        <v>42887.0</v>
      </c>
      <c r="K952" s="1">
        <v>100.0</v>
      </c>
      <c r="L952" s="1">
        <v>100.0</v>
      </c>
      <c r="M952" s="1">
        <v>66.0</v>
      </c>
    </row>
    <row r="953" hidden="1">
      <c r="A953" s="1" t="s">
        <v>225</v>
      </c>
      <c r="B953" s="3" t="s">
        <v>1951</v>
      </c>
      <c r="C953" s="1" t="s">
        <v>1569</v>
      </c>
      <c r="D953" s="1" t="s">
        <v>227</v>
      </c>
      <c r="E953" s="1" t="s">
        <v>198</v>
      </c>
      <c r="F953" s="1"/>
      <c r="G953" s="1"/>
      <c r="H953" s="1" t="s">
        <v>227</v>
      </c>
      <c r="I953" s="1" t="s">
        <v>199</v>
      </c>
      <c r="J953" s="4">
        <v>42887.0</v>
      </c>
      <c r="K953" s="1">
        <v>1000.0</v>
      </c>
      <c r="L953" s="1">
        <v>1000.0</v>
      </c>
      <c r="M953" s="1">
        <v>67.0</v>
      </c>
    </row>
    <row r="954" hidden="1">
      <c r="A954" s="1" t="s">
        <v>228</v>
      </c>
      <c r="B954" s="3" t="s">
        <v>1952</v>
      </c>
      <c r="C954" s="1" t="s">
        <v>1569</v>
      </c>
      <c r="D954" s="1" t="s">
        <v>146</v>
      </c>
      <c r="E954" s="1" t="s">
        <v>198</v>
      </c>
      <c r="F954" s="1"/>
      <c r="G954" s="1"/>
      <c r="H954" s="1" t="s">
        <v>146</v>
      </c>
      <c r="I954" s="1" t="s">
        <v>199</v>
      </c>
      <c r="J954" s="4">
        <v>42887.0</v>
      </c>
      <c r="K954" s="1">
        <v>500.0</v>
      </c>
      <c r="L954" s="1">
        <v>500.0</v>
      </c>
      <c r="M954" s="1">
        <v>68.0</v>
      </c>
    </row>
    <row r="955" hidden="1">
      <c r="A955" s="1" t="s">
        <v>230</v>
      </c>
      <c r="B955" s="3" t="s">
        <v>1953</v>
      </c>
      <c r="C955" s="1" t="s">
        <v>1569</v>
      </c>
      <c r="D955" s="1" t="s">
        <v>71</v>
      </c>
      <c r="E955" s="1" t="s">
        <v>198</v>
      </c>
      <c r="F955" s="1"/>
      <c r="G955" s="1"/>
      <c r="H955" s="1" t="s">
        <v>71</v>
      </c>
      <c r="I955" s="1" t="s">
        <v>199</v>
      </c>
      <c r="J955" s="4">
        <v>42887.0</v>
      </c>
      <c r="K955" s="1">
        <v>100.0</v>
      </c>
      <c r="L955" s="1">
        <v>100.0</v>
      </c>
      <c r="M955" s="1">
        <v>69.0</v>
      </c>
    </row>
    <row r="956" hidden="1">
      <c r="A956" s="1" t="s">
        <v>232</v>
      </c>
      <c r="B956" s="3" t="s">
        <v>1954</v>
      </c>
      <c r="C956" s="1" t="s">
        <v>1569</v>
      </c>
      <c r="D956" s="1" t="s">
        <v>234</v>
      </c>
      <c r="E956" s="1" t="s">
        <v>198</v>
      </c>
      <c r="F956" s="1"/>
      <c r="G956" s="1"/>
      <c r="H956" s="1" t="s">
        <v>234</v>
      </c>
      <c r="I956" s="1" t="s">
        <v>199</v>
      </c>
      <c r="J956" s="4">
        <v>42887.0</v>
      </c>
      <c r="K956" s="1">
        <v>100.0</v>
      </c>
      <c r="L956" s="1">
        <v>100.0</v>
      </c>
      <c r="M956" s="1">
        <v>70.0</v>
      </c>
    </row>
    <row r="957" hidden="1">
      <c r="A957" s="1" t="s">
        <v>235</v>
      </c>
      <c r="B957" s="3" t="s">
        <v>1955</v>
      </c>
      <c r="C957" s="1" t="s">
        <v>1569</v>
      </c>
      <c r="D957" s="1" t="s">
        <v>237</v>
      </c>
      <c r="E957" s="1" t="s">
        <v>238</v>
      </c>
      <c r="F957" s="1"/>
      <c r="G957" s="1"/>
      <c r="H957" s="1" t="s">
        <v>237</v>
      </c>
      <c r="I957" s="1" t="s">
        <v>199</v>
      </c>
      <c r="J957" s="4">
        <v>42887.0</v>
      </c>
      <c r="K957" s="1">
        <v>222.0</v>
      </c>
      <c r="L957" s="1">
        <v>222.0</v>
      </c>
      <c r="M957" s="1">
        <v>71.0</v>
      </c>
    </row>
    <row r="958" hidden="1">
      <c r="A958" s="1" t="s">
        <v>239</v>
      </c>
      <c r="B958" s="3" t="s">
        <v>1956</v>
      </c>
      <c r="C958" s="1" t="s">
        <v>1569</v>
      </c>
      <c r="D958" s="1" t="s">
        <v>76</v>
      </c>
      <c r="E958" s="1" t="s">
        <v>238</v>
      </c>
      <c r="F958" s="1"/>
      <c r="G958" s="1"/>
      <c r="H958" s="1" t="s">
        <v>76</v>
      </c>
      <c r="I958" s="1" t="s">
        <v>199</v>
      </c>
      <c r="J958" s="4">
        <v>42887.0</v>
      </c>
      <c r="K958" s="1">
        <v>555.0</v>
      </c>
      <c r="L958" s="1">
        <v>555.0</v>
      </c>
      <c r="M958" s="1">
        <v>72.0</v>
      </c>
    </row>
    <row r="959" hidden="1">
      <c r="A959" s="1" t="s">
        <v>241</v>
      </c>
      <c r="B959" s="3" t="s">
        <v>1957</v>
      </c>
      <c r="C959" s="1" t="s">
        <v>1569</v>
      </c>
      <c r="D959" s="1" t="s">
        <v>76</v>
      </c>
      <c r="E959" s="1" t="s">
        <v>238</v>
      </c>
      <c r="F959" s="1"/>
      <c r="G959" s="1"/>
      <c r="H959" s="1" t="s">
        <v>76</v>
      </c>
      <c r="I959" s="1" t="s">
        <v>199</v>
      </c>
      <c r="J959" s="4">
        <v>42887.0</v>
      </c>
      <c r="K959" s="1">
        <v>555.0</v>
      </c>
      <c r="L959" s="1">
        <v>555.0</v>
      </c>
      <c r="M959" s="1">
        <v>73.0</v>
      </c>
    </row>
    <row r="960" hidden="1">
      <c r="A960" s="1" t="s">
        <v>243</v>
      </c>
      <c r="B960" s="3" t="s">
        <v>1958</v>
      </c>
      <c r="C960" s="1" t="s">
        <v>1569</v>
      </c>
      <c r="D960" s="1" t="s">
        <v>168</v>
      </c>
      <c r="E960" s="1" t="s">
        <v>238</v>
      </c>
      <c r="F960" s="1"/>
      <c r="G960" s="1"/>
      <c r="H960" s="1" t="s">
        <v>168</v>
      </c>
      <c r="I960" s="1" t="s">
        <v>199</v>
      </c>
      <c r="J960" s="4">
        <v>42887.0</v>
      </c>
      <c r="K960" s="1">
        <v>300.0</v>
      </c>
      <c r="L960" s="1">
        <v>100.0</v>
      </c>
      <c r="M960" s="1">
        <v>74.0</v>
      </c>
    </row>
    <row r="961" hidden="1">
      <c r="A961" s="1" t="s">
        <v>245</v>
      </c>
      <c r="B961" s="3" t="s">
        <v>1959</v>
      </c>
      <c r="C961" s="1" t="s">
        <v>1569</v>
      </c>
      <c r="D961" s="1" t="s">
        <v>247</v>
      </c>
      <c r="E961" s="1" t="s">
        <v>238</v>
      </c>
      <c r="F961" s="1"/>
      <c r="G961" s="1"/>
      <c r="H961" s="1" t="s">
        <v>247</v>
      </c>
      <c r="I961" s="1" t="s">
        <v>199</v>
      </c>
      <c r="J961" s="4">
        <v>42887.0</v>
      </c>
      <c r="K961" s="1">
        <v>300.0</v>
      </c>
      <c r="L961" s="1">
        <v>300.0</v>
      </c>
      <c r="M961" s="1">
        <v>75.0</v>
      </c>
    </row>
    <row r="962" hidden="1">
      <c r="A962" s="1" t="s">
        <v>248</v>
      </c>
      <c r="B962" s="3" t="s">
        <v>1960</v>
      </c>
      <c r="C962" s="1" t="s">
        <v>1569</v>
      </c>
      <c r="D962" s="1" t="s">
        <v>17</v>
      </c>
      <c r="E962" s="1" t="s">
        <v>238</v>
      </c>
      <c r="F962" s="1"/>
      <c r="G962" s="1"/>
      <c r="H962" s="1" t="s">
        <v>17</v>
      </c>
      <c r="I962" s="1" t="s">
        <v>199</v>
      </c>
      <c r="J962" s="4">
        <v>42887.0</v>
      </c>
      <c r="K962" s="1">
        <v>1000.0</v>
      </c>
      <c r="L962" s="1">
        <v>1000.0</v>
      </c>
      <c r="M962" s="1">
        <v>76.0</v>
      </c>
    </row>
    <row r="963" hidden="1">
      <c r="A963" s="1" t="s">
        <v>250</v>
      </c>
      <c r="B963" s="3" t="s">
        <v>1961</v>
      </c>
      <c r="C963" s="1" t="s">
        <v>1569</v>
      </c>
      <c r="D963" s="1" t="s">
        <v>252</v>
      </c>
      <c r="E963" s="1" t="s">
        <v>238</v>
      </c>
      <c r="F963" s="1"/>
      <c r="G963" s="1"/>
      <c r="H963" s="1" t="s">
        <v>252</v>
      </c>
      <c r="I963" s="1" t="s">
        <v>199</v>
      </c>
      <c r="J963" s="4">
        <v>42887.0</v>
      </c>
      <c r="K963" s="1">
        <v>555.0</v>
      </c>
      <c r="L963" s="1">
        <v>555.0</v>
      </c>
      <c r="M963" s="1">
        <v>77.0</v>
      </c>
    </row>
    <row r="964" hidden="1">
      <c r="A964" s="1" t="s">
        <v>253</v>
      </c>
      <c r="B964" s="3" t="s">
        <v>1962</v>
      </c>
      <c r="C964" s="1" t="s">
        <v>1569</v>
      </c>
      <c r="D964" s="1" t="s">
        <v>255</v>
      </c>
      <c r="E964" s="1" t="s">
        <v>238</v>
      </c>
      <c r="F964" s="1"/>
      <c r="G964" s="1"/>
      <c r="H964" s="1" t="s">
        <v>255</v>
      </c>
      <c r="I964" s="1" t="s">
        <v>199</v>
      </c>
      <c r="J964" s="4">
        <v>42887.0</v>
      </c>
      <c r="K964" s="1">
        <v>1000.0</v>
      </c>
      <c r="L964" s="1">
        <v>1000.0</v>
      </c>
      <c r="M964" s="1">
        <v>78.0</v>
      </c>
    </row>
    <row r="965" hidden="1">
      <c r="A965" s="1" t="s">
        <v>256</v>
      </c>
      <c r="B965" s="3" t="s">
        <v>1963</v>
      </c>
      <c r="C965" s="1" t="s">
        <v>1569</v>
      </c>
      <c r="D965" s="1" t="s">
        <v>17</v>
      </c>
      <c r="E965" s="1" t="s">
        <v>238</v>
      </c>
      <c r="F965" s="1"/>
      <c r="G965" s="1"/>
      <c r="H965" s="1" t="s">
        <v>17</v>
      </c>
      <c r="I965" s="1" t="s">
        <v>199</v>
      </c>
      <c r="J965" s="4">
        <v>42887.0</v>
      </c>
      <c r="K965" s="1">
        <v>100.0</v>
      </c>
      <c r="L965" s="1">
        <v>100.0</v>
      </c>
      <c r="M965" s="1">
        <v>79.0</v>
      </c>
    </row>
    <row r="966" hidden="1">
      <c r="A966" s="1" t="s">
        <v>258</v>
      </c>
      <c r="B966" s="3" t="s">
        <v>1964</v>
      </c>
      <c r="C966" s="1" t="s">
        <v>1569</v>
      </c>
      <c r="D966" s="1" t="s">
        <v>53</v>
      </c>
      <c r="E966" s="1" t="s">
        <v>238</v>
      </c>
      <c r="F966" s="1"/>
      <c r="G966" s="1"/>
      <c r="H966" s="1" t="s">
        <v>53</v>
      </c>
      <c r="I966" s="1" t="s">
        <v>199</v>
      </c>
      <c r="J966" s="4">
        <v>42887.0</v>
      </c>
      <c r="K966" s="1">
        <v>151.0</v>
      </c>
      <c r="L966" s="1">
        <v>151.0</v>
      </c>
      <c r="M966" s="1">
        <v>80.0</v>
      </c>
    </row>
    <row r="967" hidden="1">
      <c r="A967" s="1" t="s">
        <v>260</v>
      </c>
      <c r="B967" s="3" t="s">
        <v>1965</v>
      </c>
      <c r="C967" s="1" t="s">
        <v>1569</v>
      </c>
      <c r="D967" s="1" t="s">
        <v>262</v>
      </c>
      <c r="E967" s="1" t="s">
        <v>238</v>
      </c>
      <c r="F967" s="1"/>
      <c r="G967" s="1"/>
      <c r="H967" s="1" t="s">
        <v>262</v>
      </c>
      <c r="I967" s="1" t="s">
        <v>199</v>
      </c>
      <c r="J967" s="4">
        <v>42887.0</v>
      </c>
      <c r="K967" s="1">
        <v>500.0</v>
      </c>
      <c r="L967" s="1">
        <v>500.0</v>
      </c>
      <c r="M967" s="1">
        <v>81.0</v>
      </c>
    </row>
    <row r="968" hidden="1">
      <c r="A968" s="1" t="s">
        <v>263</v>
      </c>
      <c r="B968" s="3" t="s">
        <v>1966</v>
      </c>
      <c r="C968" s="1" t="s">
        <v>1569</v>
      </c>
      <c r="D968" s="1" t="s">
        <v>79</v>
      </c>
      <c r="E968" s="1" t="s">
        <v>238</v>
      </c>
      <c r="F968" s="1"/>
      <c r="G968" s="1"/>
      <c r="H968" s="1" t="s">
        <v>79</v>
      </c>
      <c r="I968" s="1" t="s">
        <v>199</v>
      </c>
      <c r="J968" s="4">
        <v>42887.0</v>
      </c>
      <c r="K968" s="1">
        <v>150.0</v>
      </c>
      <c r="L968" s="1">
        <v>150.0</v>
      </c>
      <c r="M968" s="1">
        <v>82.0</v>
      </c>
    </row>
    <row r="969" hidden="1">
      <c r="A969" s="1" t="s">
        <v>265</v>
      </c>
      <c r="B969" s="3" t="s">
        <v>1967</v>
      </c>
      <c r="C969" s="1" t="s">
        <v>1569</v>
      </c>
      <c r="D969" s="1" t="s">
        <v>79</v>
      </c>
      <c r="E969" s="1" t="s">
        <v>238</v>
      </c>
      <c r="F969" s="1"/>
      <c r="G969" s="1"/>
      <c r="H969" s="1" t="s">
        <v>79</v>
      </c>
      <c r="I969" s="1" t="s">
        <v>199</v>
      </c>
      <c r="J969" s="4">
        <v>42887.0</v>
      </c>
      <c r="K969" s="1">
        <v>300.0</v>
      </c>
      <c r="L969" s="1">
        <v>300.0</v>
      </c>
      <c r="M969" s="1">
        <v>83.0</v>
      </c>
    </row>
    <row r="970" hidden="1">
      <c r="A970" s="1" t="s">
        <v>267</v>
      </c>
      <c r="B970" s="3" t="s">
        <v>1968</v>
      </c>
      <c r="C970" s="1" t="s">
        <v>1569</v>
      </c>
      <c r="D970" s="1" t="s">
        <v>227</v>
      </c>
      <c r="E970" s="1" t="s">
        <v>238</v>
      </c>
      <c r="F970" s="1"/>
      <c r="G970" s="1"/>
      <c r="H970" s="1" t="s">
        <v>227</v>
      </c>
      <c r="I970" s="1" t="s">
        <v>199</v>
      </c>
      <c r="J970" s="4">
        <v>42887.0</v>
      </c>
      <c r="K970" s="1">
        <v>1000.0</v>
      </c>
      <c r="L970" s="1">
        <v>1000.0</v>
      </c>
      <c r="M970" s="1">
        <v>84.0</v>
      </c>
    </row>
    <row r="971" hidden="1">
      <c r="A971" s="1" t="s">
        <v>269</v>
      </c>
      <c r="B971" s="3" t="s">
        <v>1969</v>
      </c>
      <c r="C971" s="1" t="s">
        <v>1569</v>
      </c>
      <c r="D971" s="1" t="s">
        <v>271</v>
      </c>
      <c r="E971" s="1" t="s">
        <v>238</v>
      </c>
      <c r="F971" s="1"/>
      <c r="G971" s="1"/>
      <c r="H971" s="1" t="s">
        <v>271</v>
      </c>
      <c r="I971" s="1" t="s">
        <v>199</v>
      </c>
      <c r="J971" s="4">
        <v>42887.0</v>
      </c>
      <c r="K971" s="1">
        <v>999.0</v>
      </c>
      <c r="L971" s="1">
        <v>999.0</v>
      </c>
      <c r="M971" s="1">
        <v>85.0</v>
      </c>
    </row>
    <row r="972" hidden="1">
      <c r="A972" s="1" t="s">
        <v>272</v>
      </c>
      <c r="B972" s="3" t="s">
        <v>1970</v>
      </c>
      <c r="C972" s="1" t="s">
        <v>1569</v>
      </c>
      <c r="D972" s="1" t="s">
        <v>23</v>
      </c>
      <c r="E972" s="1" t="s">
        <v>238</v>
      </c>
      <c r="F972" s="1"/>
      <c r="G972" s="1"/>
      <c r="H972" s="1" t="s">
        <v>23</v>
      </c>
      <c r="I972" s="1" t="s">
        <v>199</v>
      </c>
      <c r="J972" s="4">
        <v>42887.0</v>
      </c>
      <c r="K972" s="1">
        <v>500.0</v>
      </c>
      <c r="L972" s="1">
        <v>500.0</v>
      </c>
      <c r="M972" s="1">
        <v>86.0</v>
      </c>
    </row>
    <row r="973" hidden="1">
      <c r="A973" s="1" t="s">
        <v>274</v>
      </c>
      <c r="B973" s="3" t="s">
        <v>1971</v>
      </c>
      <c r="C973" s="1" t="s">
        <v>1569</v>
      </c>
      <c r="D973" s="1" t="s">
        <v>276</v>
      </c>
      <c r="E973" s="1" t="s">
        <v>238</v>
      </c>
      <c r="F973" s="1"/>
      <c r="G973" s="1"/>
      <c r="H973" s="1" t="s">
        <v>276</v>
      </c>
      <c r="I973" s="1" t="s">
        <v>199</v>
      </c>
      <c r="J973" s="4">
        <v>42887.0</v>
      </c>
      <c r="K973" s="1">
        <v>150.0</v>
      </c>
      <c r="L973" s="1">
        <v>150.0</v>
      </c>
      <c r="M973" s="1">
        <v>87.0</v>
      </c>
    </row>
    <row r="974" hidden="1">
      <c r="A974" s="1" t="s">
        <v>277</v>
      </c>
      <c r="B974" s="3" t="s">
        <v>1972</v>
      </c>
      <c r="C974" s="1" t="s">
        <v>1569</v>
      </c>
      <c r="D974" s="1" t="s">
        <v>89</v>
      </c>
      <c r="E974" s="1" t="s">
        <v>238</v>
      </c>
      <c r="F974" s="1"/>
      <c r="G974" s="1"/>
      <c r="H974" s="1" t="s">
        <v>89</v>
      </c>
      <c r="I974" s="1" t="s">
        <v>199</v>
      </c>
      <c r="J974" s="4">
        <v>42887.0</v>
      </c>
      <c r="K974" s="1">
        <v>10000.0</v>
      </c>
      <c r="L974" s="1">
        <v>10000.0</v>
      </c>
      <c r="M974" s="1">
        <v>88.0</v>
      </c>
    </row>
    <row r="975" hidden="1">
      <c r="A975" s="1" t="s">
        <v>279</v>
      </c>
      <c r="B975" s="3" t="s">
        <v>1973</v>
      </c>
      <c r="C975" s="1" t="s">
        <v>1569</v>
      </c>
      <c r="D975" s="1" t="s">
        <v>61</v>
      </c>
      <c r="E975" s="1" t="s">
        <v>238</v>
      </c>
      <c r="F975" s="1"/>
      <c r="G975" s="1"/>
      <c r="H975" s="1" t="s">
        <v>61</v>
      </c>
      <c r="I975" s="1" t="s">
        <v>199</v>
      </c>
      <c r="J975" s="4">
        <v>42887.0</v>
      </c>
      <c r="K975" s="1">
        <v>1000.0</v>
      </c>
      <c r="L975" s="1">
        <v>1000.0</v>
      </c>
      <c r="M975" s="1">
        <v>89.0</v>
      </c>
    </row>
    <row r="976" hidden="1">
      <c r="A976" s="1" t="s">
        <v>281</v>
      </c>
      <c r="B976" s="3" t="s">
        <v>1974</v>
      </c>
      <c r="C976" s="1" t="s">
        <v>1569</v>
      </c>
      <c r="D976" s="1" t="s">
        <v>283</v>
      </c>
      <c r="E976" s="1" t="s">
        <v>238</v>
      </c>
      <c r="F976" s="1"/>
      <c r="G976" s="1"/>
      <c r="H976" s="1" t="s">
        <v>283</v>
      </c>
      <c r="I976" s="1" t="s">
        <v>199</v>
      </c>
      <c r="J976" s="4">
        <v>42887.0</v>
      </c>
      <c r="K976" s="1">
        <v>400.0</v>
      </c>
      <c r="L976" s="1">
        <v>400.0</v>
      </c>
      <c r="M976" s="1">
        <v>90.0</v>
      </c>
    </row>
    <row r="977" hidden="1">
      <c r="A977" s="1" t="s">
        <v>284</v>
      </c>
      <c r="B977" s="3" t="s">
        <v>1975</v>
      </c>
      <c r="C977" s="1" t="s">
        <v>1569</v>
      </c>
      <c r="D977" s="1" t="s">
        <v>286</v>
      </c>
      <c r="E977" s="1" t="s">
        <v>287</v>
      </c>
      <c r="F977" s="1"/>
      <c r="G977" s="1"/>
      <c r="H977" s="1" t="s">
        <v>286</v>
      </c>
      <c r="I977" s="1" t="s">
        <v>288</v>
      </c>
      <c r="J977" s="4">
        <v>42917.0</v>
      </c>
      <c r="K977" s="1">
        <v>10000.0</v>
      </c>
      <c r="L977" s="1">
        <v>10000.0</v>
      </c>
      <c r="M977" s="1">
        <v>91.0</v>
      </c>
    </row>
    <row r="978" hidden="1">
      <c r="A978" s="1" t="s">
        <v>289</v>
      </c>
      <c r="B978" s="3" t="s">
        <v>1976</v>
      </c>
      <c r="C978" s="1" t="s">
        <v>1569</v>
      </c>
      <c r="D978" s="1" t="s">
        <v>23</v>
      </c>
      <c r="E978" s="1" t="s">
        <v>287</v>
      </c>
      <c r="F978" s="1"/>
      <c r="G978" s="1"/>
      <c r="H978" s="1" t="s">
        <v>23</v>
      </c>
      <c r="I978" s="1" t="s">
        <v>288</v>
      </c>
      <c r="J978" s="4">
        <v>42917.0</v>
      </c>
      <c r="K978" s="1">
        <v>10000.0</v>
      </c>
      <c r="L978" s="1">
        <v>10000.0</v>
      </c>
      <c r="M978" s="1">
        <v>92.0</v>
      </c>
    </row>
    <row r="979" hidden="1">
      <c r="A979" s="1" t="s">
        <v>291</v>
      </c>
      <c r="B979" s="3" t="s">
        <v>1977</v>
      </c>
      <c r="C979" s="1" t="s">
        <v>1569</v>
      </c>
      <c r="D979" s="1" t="s">
        <v>293</v>
      </c>
      <c r="E979" s="1" t="s">
        <v>287</v>
      </c>
      <c r="F979" s="1"/>
      <c r="G979" s="1"/>
      <c r="H979" s="1" t="s">
        <v>293</v>
      </c>
      <c r="I979" s="1" t="s">
        <v>288</v>
      </c>
      <c r="J979" s="4">
        <v>42917.0</v>
      </c>
      <c r="K979" s="1">
        <v>10000.0</v>
      </c>
      <c r="L979" s="1">
        <v>10000.0</v>
      </c>
      <c r="M979" s="1">
        <v>93.0</v>
      </c>
    </row>
    <row r="980" hidden="1">
      <c r="A980" s="1" t="s">
        <v>294</v>
      </c>
      <c r="B980" s="3" t="s">
        <v>1978</v>
      </c>
      <c r="C980" s="1" t="s">
        <v>1569</v>
      </c>
      <c r="D980" s="1" t="s">
        <v>252</v>
      </c>
      <c r="E980" s="1" t="s">
        <v>287</v>
      </c>
      <c r="F980" s="1"/>
      <c r="G980" s="1"/>
      <c r="H980" s="1" t="s">
        <v>252</v>
      </c>
      <c r="I980" s="1" t="s">
        <v>288</v>
      </c>
      <c r="J980" s="4">
        <v>42917.0</v>
      </c>
      <c r="K980" s="1">
        <v>10000.0</v>
      </c>
      <c r="L980" s="1">
        <v>10000.0</v>
      </c>
      <c r="M980" s="1">
        <v>94.0</v>
      </c>
    </row>
    <row r="981" hidden="1">
      <c r="A981" s="1" t="s">
        <v>296</v>
      </c>
      <c r="B981" s="3" t="s">
        <v>1979</v>
      </c>
      <c r="C981" s="1" t="s">
        <v>1569</v>
      </c>
      <c r="D981" s="1" t="s">
        <v>252</v>
      </c>
      <c r="E981" s="1" t="s">
        <v>287</v>
      </c>
      <c r="F981" s="1"/>
      <c r="G981" s="1"/>
      <c r="H981" s="1" t="s">
        <v>252</v>
      </c>
      <c r="I981" s="1" t="s">
        <v>288</v>
      </c>
      <c r="J981" s="4">
        <v>42917.0</v>
      </c>
      <c r="K981" s="1">
        <v>10000.0</v>
      </c>
      <c r="L981" s="1">
        <v>10000.0</v>
      </c>
      <c r="M981" s="1">
        <v>95.0</v>
      </c>
    </row>
    <row r="982" hidden="1">
      <c r="A982" s="1" t="s">
        <v>298</v>
      </c>
      <c r="B982" s="3" t="s">
        <v>1980</v>
      </c>
      <c r="C982" s="1" t="s">
        <v>1569</v>
      </c>
      <c r="D982" s="1" t="s">
        <v>135</v>
      </c>
      <c r="E982" s="1" t="s">
        <v>287</v>
      </c>
      <c r="F982" s="1"/>
      <c r="G982" s="1"/>
      <c r="H982" s="1" t="s">
        <v>135</v>
      </c>
      <c r="I982" s="1" t="s">
        <v>288</v>
      </c>
      <c r="J982" s="4">
        <v>42917.0</v>
      </c>
      <c r="K982" s="1">
        <v>10000.0</v>
      </c>
      <c r="L982" s="1">
        <v>10000.0</v>
      </c>
      <c r="M982" s="1">
        <v>96.0</v>
      </c>
    </row>
    <row r="983" hidden="1">
      <c r="A983" s="1" t="s">
        <v>300</v>
      </c>
      <c r="B983" s="3" t="s">
        <v>1981</v>
      </c>
      <c r="C983" s="1" t="s">
        <v>1569</v>
      </c>
      <c r="D983" s="1" t="s">
        <v>44</v>
      </c>
      <c r="E983" s="1" t="s">
        <v>287</v>
      </c>
      <c r="F983" s="1"/>
      <c r="G983" s="1"/>
      <c r="H983" s="1" t="s">
        <v>44</v>
      </c>
      <c r="I983" s="1" t="s">
        <v>288</v>
      </c>
      <c r="J983" s="4">
        <v>42917.0</v>
      </c>
      <c r="K983" s="1">
        <v>10000.0</v>
      </c>
      <c r="L983" s="1">
        <v>10000.0</v>
      </c>
      <c r="M983" s="1">
        <v>97.0</v>
      </c>
    </row>
    <row r="984" hidden="1">
      <c r="A984" s="1" t="s">
        <v>302</v>
      </c>
      <c r="B984" s="3" t="s">
        <v>1982</v>
      </c>
      <c r="C984" s="1" t="s">
        <v>1569</v>
      </c>
      <c r="D984" s="1" t="s">
        <v>44</v>
      </c>
      <c r="E984" s="1" t="s">
        <v>287</v>
      </c>
      <c r="F984" s="1"/>
      <c r="G984" s="1"/>
      <c r="H984" s="1" t="s">
        <v>44</v>
      </c>
      <c r="I984" s="1" t="s">
        <v>288</v>
      </c>
      <c r="J984" s="4">
        <v>42917.0</v>
      </c>
      <c r="K984" s="1">
        <v>10000.0</v>
      </c>
      <c r="L984" s="1">
        <v>10000.0</v>
      </c>
      <c r="M984" s="1">
        <v>98.0</v>
      </c>
    </row>
    <row r="985" hidden="1">
      <c r="A985" s="1" t="s">
        <v>304</v>
      </c>
      <c r="B985" s="3" t="s">
        <v>1983</v>
      </c>
      <c r="C985" s="1" t="s">
        <v>1569</v>
      </c>
      <c r="D985" s="1" t="s">
        <v>168</v>
      </c>
      <c r="E985" s="1" t="s">
        <v>287</v>
      </c>
      <c r="F985" s="1"/>
      <c r="G985" s="1"/>
      <c r="H985" s="1" t="s">
        <v>168</v>
      </c>
      <c r="I985" s="1" t="s">
        <v>288</v>
      </c>
      <c r="J985" s="4">
        <v>42917.0</v>
      </c>
      <c r="K985" s="1">
        <v>10000.0</v>
      </c>
      <c r="L985" s="1">
        <v>1500.0</v>
      </c>
      <c r="M985" s="1">
        <v>99.0</v>
      </c>
    </row>
    <row r="986" hidden="1">
      <c r="A986" s="1" t="s">
        <v>306</v>
      </c>
      <c r="B986" s="3" t="s">
        <v>1984</v>
      </c>
      <c r="C986" s="1" t="s">
        <v>1569</v>
      </c>
      <c r="D986" s="1" t="s">
        <v>252</v>
      </c>
      <c r="E986" s="1" t="s">
        <v>287</v>
      </c>
      <c r="F986" s="1"/>
      <c r="G986" s="1"/>
      <c r="H986" s="1" t="s">
        <v>252</v>
      </c>
      <c r="I986" s="1" t="s">
        <v>288</v>
      </c>
      <c r="J986" s="4">
        <v>42917.0</v>
      </c>
      <c r="K986" s="1">
        <v>10000.0</v>
      </c>
      <c r="L986" s="1">
        <v>10000.0</v>
      </c>
      <c r="M986" s="1">
        <v>100.0</v>
      </c>
    </row>
    <row r="987" hidden="1">
      <c r="A987" s="1" t="s">
        <v>347</v>
      </c>
      <c r="B987" s="3" t="s">
        <v>1985</v>
      </c>
      <c r="C987" s="1" t="s">
        <v>1569</v>
      </c>
      <c r="D987" s="1" t="s">
        <v>349</v>
      </c>
      <c r="E987" s="1" t="s">
        <v>287</v>
      </c>
      <c r="F987" s="1"/>
      <c r="G987" s="1"/>
      <c r="H987" s="1" t="s">
        <v>349</v>
      </c>
      <c r="I987" s="1" t="s">
        <v>288</v>
      </c>
      <c r="J987" s="4">
        <v>42917.0</v>
      </c>
      <c r="K987" s="1">
        <v>10000.0</v>
      </c>
      <c r="L987" s="1">
        <v>10000.0</v>
      </c>
      <c r="M987" s="1">
        <v>101.0</v>
      </c>
    </row>
    <row r="988" hidden="1">
      <c r="A988" s="1" t="s">
        <v>308</v>
      </c>
      <c r="B988" s="3" t="s">
        <v>1986</v>
      </c>
      <c r="C988" s="1" t="s">
        <v>1569</v>
      </c>
      <c r="D988" s="1" t="s">
        <v>89</v>
      </c>
      <c r="E988" s="1" t="s">
        <v>287</v>
      </c>
      <c r="F988" s="1"/>
      <c r="G988" s="1"/>
      <c r="H988" s="1" t="s">
        <v>89</v>
      </c>
      <c r="I988" s="1" t="s">
        <v>288</v>
      </c>
      <c r="J988" s="4">
        <v>42917.0</v>
      </c>
      <c r="K988" s="1">
        <v>10000.0</v>
      </c>
      <c r="L988" s="1">
        <v>10000.0</v>
      </c>
      <c r="M988" s="1">
        <v>102.0</v>
      </c>
    </row>
    <row r="989" hidden="1">
      <c r="A989" s="1" t="s">
        <v>310</v>
      </c>
      <c r="B989" s="3" t="s">
        <v>1987</v>
      </c>
      <c r="C989" s="1" t="s">
        <v>1569</v>
      </c>
      <c r="D989" s="1" t="s">
        <v>312</v>
      </c>
      <c r="E989" s="1" t="s">
        <v>287</v>
      </c>
      <c r="F989" s="1"/>
      <c r="G989" s="1"/>
      <c r="H989" s="1" t="s">
        <v>312</v>
      </c>
      <c r="I989" s="1" t="s">
        <v>288</v>
      </c>
      <c r="J989" s="4">
        <v>42917.0</v>
      </c>
      <c r="K989" s="1">
        <v>10000.0</v>
      </c>
      <c r="L989" s="1">
        <v>10000.0</v>
      </c>
      <c r="M989" s="1">
        <v>103.0</v>
      </c>
    </row>
    <row r="990" hidden="1">
      <c r="A990" s="1" t="s">
        <v>313</v>
      </c>
      <c r="B990" s="3" t="s">
        <v>1988</v>
      </c>
      <c r="C990" s="1" t="s">
        <v>1569</v>
      </c>
      <c r="D990" s="1" t="s">
        <v>146</v>
      </c>
      <c r="E990" s="1" t="s">
        <v>287</v>
      </c>
      <c r="F990" s="1"/>
      <c r="G990" s="1"/>
      <c r="H990" s="1" t="s">
        <v>146</v>
      </c>
      <c r="I990" s="1" t="s">
        <v>288</v>
      </c>
      <c r="J990" s="4">
        <v>42917.0</v>
      </c>
      <c r="K990" s="1">
        <v>10000.0</v>
      </c>
      <c r="L990" s="1">
        <v>10000.0</v>
      </c>
      <c r="M990" s="1">
        <v>104.0</v>
      </c>
    </row>
    <row r="991" hidden="1">
      <c r="A991" s="1" t="s">
        <v>315</v>
      </c>
      <c r="B991" s="3" t="s">
        <v>1989</v>
      </c>
      <c r="C991" s="1" t="s">
        <v>1569</v>
      </c>
      <c r="D991" s="1" t="s">
        <v>317</v>
      </c>
      <c r="E991" s="1" t="s">
        <v>287</v>
      </c>
      <c r="F991" s="1"/>
      <c r="G991" s="1"/>
      <c r="H991" s="1" t="s">
        <v>317</v>
      </c>
      <c r="I991" s="1" t="s">
        <v>288</v>
      </c>
      <c r="J991" s="4">
        <v>42917.0</v>
      </c>
      <c r="K991" s="1">
        <v>10000.0</v>
      </c>
      <c r="L991" s="1">
        <v>10000.0</v>
      </c>
      <c r="M991" s="1">
        <v>105.0</v>
      </c>
    </row>
    <row r="992" hidden="1">
      <c r="A992" s="1" t="s">
        <v>318</v>
      </c>
      <c r="B992" s="3" t="s">
        <v>1990</v>
      </c>
      <c r="C992" s="1" t="s">
        <v>1569</v>
      </c>
      <c r="D992" s="1" t="s">
        <v>61</v>
      </c>
      <c r="E992" s="1" t="s">
        <v>287</v>
      </c>
      <c r="F992" s="1"/>
      <c r="G992" s="1"/>
      <c r="H992" s="1" t="s">
        <v>61</v>
      </c>
      <c r="I992" s="1" t="s">
        <v>288</v>
      </c>
      <c r="J992" s="4">
        <v>42917.0</v>
      </c>
      <c r="K992" s="1">
        <v>10000.0</v>
      </c>
      <c r="L992" s="1">
        <v>500.0</v>
      </c>
      <c r="M992" s="1">
        <v>106.0</v>
      </c>
    </row>
    <row r="993" hidden="1">
      <c r="A993" s="1" t="s">
        <v>320</v>
      </c>
      <c r="B993" s="3" t="s">
        <v>1991</v>
      </c>
      <c r="C993" s="1" t="s">
        <v>1569</v>
      </c>
      <c r="D993" s="1" t="s">
        <v>71</v>
      </c>
      <c r="E993" s="1" t="s">
        <v>287</v>
      </c>
      <c r="F993" s="1"/>
      <c r="G993" s="1"/>
      <c r="H993" s="1" t="s">
        <v>71</v>
      </c>
      <c r="I993" s="1" t="s">
        <v>288</v>
      </c>
      <c r="J993" s="4">
        <v>42917.0</v>
      </c>
      <c r="K993" s="1">
        <v>10000.0</v>
      </c>
      <c r="L993" s="1">
        <v>10000.0</v>
      </c>
      <c r="M993" s="1">
        <v>107.0</v>
      </c>
    </row>
    <row r="994" hidden="1">
      <c r="A994" s="1" t="s">
        <v>322</v>
      </c>
      <c r="B994" s="3" t="s">
        <v>1992</v>
      </c>
      <c r="C994" s="1" t="s">
        <v>1569</v>
      </c>
      <c r="D994" s="1" t="s">
        <v>128</v>
      </c>
      <c r="E994" s="1" t="s">
        <v>287</v>
      </c>
      <c r="F994" s="1"/>
      <c r="G994" s="1"/>
      <c r="H994" s="1" t="s">
        <v>128</v>
      </c>
      <c r="I994" s="1" t="s">
        <v>288</v>
      </c>
      <c r="J994" s="4">
        <v>42917.0</v>
      </c>
      <c r="K994" s="1">
        <v>10000.0</v>
      </c>
      <c r="L994" s="1">
        <v>10000.0</v>
      </c>
      <c r="M994" s="1">
        <v>108.0</v>
      </c>
    </row>
    <row r="995" hidden="1">
      <c r="A995" s="1" t="s">
        <v>324</v>
      </c>
      <c r="B995" s="3" t="s">
        <v>1993</v>
      </c>
      <c r="C995" s="1" t="s">
        <v>1569</v>
      </c>
      <c r="D995" s="1" t="s">
        <v>92</v>
      </c>
      <c r="E995" s="1" t="s">
        <v>287</v>
      </c>
      <c r="F995" s="1"/>
      <c r="G995" s="1"/>
      <c r="H995" s="1" t="s">
        <v>92</v>
      </c>
      <c r="I995" s="1" t="s">
        <v>288</v>
      </c>
      <c r="J995" s="4">
        <v>42917.0</v>
      </c>
      <c r="K995" s="1">
        <v>10000.0</v>
      </c>
      <c r="L995" s="1">
        <v>10000.0</v>
      </c>
      <c r="M995" s="1">
        <v>109.0</v>
      </c>
    </row>
    <row r="996" hidden="1">
      <c r="A996" s="1" t="s">
        <v>326</v>
      </c>
      <c r="B996" s="3" t="s">
        <v>1994</v>
      </c>
      <c r="C996" s="1" t="s">
        <v>1569</v>
      </c>
      <c r="D996" s="1" t="s">
        <v>79</v>
      </c>
      <c r="E996" s="1" t="s">
        <v>287</v>
      </c>
      <c r="F996" s="1"/>
      <c r="G996" s="1"/>
      <c r="H996" s="1" t="s">
        <v>79</v>
      </c>
      <c r="I996" s="1" t="s">
        <v>288</v>
      </c>
      <c r="J996" s="4">
        <v>42917.0</v>
      </c>
      <c r="K996" s="1">
        <v>10000.0</v>
      </c>
      <c r="L996" s="1">
        <v>10000.0</v>
      </c>
      <c r="M996" s="1">
        <v>110.0</v>
      </c>
    </row>
    <row r="997" hidden="1">
      <c r="A997" s="1" t="s">
        <v>328</v>
      </c>
      <c r="B997" s="3" t="s">
        <v>1995</v>
      </c>
      <c r="C997" s="1" t="s">
        <v>1569</v>
      </c>
      <c r="D997" s="1" t="s">
        <v>330</v>
      </c>
      <c r="E997" s="1" t="s">
        <v>287</v>
      </c>
      <c r="F997" s="1"/>
      <c r="G997" s="1"/>
      <c r="H997" s="1" t="s">
        <v>330</v>
      </c>
      <c r="I997" s="1" t="s">
        <v>288</v>
      </c>
      <c r="J997" s="4">
        <v>42917.0</v>
      </c>
      <c r="K997" s="1">
        <v>10000.0</v>
      </c>
      <c r="L997" s="1">
        <v>10000.0</v>
      </c>
      <c r="M997" s="1">
        <v>111.0</v>
      </c>
    </row>
    <row r="998" hidden="1">
      <c r="A998" s="1" t="s">
        <v>331</v>
      </c>
      <c r="B998" s="3" t="s">
        <v>1996</v>
      </c>
      <c r="C998" s="1" t="s">
        <v>1569</v>
      </c>
      <c r="D998" s="1" t="s">
        <v>234</v>
      </c>
      <c r="E998" s="1" t="s">
        <v>287</v>
      </c>
      <c r="F998" s="1"/>
      <c r="G998" s="1"/>
      <c r="H998" s="1" t="s">
        <v>234</v>
      </c>
      <c r="I998" s="1" t="s">
        <v>288</v>
      </c>
      <c r="J998" s="4">
        <v>42917.0</v>
      </c>
      <c r="K998" s="1">
        <v>10000.0</v>
      </c>
      <c r="L998" s="1">
        <v>10000.0</v>
      </c>
      <c r="M998" s="1">
        <v>112.0</v>
      </c>
    </row>
    <row r="999" hidden="1">
      <c r="A999" s="1" t="s">
        <v>333</v>
      </c>
      <c r="B999" s="3" t="s">
        <v>1997</v>
      </c>
      <c r="C999" s="1" t="s">
        <v>1569</v>
      </c>
      <c r="D999" s="1" t="s">
        <v>95</v>
      </c>
      <c r="E999" s="1" t="s">
        <v>287</v>
      </c>
      <c r="F999" s="1"/>
      <c r="G999" s="1"/>
      <c r="H999" s="1" t="s">
        <v>95</v>
      </c>
      <c r="I999" s="1" t="s">
        <v>288</v>
      </c>
      <c r="J999" s="4">
        <v>42917.0</v>
      </c>
      <c r="K999" s="1">
        <v>10000.0</v>
      </c>
      <c r="L999" s="1">
        <v>10000.0</v>
      </c>
      <c r="M999" s="1">
        <v>113.0</v>
      </c>
    </row>
    <row r="1000" hidden="1">
      <c r="A1000" s="1" t="s">
        <v>335</v>
      </c>
      <c r="B1000" s="3" t="s">
        <v>1998</v>
      </c>
      <c r="C1000" s="1" t="s">
        <v>1569</v>
      </c>
      <c r="D1000" s="1" t="s">
        <v>17</v>
      </c>
      <c r="E1000" s="1" t="s">
        <v>287</v>
      </c>
      <c r="F1000" s="1"/>
      <c r="G1000" s="1"/>
      <c r="H1000" s="1" t="s">
        <v>17</v>
      </c>
      <c r="I1000" s="1" t="s">
        <v>288</v>
      </c>
      <c r="J1000" s="4">
        <v>42917.0</v>
      </c>
      <c r="K1000" s="1">
        <v>10000.0</v>
      </c>
      <c r="L1000" s="1">
        <v>10000.0</v>
      </c>
      <c r="M1000" s="1">
        <v>114.0</v>
      </c>
    </row>
    <row r="1001" hidden="1">
      <c r="A1001" s="1" t="s">
        <v>337</v>
      </c>
      <c r="B1001" s="3" t="s">
        <v>1999</v>
      </c>
      <c r="C1001" s="1" t="s">
        <v>1569</v>
      </c>
      <c r="D1001" s="1" t="s">
        <v>53</v>
      </c>
      <c r="E1001" s="1" t="s">
        <v>287</v>
      </c>
      <c r="F1001" s="1"/>
      <c r="G1001" s="1"/>
      <c r="H1001" s="1" t="s">
        <v>53</v>
      </c>
      <c r="I1001" s="1" t="s">
        <v>288</v>
      </c>
      <c r="J1001" s="4">
        <v>42917.0</v>
      </c>
      <c r="K1001" s="1">
        <v>10000.0</v>
      </c>
      <c r="L1001" s="1">
        <v>10000.0</v>
      </c>
      <c r="M1001" s="1">
        <v>115.0</v>
      </c>
    </row>
    <row r="1002" hidden="1">
      <c r="A1002" s="1" t="s">
        <v>339</v>
      </c>
      <c r="B1002" s="3" t="s">
        <v>2000</v>
      </c>
      <c r="C1002" s="1" t="s">
        <v>1569</v>
      </c>
      <c r="D1002" s="1" t="s">
        <v>17</v>
      </c>
      <c r="E1002" s="1" t="s">
        <v>287</v>
      </c>
      <c r="F1002" s="1"/>
      <c r="G1002" s="1"/>
      <c r="H1002" s="1" t="s">
        <v>17</v>
      </c>
      <c r="I1002" s="1" t="s">
        <v>288</v>
      </c>
      <c r="J1002" s="4">
        <v>42917.0</v>
      </c>
      <c r="K1002" s="1">
        <v>10000.0</v>
      </c>
      <c r="L1002" s="1">
        <v>10000.0</v>
      </c>
      <c r="M1002" s="1">
        <v>116.0</v>
      </c>
    </row>
    <row r="1003" hidden="1">
      <c r="A1003" s="1" t="s">
        <v>341</v>
      </c>
      <c r="B1003" s="3" t="s">
        <v>2001</v>
      </c>
      <c r="C1003" s="1" t="s">
        <v>1569</v>
      </c>
      <c r="D1003" s="1" t="s">
        <v>95</v>
      </c>
      <c r="E1003" s="1" t="s">
        <v>287</v>
      </c>
      <c r="F1003" s="1"/>
      <c r="G1003" s="1"/>
      <c r="H1003" s="1" t="s">
        <v>95</v>
      </c>
      <c r="I1003" s="1" t="s">
        <v>288</v>
      </c>
      <c r="J1003" s="4">
        <v>42917.0</v>
      </c>
      <c r="K1003" s="1">
        <v>10000.0</v>
      </c>
      <c r="L1003" s="1">
        <v>10000.0</v>
      </c>
      <c r="M1003" s="1">
        <v>117.0</v>
      </c>
    </row>
    <row r="1004" hidden="1">
      <c r="A1004" s="1" t="s">
        <v>343</v>
      </c>
      <c r="B1004" s="3" t="s">
        <v>2002</v>
      </c>
      <c r="C1004" s="1" t="s">
        <v>1569</v>
      </c>
      <c r="D1004" s="1" t="s">
        <v>159</v>
      </c>
      <c r="E1004" s="1" t="s">
        <v>287</v>
      </c>
      <c r="F1004" s="1"/>
      <c r="G1004" s="1"/>
      <c r="H1004" s="1" t="s">
        <v>159</v>
      </c>
      <c r="I1004" s="1" t="s">
        <v>288</v>
      </c>
      <c r="J1004" s="4">
        <v>42917.0</v>
      </c>
      <c r="K1004" s="1">
        <v>10000.0</v>
      </c>
      <c r="L1004" s="1">
        <v>1999.0</v>
      </c>
      <c r="M1004" s="1">
        <v>118.0</v>
      </c>
    </row>
    <row r="1005" hidden="1">
      <c r="A1005" s="1" t="s">
        <v>345</v>
      </c>
      <c r="B1005" s="3" t="s">
        <v>2003</v>
      </c>
      <c r="C1005" s="1" t="s">
        <v>1569</v>
      </c>
      <c r="D1005" s="1" t="s">
        <v>66</v>
      </c>
      <c r="E1005" s="1" t="s">
        <v>287</v>
      </c>
      <c r="F1005" s="1"/>
      <c r="G1005" s="1"/>
      <c r="H1005" s="1" t="s">
        <v>66</v>
      </c>
      <c r="I1005" s="1" t="s">
        <v>288</v>
      </c>
      <c r="J1005" s="4">
        <v>42917.0</v>
      </c>
      <c r="K1005" s="1">
        <v>10000.0</v>
      </c>
      <c r="L1005" s="1">
        <v>10000.0</v>
      </c>
      <c r="M1005" s="1">
        <v>119.0</v>
      </c>
    </row>
    <row r="1006" hidden="1">
      <c r="A1006" s="1" t="s">
        <v>350</v>
      </c>
      <c r="B1006" s="3" t="s">
        <v>2004</v>
      </c>
      <c r="C1006" s="1" t="s">
        <v>1569</v>
      </c>
      <c r="D1006" s="1" t="s">
        <v>352</v>
      </c>
      <c r="E1006" s="1" t="s">
        <v>353</v>
      </c>
      <c r="F1006" s="1"/>
      <c r="G1006" s="1"/>
      <c r="H1006" s="1" t="s">
        <v>352</v>
      </c>
      <c r="I1006" s="1" t="s">
        <v>288</v>
      </c>
      <c r="J1006" s="4">
        <v>42917.0</v>
      </c>
      <c r="K1006" s="1">
        <v>300.0</v>
      </c>
      <c r="L1006" s="1">
        <v>300.0</v>
      </c>
      <c r="M1006" s="1">
        <v>120.0</v>
      </c>
    </row>
    <row r="1007" hidden="1">
      <c r="A1007" s="1" t="s">
        <v>354</v>
      </c>
      <c r="B1007" s="3" t="s">
        <v>2005</v>
      </c>
      <c r="C1007" s="1" t="s">
        <v>1569</v>
      </c>
      <c r="D1007" s="1" t="s">
        <v>123</v>
      </c>
      <c r="E1007" s="1" t="s">
        <v>353</v>
      </c>
      <c r="F1007" s="1"/>
      <c r="G1007" s="1"/>
      <c r="H1007" s="1" t="s">
        <v>123</v>
      </c>
      <c r="I1007" s="1" t="s">
        <v>288</v>
      </c>
      <c r="J1007" s="4">
        <v>42917.0</v>
      </c>
      <c r="K1007" s="1">
        <v>100.0</v>
      </c>
      <c r="L1007" s="1">
        <v>100.0</v>
      </c>
      <c r="M1007" s="1">
        <v>121.0</v>
      </c>
    </row>
    <row r="1008" hidden="1">
      <c r="A1008" s="1" t="s">
        <v>356</v>
      </c>
      <c r="B1008" s="3" t="s">
        <v>2006</v>
      </c>
      <c r="C1008" s="1" t="s">
        <v>1569</v>
      </c>
      <c r="D1008" s="1" t="s">
        <v>227</v>
      </c>
      <c r="E1008" s="1" t="s">
        <v>353</v>
      </c>
      <c r="F1008" s="1"/>
      <c r="G1008" s="1"/>
      <c r="H1008" s="1" t="s">
        <v>227</v>
      </c>
      <c r="I1008" s="1" t="s">
        <v>288</v>
      </c>
      <c r="J1008" s="4">
        <v>42917.0</v>
      </c>
      <c r="K1008" s="1">
        <v>100.0</v>
      </c>
      <c r="L1008" s="1">
        <v>100.0</v>
      </c>
      <c r="M1008" s="1">
        <v>122.0</v>
      </c>
    </row>
    <row r="1009" hidden="1">
      <c r="A1009" s="1" t="s">
        <v>358</v>
      </c>
      <c r="B1009" s="3" t="s">
        <v>2007</v>
      </c>
      <c r="C1009" s="1" t="s">
        <v>1569</v>
      </c>
      <c r="D1009" s="1" t="s">
        <v>79</v>
      </c>
      <c r="E1009" s="1" t="s">
        <v>353</v>
      </c>
      <c r="F1009" s="1"/>
      <c r="G1009" s="1"/>
      <c r="H1009" s="1" t="s">
        <v>79</v>
      </c>
      <c r="I1009" s="1" t="s">
        <v>288</v>
      </c>
      <c r="J1009" s="4">
        <v>42917.0</v>
      </c>
      <c r="K1009" s="1">
        <v>200.0</v>
      </c>
      <c r="L1009" s="1">
        <v>200.0</v>
      </c>
      <c r="M1009" s="1">
        <v>123.0</v>
      </c>
    </row>
    <row r="1010" hidden="1">
      <c r="A1010" s="1" t="s">
        <v>360</v>
      </c>
      <c r="B1010" s="3" t="s">
        <v>2008</v>
      </c>
      <c r="C1010" s="1" t="s">
        <v>1569</v>
      </c>
      <c r="D1010" s="1" t="s">
        <v>128</v>
      </c>
      <c r="E1010" s="1" t="s">
        <v>353</v>
      </c>
      <c r="F1010" s="1"/>
      <c r="G1010" s="1"/>
      <c r="H1010" s="1" t="s">
        <v>128</v>
      </c>
      <c r="I1010" s="1" t="s">
        <v>288</v>
      </c>
      <c r="J1010" s="4">
        <v>42917.0</v>
      </c>
      <c r="K1010" s="1">
        <v>500.0</v>
      </c>
      <c r="L1010" s="1">
        <v>500.0</v>
      </c>
      <c r="M1010" s="1">
        <v>124.0</v>
      </c>
    </row>
    <row r="1011" hidden="1">
      <c r="A1011" s="1" t="s">
        <v>362</v>
      </c>
      <c r="B1011" s="3" t="s">
        <v>2009</v>
      </c>
      <c r="C1011" s="1" t="s">
        <v>1569</v>
      </c>
      <c r="D1011" s="1" t="s">
        <v>330</v>
      </c>
      <c r="E1011" s="1" t="s">
        <v>353</v>
      </c>
      <c r="F1011" s="1"/>
      <c r="G1011" s="1"/>
      <c r="H1011" s="1" t="s">
        <v>330</v>
      </c>
      <c r="I1011" s="1" t="s">
        <v>288</v>
      </c>
      <c r="J1011" s="4">
        <v>42917.0</v>
      </c>
      <c r="K1011" s="1">
        <v>100.0</v>
      </c>
      <c r="L1011" s="1">
        <v>100.0</v>
      </c>
      <c r="M1011" s="1">
        <v>125.0</v>
      </c>
    </row>
    <row r="1012" hidden="1">
      <c r="A1012" s="1" t="s">
        <v>364</v>
      </c>
      <c r="B1012" s="3" t="s">
        <v>2010</v>
      </c>
      <c r="C1012" s="1" t="s">
        <v>1569</v>
      </c>
      <c r="D1012" s="1" t="s">
        <v>366</v>
      </c>
      <c r="E1012" s="1" t="s">
        <v>353</v>
      </c>
      <c r="F1012" s="1"/>
      <c r="G1012" s="1"/>
      <c r="H1012" s="1" t="s">
        <v>366</v>
      </c>
      <c r="I1012" s="1" t="s">
        <v>288</v>
      </c>
      <c r="J1012" s="4">
        <v>42917.0</v>
      </c>
      <c r="K1012" s="1">
        <v>10000.0</v>
      </c>
      <c r="L1012" s="1">
        <v>10000.0</v>
      </c>
      <c r="M1012" s="1">
        <v>126.0</v>
      </c>
    </row>
    <row r="1013" hidden="1">
      <c r="A1013" s="1" t="s">
        <v>367</v>
      </c>
      <c r="B1013" s="3" t="s">
        <v>2011</v>
      </c>
      <c r="C1013" s="1" t="s">
        <v>1569</v>
      </c>
      <c r="D1013" s="1" t="s">
        <v>44</v>
      </c>
      <c r="E1013" s="1" t="s">
        <v>353</v>
      </c>
      <c r="F1013" s="1"/>
      <c r="G1013" s="1"/>
      <c r="H1013" s="1" t="s">
        <v>44</v>
      </c>
      <c r="I1013" s="1" t="s">
        <v>288</v>
      </c>
      <c r="J1013" s="4">
        <v>42917.0</v>
      </c>
      <c r="K1013" s="1">
        <v>999.0</v>
      </c>
      <c r="L1013" s="1">
        <v>999.0</v>
      </c>
      <c r="M1013" s="1">
        <v>127.0</v>
      </c>
    </row>
    <row r="1014" hidden="1">
      <c r="A1014" s="1" t="s">
        <v>369</v>
      </c>
      <c r="B1014" s="3" t="s">
        <v>2012</v>
      </c>
      <c r="C1014" s="1" t="s">
        <v>1569</v>
      </c>
      <c r="D1014" s="1" t="s">
        <v>371</v>
      </c>
      <c r="E1014" s="1" t="s">
        <v>353</v>
      </c>
      <c r="F1014" s="1"/>
      <c r="G1014" s="1"/>
      <c r="H1014" s="1" t="s">
        <v>371</v>
      </c>
      <c r="I1014" s="1" t="s">
        <v>288</v>
      </c>
      <c r="J1014" s="4">
        <v>42917.0</v>
      </c>
      <c r="K1014" s="1">
        <v>200.0</v>
      </c>
      <c r="L1014" s="1">
        <v>200.0</v>
      </c>
      <c r="M1014" s="1">
        <v>128.0</v>
      </c>
    </row>
    <row r="1015" hidden="1">
      <c r="A1015" s="1" t="s">
        <v>372</v>
      </c>
      <c r="B1015" s="3" t="s">
        <v>2013</v>
      </c>
      <c r="C1015" s="1" t="s">
        <v>1569</v>
      </c>
      <c r="D1015" s="1" t="s">
        <v>44</v>
      </c>
      <c r="E1015" s="1" t="s">
        <v>353</v>
      </c>
      <c r="F1015" s="1"/>
      <c r="G1015" s="1"/>
      <c r="H1015" s="1" t="s">
        <v>44</v>
      </c>
      <c r="I1015" s="1" t="s">
        <v>288</v>
      </c>
      <c r="J1015" s="4">
        <v>42917.0</v>
      </c>
      <c r="K1015" s="1">
        <v>150.0</v>
      </c>
      <c r="L1015" s="1">
        <v>150.0</v>
      </c>
      <c r="M1015" s="1">
        <v>129.0</v>
      </c>
    </row>
    <row r="1016" hidden="1">
      <c r="A1016" s="1" t="s">
        <v>374</v>
      </c>
      <c r="B1016" s="3" t="s">
        <v>2014</v>
      </c>
      <c r="C1016" s="1" t="s">
        <v>1569</v>
      </c>
      <c r="D1016" s="1" t="s">
        <v>376</v>
      </c>
      <c r="E1016" s="1" t="s">
        <v>353</v>
      </c>
      <c r="F1016" s="1"/>
      <c r="G1016" s="1"/>
      <c r="H1016" s="1" t="s">
        <v>376</v>
      </c>
      <c r="I1016" s="1" t="s">
        <v>288</v>
      </c>
      <c r="J1016" s="4">
        <v>42917.0</v>
      </c>
      <c r="K1016" s="1">
        <v>200.0</v>
      </c>
      <c r="L1016" s="1">
        <v>200.0</v>
      </c>
      <c r="M1016" s="1">
        <v>130.0</v>
      </c>
    </row>
    <row r="1017" hidden="1">
      <c r="A1017" s="1" t="s">
        <v>377</v>
      </c>
      <c r="B1017" s="3" t="s">
        <v>2015</v>
      </c>
      <c r="C1017" s="1" t="s">
        <v>1569</v>
      </c>
      <c r="D1017" s="1" t="s">
        <v>79</v>
      </c>
      <c r="E1017" s="1" t="s">
        <v>353</v>
      </c>
      <c r="F1017" s="1"/>
      <c r="G1017" s="1"/>
      <c r="H1017" s="1" t="s">
        <v>79</v>
      </c>
      <c r="I1017" s="1" t="s">
        <v>288</v>
      </c>
      <c r="J1017" s="4">
        <v>42917.0</v>
      </c>
      <c r="K1017" s="1">
        <v>200.0</v>
      </c>
      <c r="L1017" s="1">
        <v>200.0</v>
      </c>
      <c r="M1017" s="1">
        <v>131.0</v>
      </c>
    </row>
    <row r="1018" hidden="1">
      <c r="A1018" s="1" t="s">
        <v>379</v>
      </c>
      <c r="B1018" s="3" t="s">
        <v>2016</v>
      </c>
      <c r="C1018" s="1" t="s">
        <v>1569</v>
      </c>
      <c r="D1018" s="1" t="s">
        <v>123</v>
      </c>
      <c r="E1018" s="1" t="s">
        <v>353</v>
      </c>
      <c r="F1018" s="1"/>
      <c r="G1018" s="1"/>
      <c r="H1018" s="1" t="s">
        <v>123</v>
      </c>
      <c r="I1018" s="1" t="s">
        <v>288</v>
      </c>
      <c r="J1018" s="4">
        <v>42917.0</v>
      </c>
      <c r="K1018" s="1">
        <v>100.0</v>
      </c>
      <c r="L1018" s="1">
        <v>100.0</v>
      </c>
      <c r="M1018" s="1">
        <v>132.0</v>
      </c>
    </row>
    <row r="1019" hidden="1">
      <c r="A1019" s="1" t="s">
        <v>381</v>
      </c>
      <c r="B1019" s="3" t="s">
        <v>2017</v>
      </c>
      <c r="C1019" s="1" t="s">
        <v>1569</v>
      </c>
      <c r="D1019" s="1" t="s">
        <v>89</v>
      </c>
      <c r="E1019" s="1" t="s">
        <v>353</v>
      </c>
      <c r="F1019" s="1"/>
      <c r="G1019" s="1"/>
      <c r="H1019" s="1" t="s">
        <v>89</v>
      </c>
      <c r="I1019" s="1" t="s">
        <v>288</v>
      </c>
      <c r="J1019" s="4">
        <v>42917.0</v>
      </c>
      <c r="K1019" s="1">
        <v>100.0</v>
      </c>
      <c r="L1019" s="1">
        <v>100.0</v>
      </c>
      <c r="M1019" s="1">
        <v>133.0</v>
      </c>
    </row>
    <row r="1020" hidden="1">
      <c r="A1020" s="1" t="s">
        <v>383</v>
      </c>
      <c r="B1020" s="3" t="s">
        <v>2018</v>
      </c>
      <c r="C1020" s="1" t="s">
        <v>1569</v>
      </c>
      <c r="D1020" s="1" t="s">
        <v>186</v>
      </c>
      <c r="E1020" s="1" t="s">
        <v>353</v>
      </c>
      <c r="F1020" s="1"/>
      <c r="G1020" s="1"/>
      <c r="H1020" s="1" t="s">
        <v>186</v>
      </c>
      <c r="I1020" s="1" t="s">
        <v>288</v>
      </c>
      <c r="J1020" s="4">
        <v>42917.0</v>
      </c>
      <c r="K1020" s="1">
        <v>500.0</v>
      </c>
      <c r="L1020" s="1">
        <v>500.0</v>
      </c>
      <c r="M1020" s="1">
        <v>134.0</v>
      </c>
    </row>
    <row r="1021" hidden="1">
      <c r="A1021" s="1" t="s">
        <v>385</v>
      </c>
      <c r="B1021" s="3" t="s">
        <v>2019</v>
      </c>
      <c r="C1021" s="1" t="s">
        <v>1569</v>
      </c>
      <c r="D1021" s="1" t="s">
        <v>330</v>
      </c>
      <c r="E1021" s="1" t="s">
        <v>353</v>
      </c>
      <c r="F1021" s="1"/>
      <c r="G1021" s="1"/>
      <c r="H1021" s="1" t="s">
        <v>330</v>
      </c>
      <c r="I1021" s="1" t="s">
        <v>288</v>
      </c>
      <c r="J1021" s="4">
        <v>42917.0</v>
      </c>
      <c r="K1021" s="1">
        <v>100.0</v>
      </c>
      <c r="L1021" s="1">
        <v>100.0</v>
      </c>
      <c r="M1021" s="1">
        <v>135.0</v>
      </c>
    </row>
    <row r="1022" hidden="1">
      <c r="A1022" s="1" t="s">
        <v>387</v>
      </c>
      <c r="B1022" s="3" t="s">
        <v>2020</v>
      </c>
      <c r="C1022" s="1" t="s">
        <v>1569</v>
      </c>
      <c r="D1022" s="1" t="s">
        <v>234</v>
      </c>
      <c r="E1022" s="1" t="s">
        <v>353</v>
      </c>
      <c r="F1022" s="1"/>
      <c r="G1022" s="1"/>
      <c r="H1022" s="1" t="s">
        <v>234</v>
      </c>
      <c r="I1022" s="1" t="s">
        <v>288</v>
      </c>
      <c r="J1022" s="4">
        <v>42917.0</v>
      </c>
      <c r="K1022" s="1">
        <v>841.0</v>
      </c>
      <c r="L1022" s="1">
        <v>841.0</v>
      </c>
      <c r="M1022" s="1">
        <v>136.0</v>
      </c>
    </row>
    <row r="1023" hidden="1">
      <c r="A1023" s="1" t="s">
        <v>389</v>
      </c>
      <c r="B1023" s="3" t="s">
        <v>2021</v>
      </c>
      <c r="C1023" s="1" t="s">
        <v>1569</v>
      </c>
      <c r="D1023" s="1" t="s">
        <v>95</v>
      </c>
      <c r="E1023" s="1" t="s">
        <v>353</v>
      </c>
      <c r="F1023" s="1"/>
      <c r="G1023" s="1"/>
      <c r="H1023" s="1" t="s">
        <v>95</v>
      </c>
      <c r="I1023" s="1" t="s">
        <v>288</v>
      </c>
      <c r="J1023" s="4">
        <v>42917.0</v>
      </c>
      <c r="K1023" s="1">
        <v>2000.0</v>
      </c>
      <c r="L1023" s="1">
        <v>2000.0</v>
      </c>
      <c r="M1023" s="1">
        <v>137.0</v>
      </c>
    </row>
    <row r="1024" hidden="1">
      <c r="A1024" s="1" t="s">
        <v>391</v>
      </c>
      <c r="B1024" s="3" t="s">
        <v>2022</v>
      </c>
      <c r="C1024" s="1" t="s">
        <v>1569</v>
      </c>
      <c r="D1024" s="1" t="s">
        <v>393</v>
      </c>
      <c r="E1024" s="1" t="s">
        <v>394</v>
      </c>
      <c r="F1024" s="1"/>
      <c r="G1024" s="1"/>
      <c r="H1024" s="1" t="s">
        <v>393</v>
      </c>
      <c r="I1024" s="1" t="s">
        <v>395</v>
      </c>
      <c r="J1024" s="4">
        <v>42948.0</v>
      </c>
      <c r="K1024" s="1">
        <v>200.0</v>
      </c>
      <c r="L1024" s="1">
        <v>200.0</v>
      </c>
      <c r="M1024" s="1">
        <v>138.0</v>
      </c>
    </row>
    <row r="1025" hidden="1">
      <c r="A1025" s="1" t="s">
        <v>396</v>
      </c>
      <c r="B1025" s="3" t="s">
        <v>2023</v>
      </c>
      <c r="C1025" s="1" t="s">
        <v>1569</v>
      </c>
      <c r="D1025" s="1" t="s">
        <v>330</v>
      </c>
      <c r="E1025" s="1" t="s">
        <v>394</v>
      </c>
      <c r="F1025" s="1"/>
      <c r="G1025" s="1"/>
      <c r="H1025" s="1" t="s">
        <v>330</v>
      </c>
      <c r="I1025" s="1" t="s">
        <v>395</v>
      </c>
      <c r="J1025" s="4">
        <v>42948.0</v>
      </c>
      <c r="K1025" s="1">
        <v>300.0</v>
      </c>
      <c r="L1025" s="1">
        <v>300.0</v>
      </c>
      <c r="M1025" s="1">
        <v>139.0</v>
      </c>
    </row>
    <row r="1026" hidden="1">
      <c r="A1026" s="1" t="s">
        <v>398</v>
      </c>
      <c r="B1026" s="3" t="s">
        <v>2024</v>
      </c>
      <c r="C1026" s="1" t="s">
        <v>1569</v>
      </c>
      <c r="D1026" s="1" t="s">
        <v>330</v>
      </c>
      <c r="E1026" s="1" t="s">
        <v>394</v>
      </c>
      <c r="F1026" s="1"/>
      <c r="G1026" s="1"/>
      <c r="H1026" s="1" t="s">
        <v>330</v>
      </c>
      <c r="I1026" s="1" t="s">
        <v>395</v>
      </c>
      <c r="J1026" s="4">
        <v>42948.0</v>
      </c>
      <c r="K1026" s="1">
        <v>200.0</v>
      </c>
      <c r="L1026" s="1">
        <v>200.0</v>
      </c>
      <c r="M1026" s="1">
        <v>140.0</v>
      </c>
    </row>
    <row r="1027" hidden="1">
      <c r="A1027" s="1" t="s">
        <v>400</v>
      </c>
      <c r="B1027" s="3" t="s">
        <v>2025</v>
      </c>
      <c r="C1027" s="1" t="s">
        <v>1569</v>
      </c>
      <c r="D1027" s="1" t="s">
        <v>330</v>
      </c>
      <c r="E1027" s="1" t="s">
        <v>394</v>
      </c>
      <c r="F1027" s="1"/>
      <c r="G1027" s="1"/>
      <c r="H1027" s="1" t="s">
        <v>330</v>
      </c>
      <c r="I1027" s="1" t="s">
        <v>395</v>
      </c>
      <c r="J1027" s="4">
        <v>42948.0</v>
      </c>
      <c r="K1027" s="1">
        <v>100.0</v>
      </c>
      <c r="L1027" s="1">
        <v>100.0</v>
      </c>
      <c r="M1027" s="1">
        <v>141.0</v>
      </c>
    </row>
    <row r="1028" hidden="1">
      <c r="A1028" s="1" t="s">
        <v>402</v>
      </c>
      <c r="B1028" s="3" t="s">
        <v>2026</v>
      </c>
      <c r="C1028" s="1" t="s">
        <v>1569</v>
      </c>
      <c r="D1028" s="1" t="s">
        <v>330</v>
      </c>
      <c r="E1028" s="1" t="s">
        <v>394</v>
      </c>
      <c r="F1028" s="1"/>
      <c r="G1028" s="1"/>
      <c r="H1028" s="1" t="s">
        <v>330</v>
      </c>
      <c r="I1028" s="1" t="s">
        <v>395</v>
      </c>
      <c r="J1028" s="4">
        <v>42948.0</v>
      </c>
      <c r="K1028" s="1">
        <v>100.0</v>
      </c>
      <c r="L1028" s="1">
        <v>100.0</v>
      </c>
      <c r="M1028" s="1">
        <v>142.0</v>
      </c>
    </row>
    <row r="1029" hidden="1">
      <c r="A1029" s="1" t="s">
        <v>404</v>
      </c>
      <c r="B1029" s="3" t="s">
        <v>2027</v>
      </c>
      <c r="C1029" s="1" t="s">
        <v>1569</v>
      </c>
      <c r="D1029" s="1" t="s">
        <v>366</v>
      </c>
      <c r="E1029" s="1" t="s">
        <v>394</v>
      </c>
      <c r="F1029" s="1"/>
      <c r="G1029" s="1"/>
      <c r="H1029" s="1" t="s">
        <v>366</v>
      </c>
      <c r="I1029" s="1" t="s">
        <v>395</v>
      </c>
      <c r="J1029" s="4">
        <v>42948.0</v>
      </c>
      <c r="K1029" s="1">
        <v>300.0</v>
      </c>
      <c r="L1029" s="1">
        <v>300.0</v>
      </c>
      <c r="M1029" s="1">
        <v>143.0</v>
      </c>
    </row>
    <row r="1030" hidden="1">
      <c r="A1030" s="1" t="s">
        <v>406</v>
      </c>
      <c r="B1030" s="3" t="s">
        <v>2028</v>
      </c>
      <c r="C1030" s="1" t="s">
        <v>1569</v>
      </c>
      <c r="D1030" s="1" t="s">
        <v>79</v>
      </c>
      <c r="E1030" s="1" t="s">
        <v>394</v>
      </c>
      <c r="F1030" s="1"/>
      <c r="G1030" s="1"/>
      <c r="H1030" s="1" t="s">
        <v>79</v>
      </c>
      <c r="I1030" s="1" t="s">
        <v>395</v>
      </c>
      <c r="J1030" s="4">
        <v>42948.0</v>
      </c>
      <c r="K1030" s="1">
        <v>200.0</v>
      </c>
      <c r="L1030" s="1">
        <v>200.0</v>
      </c>
      <c r="M1030" s="1">
        <v>144.0</v>
      </c>
    </row>
    <row r="1031" hidden="1">
      <c r="A1031" s="1" t="s">
        <v>408</v>
      </c>
      <c r="B1031" s="3" t="s">
        <v>2029</v>
      </c>
      <c r="C1031" s="1" t="s">
        <v>1569</v>
      </c>
      <c r="D1031" s="1" t="s">
        <v>79</v>
      </c>
      <c r="E1031" s="1" t="s">
        <v>394</v>
      </c>
      <c r="F1031" s="1"/>
      <c r="G1031" s="1"/>
      <c r="H1031" s="1" t="s">
        <v>79</v>
      </c>
      <c r="I1031" s="1" t="s">
        <v>395</v>
      </c>
      <c r="J1031" s="4">
        <v>42948.0</v>
      </c>
      <c r="K1031" s="1">
        <v>200.0</v>
      </c>
      <c r="L1031" s="1">
        <v>200.0</v>
      </c>
      <c r="M1031" s="1">
        <v>145.0</v>
      </c>
    </row>
    <row r="1032" hidden="1">
      <c r="A1032" s="1" t="s">
        <v>410</v>
      </c>
      <c r="B1032" s="3" t="s">
        <v>2030</v>
      </c>
      <c r="C1032" s="1" t="s">
        <v>1569</v>
      </c>
      <c r="D1032" s="1" t="s">
        <v>79</v>
      </c>
      <c r="E1032" s="1" t="s">
        <v>394</v>
      </c>
      <c r="F1032" s="1"/>
      <c r="G1032" s="1"/>
      <c r="H1032" s="1" t="s">
        <v>79</v>
      </c>
      <c r="I1032" s="1" t="s">
        <v>395</v>
      </c>
      <c r="J1032" s="4">
        <v>42948.0</v>
      </c>
      <c r="K1032" s="1">
        <v>100.0</v>
      </c>
      <c r="L1032" s="1">
        <v>100.0</v>
      </c>
      <c r="M1032" s="1">
        <v>146.0</v>
      </c>
    </row>
    <row r="1033" hidden="1">
      <c r="A1033" s="1" t="s">
        <v>412</v>
      </c>
      <c r="B1033" s="3" t="s">
        <v>2031</v>
      </c>
      <c r="C1033" s="1" t="s">
        <v>1569</v>
      </c>
      <c r="D1033" s="1" t="s">
        <v>61</v>
      </c>
      <c r="E1033" s="1" t="s">
        <v>394</v>
      </c>
      <c r="F1033" s="1"/>
      <c r="G1033" s="1"/>
      <c r="H1033" s="1" t="s">
        <v>61</v>
      </c>
      <c r="I1033" s="1" t="s">
        <v>395</v>
      </c>
      <c r="J1033" s="4">
        <v>42948.0</v>
      </c>
      <c r="K1033" s="1">
        <v>5000.0</v>
      </c>
      <c r="L1033" s="1">
        <v>5000.0</v>
      </c>
      <c r="M1033" s="1">
        <v>147.0</v>
      </c>
    </row>
    <row r="1034" hidden="1">
      <c r="A1034" s="1" t="s">
        <v>414</v>
      </c>
      <c r="B1034" s="3" t="s">
        <v>2032</v>
      </c>
      <c r="C1034" s="1" t="s">
        <v>1569</v>
      </c>
      <c r="D1034" s="1" t="s">
        <v>89</v>
      </c>
      <c r="E1034" s="1" t="s">
        <v>394</v>
      </c>
      <c r="F1034" s="1"/>
      <c r="G1034" s="1"/>
      <c r="H1034" s="1" t="s">
        <v>89</v>
      </c>
      <c r="I1034" s="1" t="s">
        <v>395</v>
      </c>
      <c r="J1034" s="4">
        <v>42948.0</v>
      </c>
      <c r="K1034" s="1">
        <v>100.0</v>
      </c>
      <c r="L1034" s="1">
        <v>100.0</v>
      </c>
      <c r="M1034" s="1">
        <v>148.0</v>
      </c>
    </row>
    <row r="1035" hidden="1">
      <c r="A1035" s="1" t="s">
        <v>416</v>
      </c>
      <c r="B1035" s="3" t="s">
        <v>2033</v>
      </c>
      <c r="C1035" s="1" t="s">
        <v>1569</v>
      </c>
      <c r="D1035" s="1" t="s">
        <v>44</v>
      </c>
      <c r="E1035" s="1" t="s">
        <v>394</v>
      </c>
      <c r="F1035" s="1"/>
      <c r="G1035" s="1"/>
      <c r="H1035" s="1" t="s">
        <v>44</v>
      </c>
      <c r="I1035" s="1" t="s">
        <v>395</v>
      </c>
      <c r="J1035" s="4">
        <v>42948.0</v>
      </c>
      <c r="K1035" s="1">
        <v>300.0</v>
      </c>
      <c r="L1035" s="1">
        <v>300.0</v>
      </c>
      <c r="M1035" s="1">
        <v>149.0</v>
      </c>
    </row>
    <row r="1036" hidden="1">
      <c r="A1036" s="1" t="s">
        <v>418</v>
      </c>
      <c r="B1036" s="3" t="s">
        <v>2034</v>
      </c>
      <c r="C1036" s="1" t="s">
        <v>1569</v>
      </c>
      <c r="D1036" s="1" t="s">
        <v>252</v>
      </c>
      <c r="E1036" s="1" t="s">
        <v>394</v>
      </c>
      <c r="F1036" s="1"/>
      <c r="G1036" s="1"/>
      <c r="H1036" s="1" t="s">
        <v>252</v>
      </c>
      <c r="I1036" s="1" t="s">
        <v>395</v>
      </c>
      <c r="J1036" s="4">
        <v>42948.0</v>
      </c>
      <c r="K1036" s="1">
        <v>100.0</v>
      </c>
      <c r="L1036" s="1">
        <v>100.0</v>
      </c>
      <c r="M1036" s="1">
        <v>150.0</v>
      </c>
    </row>
    <row r="1037" hidden="1">
      <c r="A1037" s="1" t="s">
        <v>420</v>
      </c>
      <c r="B1037" s="3" t="s">
        <v>2035</v>
      </c>
      <c r="C1037" s="1" t="s">
        <v>1569</v>
      </c>
      <c r="D1037" s="1" t="s">
        <v>422</v>
      </c>
      <c r="E1037" s="1" t="s">
        <v>394</v>
      </c>
      <c r="F1037" s="1"/>
      <c r="G1037" s="1"/>
      <c r="H1037" s="1" t="s">
        <v>423</v>
      </c>
      <c r="I1037" s="1" t="s">
        <v>395</v>
      </c>
      <c r="J1037" s="4">
        <v>42948.0</v>
      </c>
      <c r="K1037" s="1">
        <v>100.0</v>
      </c>
      <c r="L1037" s="1">
        <v>100.0</v>
      </c>
      <c r="M1037" s="1">
        <v>151.0</v>
      </c>
    </row>
    <row r="1038" hidden="1">
      <c r="A1038" s="1" t="s">
        <v>424</v>
      </c>
      <c r="B1038" s="3" t="s">
        <v>2036</v>
      </c>
      <c r="C1038" s="1" t="s">
        <v>1569</v>
      </c>
      <c r="D1038" s="1" t="s">
        <v>95</v>
      </c>
      <c r="E1038" s="1" t="s">
        <v>394</v>
      </c>
      <c r="F1038" s="1"/>
      <c r="G1038" s="1"/>
      <c r="H1038" s="1" t="s">
        <v>95</v>
      </c>
      <c r="I1038" s="1" t="s">
        <v>395</v>
      </c>
      <c r="J1038" s="4">
        <v>42948.0</v>
      </c>
      <c r="K1038" s="1">
        <v>300.0</v>
      </c>
      <c r="L1038" s="1">
        <v>300.0</v>
      </c>
      <c r="M1038" s="1">
        <v>152.0</v>
      </c>
    </row>
    <row r="1039" hidden="1">
      <c r="A1039" s="1" t="s">
        <v>429</v>
      </c>
      <c r="B1039" s="3" t="s">
        <v>2037</v>
      </c>
      <c r="C1039" s="1" t="s">
        <v>1569</v>
      </c>
      <c r="D1039" s="1" t="s">
        <v>431</v>
      </c>
      <c r="E1039" s="1" t="s">
        <v>428</v>
      </c>
      <c r="F1039" s="1"/>
      <c r="G1039" s="1"/>
      <c r="H1039" s="1" t="s">
        <v>431</v>
      </c>
      <c r="I1039" s="1" t="s">
        <v>288</v>
      </c>
      <c r="J1039" s="4">
        <v>42917.0</v>
      </c>
      <c r="K1039" s="1">
        <v>300.0</v>
      </c>
      <c r="L1039" s="1">
        <v>300.0</v>
      </c>
      <c r="M1039" s="1">
        <v>2.0</v>
      </c>
    </row>
    <row r="1040" hidden="1">
      <c r="A1040" s="1" t="s">
        <v>432</v>
      </c>
      <c r="B1040" s="3" t="s">
        <v>2038</v>
      </c>
      <c r="C1040" s="1" t="s">
        <v>1569</v>
      </c>
      <c r="D1040" s="1" t="s">
        <v>44</v>
      </c>
      <c r="E1040" s="1" t="s">
        <v>428</v>
      </c>
      <c r="F1040" s="1"/>
      <c r="G1040" s="1"/>
      <c r="H1040" s="1" t="s">
        <v>44</v>
      </c>
      <c r="I1040" s="1" t="s">
        <v>288</v>
      </c>
      <c r="J1040" s="4">
        <v>42917.0</v>
      </c>
      <c r="K1040" s="1">
        <v>100.0</v>
      </c>
      <c r="L1040" s="1">
        <v>100.0</v>
      </c>
      <c r="M1040" s="1">
        <v>3.0</v>
      </c>
    </row>
    <row r="1041" hidden="1">
      <c r="A1041" s="1" t="s">
        <v>434</v>
      </c>
      <c r="B1041" s="3" t="s">
        <v>2039</v>
      </c>
      <c r="C1041" s="1" t="s">
        <v>1569</v>
      </c>
      <c r="D1041" s="1" t="s">
        <v>436</v>
      </c>
      <c r="E1041" s="1" t="s">
        <v>428</v>
      </c>
      <c r="F1041" s="1"/>
      <c r="G1041" s="1"/>
      <c r="H1041" s="1" t="s">
        <v>436</v>
      </c>
      <c r="I1041" s="1" t="s">
        <v>288</v>
      </c>
      <c r="J1041" s="4">
        <v>42917.0</v>
      </c>
      <c r="K1041" s="1">
        <v>100.0</v>
      </c>
      <c r="L1041" s="1">
        <v>100.0</v>
      </c>
      <c r="M1041" s="1">
        <v>4.0</v>
      </c>
    </row>
    <row r="1042" hidden="1">
      <c r="A1042" s="1" t="s">
        <v>437</v>
      </c>
      <c r="B1042" s="3" t="s">
        <v>2040</v>
      </c>
      <c r="C1042" s="1" t="s">
        <v>1569</v>
      </c>
      <c r="D1042" s="1" t="s">
        <v>439</v>
      </c>
      <c r="E1042" s="1" t="s">
        <v>428</v>
      </c>
      <c r="F1042" s="1"/>
      <c r="G1042" s="1"/>
      <c r="H1042" s="1" t="s">
        <v>440</v>
      </c>
      <c r="I1042" s="1" t="s">
        <v>288</v>
      </c>
      <c r="J1042" s="4">
        <v>42917.0</v>
      </c>
      <c r="K1042" s="1">
        <v>210.0</v>
      </c>
      <c r="L1042" s="1">
        <v>210.0</v>
      </c>
      <c r="M1042" s="1">
        <v>5.0</v>
      </c>
    </row>
    <row r="1043" hidden="1">
      <c r="A1043" s="1" t="s">
        <v>441</v>
      </c>
      <c r="B1043" s="3" t="s">
        <v>2041</v>
      </c>
      <c r="C1043" s="1" t="s">
        <v>1569</v>
      </c>
      <c r="D1043" s="1" t="s">
        <v>262</v>
      </c>
      <c r="E1043" s="1" t="s">
        <v>428</v>
      </c>
      <c r="F1043" s="1"/>
      <c r="G1043" s="1"/>
      <c r="H1043" s="1" t="s">
        <v>262</v>
      </c>
      <c r="I1043" s="1" t="s">
        <v>288</v>
      </c>
      <c r="J1043" s="4">
        <v>42917.0</v>
      </c>
      <c r="K1043" s="1">
        <v>500.0</v>
      </c>
      <c r="L1043" s="1">
        <v>500.0</v>
      </c>
      <c r="M1043" s="1">
        <v>6.0</v>
      </c>
    </row>
    <row r="1044" hidden="1">
      <c r="A1044" s="1" t="s">
        <v>443</v>
      </c>
      <c r="B1044" s="3" t="s">
        <v>2042</v>
      </c>
      <c r="C1044" s="1" t="s">
        <v>1569</v>
      </c>
      <c r="D1044" s="1" t="s">
        <v>189</v>
      </c>
      <c r="E1044" s="1" t="s">
        <v>428</v>
      </c>
      <c r="F1044" s="1"/>
      <c r="G1044" s="1"/>
      <c r="H1044" s="1" t="s">
        <v>189</v>
      </c>
      <c r="I1044" s="1" t="s">
        <v>288</v>
      </c>
      <c r="J1044" s="4">
        <v>42917.0</v>
      </c>
      <c r="K1044" s="1">
        <v>150.0</v>
      </c>
      <c r="L1044" s="1">
        <v>150.0</v>
      </c>
      <c r="M1044" s="1">
        <v>7.0</v>
      </c>
    </row>
    <row r="1045" hidden="1">
      <c r="A1045" s="1" t="s">
        <v>445</v>
      </c>
      <c r="B1045" s="3" t="s">
        <v>2043</v>
      </c>
      <c r="C1045" s="1" t="s">
        <v>1569</v>
      </c>
      <c r="D1045" s="1" t="s">
        <v>168</v>
      </c>
      <c r="E1045" s="1" t="s">
        <v>428</v>
      </c>
      <c r="F1045" s="1"/>
      <c r="G1045" s="1"/>
      <c r="H1045" s="1" t="s">
        <v>168</v>
      </c>
      <c r="I1045" s="1" t="s">
        <v>288</v>
      </c>
      <c r="J1045" s="4">
        <v>42917.0</v>
      </c>
      <c r="K1045" s="1">
        <v>300.0</v>
      </c>
      <c r="L1045" s="1">
        <v>100.0</v>
      </c>
      <c r="M1045" s="1">
        <v>8.0</v>
      </c>
    </row>
    <row r="1046" hidden="1">
      <c r="A1046" s="1" t="s">
        <v>447</v>
      </c>
      <c r="B1046" s="3" t="s">
        <v>2044</v>
      </c>
      <c r="C1046" s="1" t="s">
        <v>1569</v>
      </c>
      <c r="D1046" s="1" t="s">
        <v>366</v>
      </c>
      <c r="E1046" s="1" t="s">
        <v>428</v>
      </c>
      <c r="F1046" s="1"/>
      <c r="G1046" s="1"/>
      <c r="H1046" s="1" t="s">
        <v>366</v>
      </c>
      <c r="I1046" s="1" t="s">
        <v>288</v>
      </c>
      <c r="J1046" s="4">
        <v>42917.0</v>
      </c>
      <c r="K1046" s="1">
        <v>10000.0</v>
      </c>
      <c r="L1046" s="1">
        <v>10000.0</v>
      </c>
      <c r="M1046" s="1">
        <v>9.0</v>
      </c>
    </row>
    <row r="1047" hidden="1">
      <c r="A1047" s="1" t="s">
        <v>449</v>
      </c>
      <c r="B1047" s="3" t="s">
        <v>2045</v>
      </c>
      <c r="C1047" s="1" t="s">
        <v>1569</v>
      </c>
      <c r="D1047" s="1" t="s">
        <v>451</v>
      </c>
      <c r="E1047" s="1" t="s">
        <v>428</v>
      </c>
      <c r="F1047" s="1"/>
      <c r="G1047" s="1"/>
      <c r="H1047" s="1" t="s">
        <v>451</v>
      </c>
      <c r="I1047" s="1" t="s">
        <v>288</v>
      </c>
      <c r="J1047" s="4">
        <v>42917.0</v>
      </c>
      <c r="K1047" s="1">
        <v>1500.0</v>
      </c>
      <c r="L1047" s="1">
        <v>1500.0</v>
      </c>
      <c r="M1047" s="1">
        <v>10.0</v>
      </c>
    </row>
    <row r="1048" hidden="1">
      <c r="A1048" s="1" t="s">
        <v>452</v>
      </c>
      <c r="B1048" s="3" t="s">
        <v>2046</v>
      </c>
      <c r="C1048" s="1" t="s">
        <v>1569</v>
      </c>
      <c r="D1048" s="1" t="s">
        <v>330</v>
      </c>
      <c r="E1048" s="1" t="s">
        <v>428</v>
      </c>
      <c r="F1048" s="1"/>
      <c r="G1048" s="1"/>
      <c r="H1048" s="1" t="s">
        <v>330</v>
      </c>
      <c r="I1048" s="1" t="s">
        <v>288</v>
      </c>
      <c r="J1048" s="4">
        <v>42917.0</v>
      </c>
      <c r="K1048" s="1">
        <v>100.0</v>
      </c>
      <c r="L1048" s="1">
        <v>100.0</v>
      </c>
      <c r="M1048" s="1">
        <v>11.0</v>
      </c>
    </row>
    <row r="1049" hidden="1">
      <c r="A1049" s="1" t="s">
        <v>454</v>
      </c>
      <c r="B1049" s="3" t="s">
        <v>2047</v>
      </c>
      <c r="C1049" s="1" t="s">
        <v>1569</v>
      </c>
      <c r="D1049" s="1" t="s">
        <v>456</v>
      </c>
      <c r="E1049" s="1" t="s">
        <v>428</v>
      </c>
      <c r="F1049" s="1"/>
      <c r="G1049" s="1"/>
      <c r="H1049" s="1" t="s">
        <v>456</v>
      </c>
      <c r="I1049" s="1" t="s">
        <v>288</v>
      </c>
      <c r="J1049" s="4">
        <v>42917.0</v>
      </c>
      <c r="K1049" s="1">
        <v>1512.0</v>
      </c>
      <c r="L1049" s="1">
        <v>1512.0</v>
      </c>
      <c r="M1049" s="1">
        <v>12.0</v>
      </c>
    </row>
    <row r="1050" hidden="1">
      <c r="A1050" s="1" t="s">
        <v>457</v>
      </c>
      <c r="B1050" s="3" t="s">
        <v>2048</v>
      </c>
      <c r="C1050" s="1" t="s">
        <v>1569</v>
      </c>
      <c r="D1050" s="1" t="s">
        <v>255</v>
      </c>
      <c r="E1050" s="1" t="s">
        <v>428</v>
      </c>
      <c r="F1050" s="1"/>
      <c r="G1050" s="1"/>
      <c r="H1050" s="1" t="s">
        <v>255</v>
      </c>
      <c r="I1050" s="1" t="s">
        <v>288</v>
      </c>
      <c r="J1050" s="4">
        <v>42917.0</v>
      </c>
      <c r="K1050" s="1">
        <v>500.0</v>
      </c>
      <c r="L1050" s="1">
        <v>500.0</v>
      </c>
      <c r="M1050" s="1">
        <v>13.0</v>
      </c>
    </row>
    <row r="1051" hidden="1">
      <c r="A1051" s="1" t="s">
        <v>459</v>
      </c>
      <c r="B1051" s="3" t="s">
        <v>2049</v>
      </c>
      <c r="C1051" s="1" t="s">
        <v>1569</v>
      </c>
      <c r="D1051" s="1" t="s">
        <v>252</v>
      </c>
      <c r="E1051" s="1" t="s">
        <v>428</v>
      </c>
      <c r="F1051" s="1"/>
      <c r="G1051" s="1"/>
      <c r="H1051" s="1" t="s">
        <v>252</v>
      </c>
      <c r="I1051" s="1" t="s">
        <v>288</v>
      </c>
      <c r="J1051" s="4">
        <v>42917.0</v>
      </c>
      <c r="K1051" s="1">
        <v>100.0</v>
      </c>
      <c r="L1051" s="1">
        <v>100.0</v>
      </c>
      <c r="M1051" s="1">
        <v>14.0</v>
      </c>
    </row>
    <row r="1052" hidden="1">
      <c r="A1052" s="1" t="s">
        <v>461</v>
      </c>
      <c r="B1052" s="3" t="s">
        <v>2050</v>
      </c>
      <c r="C1052" s="1" t="s">
        <v>1569</v>
      </c>
      <c r="D1052" s="1" t="s">
        <v>79</v>
      </c>
      <c r="E1052" s="1" t="s">
        <v>428</v>
      </c>
      <c r="F1052" s="1"/>
      <c r="G1052" s="1"/>
      <c r="H1052" s="1" t="s">
        <v>79</v>
      </c>
      <c r="I1052" s="1" t="s">
        <v>288</v>
      </c>
      <c r="J1052" s="4">
        <v>42917.0</v>
      </c>
      <c r="K1052" s="1">
        <v>200.0</v>
      </c>
      <c r="L1052" s="1">
        <v>200.0</v>
      </c>
      <c r="M1052" s="1">
        <v>15.0</v>
      </c>
    </row>
    <row r="1053" hidden="1">
      <c r="A1053" s="1" t="s">
        <v>463</v>
      </c>
      <c r="B1053" s="3" t="s">
        <v>2051</v>
      </c>
      <c r="C1053" s="1" t="s">
        <v>1569</v>
      </c>
      <c r="D1053" s="1" t="s">
        <v>53</v>
      </c>
      <c r="E1053" s="1" t="s">
        <v>428</v>
      </c>
      <c r="F1053" s="1"/>
      <c r="G1053" s="1"/>
      <c r="H1053" s="1" t="s">
        <v>53</v>
      </c>
      <c r="I1053" s="1" t="s">
        <v>288</v>
      </c>
      <c r="J1053" s="4">
        <v>42917.0</v>
      </c>
      <c r="K1053" s="1">
        <v>130.0</v>
      </c>
      <c r="L1053" s="1">
        <v>130.0</v>
      </c>
      <c r="M1053" s="1">
        <v>16.0</v>
      </c>
    </row>
    <row r="1054" hidden="1">
      <c r="A1054" s="1" t="s">
        <v>465</v>
      </c>
      <c r="B1054" s="3" t="s">
        <v>2052</v>
      </c>
      <c r="C1054" s="1" t="s">
        <v>1569</v>
      </c>
      <c r="D1054" s="1" t="s">
        <v>44</v>
      </c>
      <c r="E1054" s="1" t="s">
        <v>428</v>
      </c>
      <c r="F1054" s="1"/>
      <c r="G1054" s="1"/>
      <c r="H1054" s="1" t="s">
        <v>44</v>
      </c>
      <c r="I1054" s="1" t="s">
        <v>288</v>
      </c>
      <c r="J1054" s="4">
        <v>42917.0</v>
      </c>
      <c r="K1054" s="1">
        <v>500.0</v>
      </c>
      <c r="L1054" s="1">
        <v>500.0</v>
      </c>
      <c r="M1054" s="1">
        <v>17.0</v>
      </c>
    </row>
    <row r="1055" hidden="1">
      <c r="A1055" s="1" t="s">
        <v>467</v>
      </c>
      <c r="B1055" s="3" t="s">
        <v>2053</v>
      </c>
      <c r="C1055" s="1" t="s">
        <v>1569</v>
      </c>
      <c r="D1055" s="1" t="s">
        <v>17</v>
      </c>
      <c r="E1055" s="1" t="s">
        <v>428</v>
      </c>
      <c r="F1055" s="1"/>
      <c r="G1055" s="1"/>
      <c r="H1055" s="1" t="s">
        <v>17</v>
      </c>
      <c r="I1055" s="1" t="s">
        <v>288</v>
      </c>
      <c r="J1055" s="4">
        <v>42917.0</v>
      </c>
      <c r="K1055" s="1">
        <v>100.0</v>
      </c>
      <c r="L1055" s="1">
        <v>100.0</v>
      </c>
      <c r="M1055" s="1">
        <v>18.0</v>
      </c>
    </row>
    <row r="1056" hidden="1">
      <c r="A1056" s="1" t="s">
        <v>469</v>
      </c>
      <c r="B1056" s="3" t="s">
        <v>2054</v>
      </c>
      <c r="C1056" s="1" t="s">
        <v>1569</v>
      </c>
      <c r="D1056" s="1" t="s">
        <v>95</v>
      </c>
      <c r="E1056" s="1" t="s">
        <v>428</v>
      </c>
      <c r="F1056" s="1"/>
      <c r="G1056" s="1"/>
      <c r="H1056" s="1" t="s">
        <v>95</v>
      </c>
      <c r="I1056" s="1" t="s">
        <v>288</v>
      </c>
      <c r="J1056" s="4">
        <v>42917.0</v>
      </c>
      <c r="K1056" s="1">
        <v>10000.0</v>
      </c>
      <c r="L1056" s="1">
        <v>10000.0</v>
      </c>
      <c r="M1056" s="1">
        <v>19.0</v>
      </c>
    </row>
    <row r="1057" hidden="1">
      <c r="A1057" s="1" t="s">
        <v>471</v>
      </c>
      <c r="B1057" s="3" t="s">
        <v>2055</v>
      </c>
      <c r="C1057" s="1" t="s">
        <v>1569</v>
      </c>
      <c r="D1057" s="1" t="s">
        <v>227</v>
      </c>
      <c r="E1057" s="1" t="s">
        <v>428</v>
      </c>
      <c r="F1057" s="1"/>
      <c r="G1057" s="1"/>
      <c r="H1057" s="1" t="s">
        <v>227</v>
      </c>
      <c r="I1057" s="1" t="s">
        <v>288</v>
      </c>
      <c r="J1057" s="4">
        <v>42917.0</v>
      </c>
      <c r="K1057" s="1">
        <v>1000.0</v>
      </c>
      <c r="L1057" s="1">
        <v>1000.0</v>
      </c>
      <c r="M1057" s="1">
        <v>20.0</v>
      </c>
    </row>
    <row r="1058" hidden="1">
      <c r="A1058" s="1" t="s">
        <v>473</v>
      </c>
      <c r="B1058" s="3" t="s">
        <v>2056</v>
      </c>
      <c r="C1058" s="1" t="s">
        <v>1569</v>
      </c>
      <c r="D1058" s="1" t="s">
        <v>393</v>
      </c>
      <c r="E1058" s="1" t="s">
        <v>428</v>
      </c>
      <c r="F1058" s="1"/>
      <c r="G1058" s="1"/>
      <c r="H1058" s="1" t="s">
        <v>393</v>
      </c>
      <c r="I1058" s="1" t="s">
        <v>288</v>
      </c>
      <c r="J1058" s="4">
        <v>42917.0</v>
      </c>
      <c r="K1058" s="1">
        <v>111.0</v>
      </c>
      <c r="L1058" s="1">
        <v>111.0</v>
      </c>
      <c r="M1058" s="1">
        <v>21.0</v>
      </c>
    </row>
    <row r="1059" hidden="1">
      <c r="A1059" s="1" t="s">
        <v>475</v>
      </c>
      <c r="B1059" s="3" t="s">
        <v>2057</v>
      </c>
      <c r="C1059" s="1" t="s">
        <v>1569</v>
      </c>
      <c r="D1059" s="1" t="s">
        <v>71</v>
      </c>
      <c r="E1059" s="1" t="s">
        <v>428</v>
      </c>
      <c r="F1059" s="1"/>
      <c r="G1059" s="1"/>
      <c r="H1059" s="1" t="s">
        <v>71</v>
      </c>
      <c r="I1059" s="1" t="s">
        <v>288</v>
      </c>
      <c r="J1059" s="4">
        <v>42917.0</v>
      </c>
      <c r="K1059" s="1">
        <v>100.0</v>
      </c>
      <c r="L1059" s="1">
        <v>100.0</v>
      </c>
      <c r="M1059" s="1">
        <v>22.0</v>
      </c>
    </row>
    <row r="1060" hidden="1">
      <c r="A1060" s="1" t="s">
        <v>477</v>
      </c>
      <c r="B1060" s="3" t="s">
        <v>2058</v>
      </c>
      <c r="C1060" s="1" t="s">
        <v>1569</v>
      </c>
      <c r="D1060" s="1" t="s">
        <v>479</v>
      </c>
      <c r="E1060" s="1" t="s">
        <v>428</v>
      </c>
      <c r="F1060" s="1"/>
      <c r="G1060" s="1"/>
      <c r="H1060" s="1" t="s">
        <v>479</v>
      </c>
      <c r="I1060" s="1" t="s">
        <v>288</v>
      </c>
      <c r="J1060" s="4">
        <v>42917.0</v>
      </c>
      <c r="K1060" s="1">
        <v>10000.0</v>
      </c>
      <c r="L1060" s="1">
        <v>10000.0</v>
      </c>
      <c r="M1060" s="1">
        <v>23.0</v>
      </c>
    </row>
    <row r="1061" hidden="1">
      <c r="A1061" s="1" t="s">
        <v>480</v>
      </c>
      <c r="B1061" s="3" t="s">
        <v>2059</v>
      </c>
      <c r="C1061" s="1" t="s">
        <v>1569</v>
      </c>
      <c r="D1061" s="1" t="s">
        <v>76</v>
      </c>
      <c r="E1061" s="1" t="s">
        <v>428</v>
      </c>
      <c r="F1061" s="1"/>
      <c r="G1061" s="1"/>
      <c r="H1061" s="1" t="s">
        <v>76</v>
      </c>
      <c r="I1061" s="1" t="s">
        <v>288</v>
      </c>
      <c r="J1061" s="4">
        <v>42917.0</v>
      </c>
      <c r="K1061" s="1">
        <v>555.0</v>
      </c>
      <c r="L1061" s="1">
        <v>555.0</v>
      </c>
      <c r="M1061" s="1">
        <v>24.0</v>
      </c>
    </row>
    <row r="1062" hidden="1">
      <c r="A1062" s="1" t="s">
        <v>482</v>
      </c>
      <c r="B1062" s="3" t="s">
        <v>2060</v>
      </c>
      <c r="C1062" s="1" t="s">
        <v>1569</v>
      </c>
      <c r="D1062" s="1" t="s">
        <v>44</v>
      </c>
      <c r="E1062" s="1" t="s">
        <v>428</v>
      </c>
      <c r="F1062" s="1"/>
      <c r="G1062" s="1"/>
      <c r="H1062" s="1" t="s">
        <v>44</v>
      </c>
      <c r="I1062" s="1" t="s">
        <v>288</v>
      </c>
      <c r="J1062" s="4">
        <v>42917.0</v>
      </c>
      <c r="K1062" s="1">
        <v>1000.0</v>
      </c>
      <c r="L1062" s="1">
        <v>1000.0</v>
      </c>
      <c r="M1062" s="1">
        <v>25.0</v>
      </c>
    </row>
    <row r="1063" hidden="1">
      <c r="A1063" s="1" t="s">
        <v>484</v>
      </c>
      <c r="B1063" s="3" t="s">
        <v>2061</v>
      </c>
      <c r="C1063" s="1" t="s">
        <v>1569</v>
      </c>
      <c r="D1063" s="1" t="s">
        <v>330</v>
      </c>
      <c r="E1063" s="1" t="s">
        <v>486</v>
      </c>
      <c r="F1063" s="1"/>
      <c r="G1063" s="1"/>
      <c r="H1063" s="1" t="s">
        <v>330</v>
      </c>
      <c r="I1063" s="1" t="s">
        <v>395</v>
      </c>
      <c r="J1063" s="4">
        <v>42948.0</v>
      </c>
      <c r="K1063" s="1">
        <v>200.0</v>
      </c>
      <c r="L1063" s="1">
        <v>200.0</v>
      </c>
      <c r="M1063" s="1">
        <v>26.0</v>
      </c>
    </row>
    <row r="1064" hidden="1">
      <c r="A1064" s="1" t="s">
        <v>487</v>
      </c>
      <c r="B1064" s="3" t="s">
        <v>2062</v>
      </c>
      <c r="C1064" s="1" t="s">
        <v>1569</v>
      </c>
      <c r="D1064" s="1" t="s">
        <v>489</v>
      </c>
      <c r="E1064" s="1" t="s">
        <v>486</v>
      </c>
      <c r="F1064" s="1"/>
      <c r="G1064" s="1"/>
      <c r="H1064" s="1" t="s">
        <v>489</v>
      </c>
      <c r="I1064" s="1" t="s">
        <v>395</v>
      </c>
      <c r="J1064" s="4">
        <v>42948.0</v>
      </c>
      <c r="K1064" s="1">
        <v>777.0</v>
      </c>
      <c r="L1064" s="1">
        <v>777.0</v>
      </c>
      <c r="M1064" s="1">
        <v>27.0</v>
      </c>
    </row>
    <row r="1065" hidden="1">
      <c r="A1065" s="1" t="s">
        <v>490</v>
      </c>
      <c r="B1065" s="3" t="s">
        <v>2063</v>
      </c>
      <c r="C1065" s="1" t="s">
        <v>1569</v>
      </c>
      <c r="D1065" s="1" t="s">
        <v>79</v>
      </c>
      <c r="E1065" s="1" t="s">
        <v>486</v>
      </c>
      <c r="F1065" s="1"/>
      <c r="G1065" s="1"/>
      <c r="H1065" s="1" t="s">
        <v>79</v>
      </c>
      <c r="I1065" s="1" t="s">
        <v>395</v>
      </c>
      <c r="J1065" s="4">
        <v>42948.0</v>
      </c>
      <c r="K1065" s="1">
        <v>200.0</v>
      </c>
      <c r="L1065" s="1">
        <v>200.0</v>
      </c>
      <c r="M1065" s="1">
        <v>28.0</v>
      </c>
    </row>
    <row r="1066" hidden="1">
      <c r="A1066" s="1" t="s">
        <v>492</v>
      </c>
      <c r="B1066" s="3" t="s">
        <v>2064</v>
      </c>
      <c r="C1066" s="1" t="s">
        <v>1569</v>
      </c>
      <c r="D1066" s="1" t="s">
        <v>494</v>
      </c>
      <c r="E1066" s="1" t="s">
        <v>486</v>
      </c>
      <c r="F1066" s="1"/>
      <c r="G1066" s="1"/>
      <c r="H1066" s="1" t="s">
        <v>494</v>
      </c>
      <c r="I1066" s="1" t="s">
        <v>395</v>
      </c>
      <c r="J1066" s="4">
        <v>42948.0</v>
      </c>
      <c r="K1066" s="1">
        <v>700.0</v>
      </c>
      <c r="L1066" s="1">
        <v>700.0</v>
      </c>
      <c r="M1066" s="1">
        <v>29.0</v>
      </c>
    </row>
    <row r="1067" hidden="1">
      <c r="A1067" s="1" t="s">
        <v>495</v>
      </c>
      <c r="B1067" s="3" t="s">
        <v>2065</v>
      </c>
      <c r="C1067" s="1" t="s">
        <v>1569</v>
      </c>
      <c r="D1067" s="1" t="s">
        <v>494</v>
      </c>
      <c r="E1067" s="1" t="s">
        <v>486</v>
      </c>
      <c r="F1067" s="1"/>
      <c r="G1067" s="1"/>
      <c r="H1067" s="1" t="s">
        <v>494</v>
      </c>
      <c r="I1067" s="1" t="s">
        <v>395</v>
      </c>
      <c r="J1067" s="4">
        <v>42948.0</v>
      </c>
      <c r="K1067" s="1">
        <v>300.0</v>
      </c>
      <c r="L1067" s="1">
        <v>300.0</v>
      </c>
      <c r="M1067" s="1">
        <v>30.0</v>
      </c>
    </row>
    <row r="1068" hidden="1">
      <c r="A1068" s="1" t="s">
        <v>497</v>
      </c>
      <c r="B1068" s="3" t="s">
        <v>2066</v>
      </c>
      <c r="C1068" s="1" t="s">
        <v>1569</v>
      </c>
      <c r="D1068" s="1" t="s">
        <v>439</v>
      </c>
      <c r="E1068" s="1" t="s">
        <v>486</v>
      </c>
      <c r="F1068" s="1"/>
      <c r="G1068" s="1"/>
      <c r="H1068" s="1" t="s">
        <v>440</v>
      </c>
      <c r="I1068" s="1" t="s">
        <v>395</v>
      </c>
      <c r="J1068" s="4">
        <v>42948.0</v>
      </c>
      <c r="K1068" s="1">
        <v>720.0</v>
      </c>
      <c r="L1068" s="1">
        <v>720.0</v>
      </c>
      <c r="M1068" s="1">
        <v>31.0</v>
      </c>
    </row>
    <row r="1069" hidden="1">
      <c r="A1069" s="1" t="s">
        <v>499</v>
      </c>
      <c r="B1069" s="3" t="s">
        <v>2067</v>
      </c>
      <c r="C1069" s="1" t="s">
        <v>1569</v>
      </c>
      <c r="D1069" s="1" t="s">
        <v>439</v>
      </c>
      <c r="E1069" s="1" t="s">
        <v>486</v>
      </c>
      <c r="F1069" s="1"/>
      <c r="G1069" s="1"/>
      <c r="H1069" s="1" t="s">
        <v>440</v>
      </c>
      <c r="I1069" s="1" t="s">
        <v>395</v>
      </c>
      <c r="J1069" s="4">
        <v>42948.0</v>
      </c>
      <c r="K1069" s="1">
        <v>899.0</v>
      </c>
      <c r="L1069" s="1">
        <v>899.0</v>
      </c>
      <c r="M1069" s="1">
        <v>32.0</v>
      </c>
    </row>
    <row r="1070" hidden="1">
      <c r="A1070" s="1" t="s">
        <v>501</v>
      </c>
      <c r="B1070" s="3" t="s">
        <v>2068</v>
      </c>
      <c r="C1070" s="1" t="s">
        <v>1569</v>
      </c>
      <c r="D1070" s="1" t="s">
        <v>393</v>
      </c>
      <c r="E1070" s="1" t="s">
        <v>486</v>
      </c>
      <c r="F1070" s="1"/>
      <c r="G1070" s="1"/>
      <c r="H1070" s="1" t="s">
        <v>393</v>
      </c>
      <c r="I1070" s="1" t="s">
        <v>395</v>
      </c>
      <c r="J1070" s="4">
        <v>42948.0</v>
      </c>
      <c r="K1070" s="1">
        <v>111.0</v>
      </c>
      <c r="L1070" s="1">
        <v>111.0</v>
      </c>
      <c r="M1070" s="1">
        <v>33.0</v>
      </c>
    </row>
    <row r="1071" hidden="1">
      <c r="A1071" s="1" t="s">
        <v>503</v>
      </c>
      <c r="B1071" s="3" t="s">
        <v>2069</v>
      </c>
      <c r="C1071" s="1" t="s">
        <v>1569</v>
      </c>
      <c r="D1071" s="1" t="s">
        <v>17</v>
      </c>
      <c r="E1071" s="1" t="s">
        <v>486</v>
      </c>
      <c r="F1071" s="1"/>
      <c r="G1071" s="1"/>
      <c r="H1071" s="1" t="s">
        <v>17</v>
      </c>
      <c r="I1071" s="1" t="s">
        <v>395</v>
      </c>
      <c r="J1071" s="4">
        <v>42948.0</v>
      </c>
      <c r="K1071" s="1">
        <v>100.0</v>
      </c>
      <c r="L1071" s="1">
        <v>100.0</v>
      </c>
      <c r="M1071" s="1">
        <v>34.0</v>
      </c>
    </row>
    <row r="1072" hidden="1">
      <c r="A1072" s="1" t="s">
        <v>505</v>
      </c>
      <c r="B1072" s="3" t="s">
        <v>2070</v>
      </c>
      <c r="C1072" s="1" t="s">
        <v>1569</v>
      </c>
      <c r="D1072" s="1" t="s">
        <v>44</v>
      </c>
      <c r="E1072" s="1" t="s">
        <v>486</v>
      </c>
      <c r="F1072" s="1"/>
      <c r="G1072" s="1"/>
      <c r="H1072" s="1" t="s">
        <v>44</v>
      </c>
      <c r="I1072" s="1" t="s">
        <v>395</v>
      </c>
      <c r="J1072" s="4">
        <v>42948.0</v>
      </c>
      <c r="K1072" s="1">
        <v>2400.0</v>
      </c>
      <c r="L1072" s="1">
        <v>2400.0</v>
      </c>
      <c r="M1072" s="1">
        <v>35.0</v>
      </c>
    </row>
    <row r="1073" hidden="1">
      <c r="A1073" s="1" t="s">
        <v>507</v>
      </c>
      <c r="B1073" s="3" t="s">
        <v>2071</v>
      </c>
      <c r="C1073" s="1" t="s">
        <v>1569</v>
      </c>
      <c r="D1073" s="1" t="s">
        <v>17</v>
      </c>
      <c r="E1073" s="1" t="s">
        <v>486</v>
      </c>
      <c r="F1073" s="1"/>
      <c r="G1073" s="1"/>
      <c r="H1073" s="1" t="s">
        <v>17</v>
      </c>
      <c r="I1073" s="1" t="s">
        <v>395</v>
      </c>
      <c r="J1073" s="4">
        <v>42948.0</v>
      </c>
      <c r="K1073" s="1">
        <v>100.0</v>
      </c>
      <c r="L1073" s="1">
        <v>100.0</v>
      </c>
      <c r="M1073" s="1">
        <v>36.0</v>
      </c>
    </row>
    <row r="1074" hidden="1">
      <c r="A1074" s="1" t="s">
        <v>513</v>
      </c>
      <c r="B1074" s="3" t="s">
        <v>2072</v>
      </c>
      <c r="C1074" s="1" t="s">
        <v>1569</v>
      </c>
      <c r="D1074" s="1" t="s">
        <v>71</v>
      </c>
      <c r="E1074" s="1" t="s">
        <v>486</v>
      </c>
      <c r="F1074" s="1"/>
      <c r="G1074" s="1"/>
      <c r="H1074" s="1" t="s">
        <v>71</v>
      </c>
      <c r="I1074" s="1" t="s">
        <v>395</v>
      </c>
      <c r="J1074" s="4">
        <v>42948.0</v>
      </c>
      <c r="K1074" s="1">
        <v>200.0</v>
      </c>
      <c r="L1074" s="1">
        <v>200.0</v>
      </c>
      <c r="M1074" s="1">
        <v>39.0</v>
      </c>
    </row>
    <row r="1075" hidden="1">
      <c r="A1075" s="1" t="s">
        <v>509</v>
      </c>
      <c r="B1075" s="3" t="s">
        <v>2073</v>
      </c>
      <c r="C1075" s="1" t="s">
        <v>1569</v>
      </c>
      <c r="D1075" s="1" t="s">
        <v>366</v>
      </c>
      <c r="E1075" s="1" t="s">
        <v>486</v>
      </c>
      <c r="F1075" s="1"/>
      <c r="G1075" s="1"/>
      <c r="H1075" s="1" t="s">
        <v>366</v>
      </c>
      <c r="I1075" s="1" t="s">
        <v>395</v>
      </c>
      <c r="J1075" s="4">
        <v>42948.0</v>
      </c>
      <c r="K1075" s="1">
        <v>200.0</v>
      </c>
      <c r="L1075" s="1">
        <v>200.0</v>
      </c>
      <c r="M1075" s="1">
        <v>37.0</v>
      </c>
    </row>
    <row r="1076" hidden="1">
      <c r="A1076" s="1" t="s">
        <v>511</v>
      </c>
      <c r="B1076" s="3" t="s">
        <v>2074</v>
      </c>
      <c r="C1076" s="1" t="s">
        <v>1569</v>
      </c>
      <c r="D1076" s="1" t="s">
        <v>330</v>
      </c>
      <c r="E1076" s="1" t="s">
        <v>486</v>
      </c>
      <c r="F1076" s="1"/>
      <c r="G1076" s="1"/>
      <c r="H1076" s="1" t="s">
        <v>330</v>
      </c>
      <c r="I1076" s="1" t="s">
        <v>395</v>
      </c>
      <c r="J1076" s="4">
        <v>42948.0</v>
      </c>
      <c r="K1076" s="1">
        <v>100.0</v>
      </c>
      <c r="L1076" s="1">
        <v>100.0</v>
      </c>
      <c r="M1076" s="1">
        <v>38.0</v>
      </c>
    </row>
    <row r="1077" hidden="1">
      <c r="A1077" s="1" t="s">
        <v>515</v>
      </c>
      <c r="B1077" s="3" t="s">
        <v>2075</v>
      </c>
      <c r="C1077" s="1" t="s">
        <v>1569</v>
      </c>
      <c r="D1077" s="1" t="s">
        <v>451</v>
      </c>
      <c r="E1077" s="1" t="s">
        <v>486</v>
      </c>
      <c r="F1077" s="1"/>
      <c r="G1077" s="1"/>
      <c r="H1077" s="1" t="s">
        <v>451</v>
      </c>
      <c r="I1077" s="1" t="s">
        <v>395</v>
      </c>
      <c r="J1077" s="4">
        <v>42948.0</v>
      </c>
      <c r="K1077" s="1">
        <v>1500.0</v>
      </c>
      <c r="L1077" s="1">
        <v>1500.0</v>
      </c>
      <c r="M1077" s="1">
        <v>40.0</v>
      </c>
    </row>
    <row r="1078" hidden="1">
      <c r="A1078" s="1" t="s">
        <v>517</v>
      </c>
      <c r="B1078" s="3" t="s">
        <v>2076</v>
      </c>
      <c r="C1078" s="1" t="s">
        <v>1569</v>
      </c>
      <c r="D1078" s="1" t="s">
        <v>519</v>
      </c>
      <c r="E1078" s="1" t="s">
        <v>486</v>
      </c>
      <c r="F1078" s="1"/>
      <c r="G1078" s="1"/>
      <c r="H1078" s="1" t="s">
        <v>519</v>
      </c>
      <c r="I1078" s="1" t="s">
        <v>395</v>
      </c>
      <c r="J1078" s="4">
        <v>42948.0</v>
      </c>
      <c r="K1078" s="1">
        <v>500.0</v>
      </c>
      <c r="L1078" s="1">
        <v>500.0</v>
      </c>
      <c r="M1078" s="1">
        <v>41.0</v>
      </c>
    </row>
    <row r="1079" hidden="1">
      <c r="A1079" s="1" t="s">
        <v>520</v>
      </c>
      <c r="B1079" s="3" t="s">
        <v>2077</v>
      </c>
      <c r="C1079" s="1" t="s">
        <v>1569</v>
      </c>
      <c r="D1079" s="1" t="s">
        <v>95</v>
      </c>
      <c r="E1079" s="1" t="s">
        <v>486</v>
      </c>
      <c r="F1079" s="1"/>
      <c r="G1079" s="1"/>
      <c r="H1079" s="1" t="s">
        <v>95</v>
      </c>
      <c r="I1079" s="1" t="s">
        <v>395</v>
      </c>
      <c r="J1079" s="4">
        <v>42948.0</v>
      </c>
      <c r="K1079" s="1">
        <v>10000.0</v>
      </c>
      <c r="L1079" s="1">
        <v>10000.0</v>
      </c>
      <c r="M1079" s="1">
        <v>42.0</v>
      </c>
    </row>
    <row r="1080" hidden="1">
      <c r="A1080" s="1" t="s">
        <v>522</v>
      </c>
      <c r="B1080" s="3" t="s">
        <v>2078</v>
      </c>
      <c r="C1080" s="1" t="s">
        <v>1569</v>
      </c>
      <c r="D1080" s="1" t="s">
        <v>76</v>
      </c>
      <c r="E1080" s="1" t="s">
        <v>486</v>
      </c>
      <c r="F1080" s="1"/>
      <c r="G1080" s="1"/>
      <c r="H1080" s="1" t="s">
        <v>76</v>
      </c>
      <c r="I1080" s="1" t="s">
        <v>395</v>
      </c>
      <c r="J1080" s="4">
        <v>42948.0</v>
      </c>
      <c r="K1080" s="1">
        <v>555.0</v>
      </c>
      <c r="L1080" s="1">
        <v>555.0</v>
      </c>
      <c r="M1080" s="1">
        <v>43.0</v>
      </c>
    </row>
    <row r="1081" hidden="1">
      <c r="A1081" s="1" t="s">
        <v>524</v>
      </c>
      <c r="B1081" s="3" t="s">
        <v>2079</v>
      </c>
      <c r="C1081" s="1" t="s">
        <v>1569</v>
      </c>
      <c r="D1081" s="1" t="s">
        <v>76</v>
      </c>
      <c r="E1081" s="1" t="s">
        <v>486</v>
      </c>
      <c r="F1081" s="1"/>
      <c r="G1081" s="1"/>
      <c r="H1081" s="1" t="s">
        <v>76</v>
      </c>
      <c r="I1081" s="1" t="s">
        <v>395</v>
      </c>
      <c r="J1081" s="4">
        <v>42948.0</v>
      </c>
      <c r="K1081" s="1">
        <v>555.0</v>
      </c>
      <c r="L1081" s="1">
        <v>555.0</v>
      </c>
      <c r="M1081" s="1">
        <v>44.0</v>
      </c>
    </row>
    <row r="1082" hidden="1">
      <c r="A1082" s="1" t="s">
        <v>526</v>
      </c>
      <c r="B1082" s="3" t="s">
        <v>2080</v>
      </c>
      <c r="C1082" s="1" t="s">
        <v>1569</v>
      </c>
      <c r="D1082" s="1" t="s">
        <v>528</v>
      </c>
      <c r="E1082" s="1" t="s">
        <v>486</v>
      </c>
      <c r="F1082" s="1"/>
      <c r="G1082" s="1"/>
      <c r="H1082" s="1" t="s">
        <v>528</v>
      </c>
      <c r="I1082" s="1" t="s">
        <v>395</v>
      </c>
      <c r="J1082" s="4">
        <v>42948.0</v>
      </c>
      <c r="K1082" s="1">
        <v>10000.0</v>
      </c>
      <c r="L1082" s="1">
        <v>10000.0</v>
      </c>
      <c r="M1082" s="1">
        <v>45.0</v>
      </c>
    </row>
    <row r="1083" hidden="1">
      <c r="A1083" s="1" t="s">
        <v>529</v>
      </c>
      <c r="B1083" s="3" t="s">
        <v>2081</v>
      </c>
      <c r="C1083" s="1" t="s">
        <v>1569</v>
      </c>
      <c r="D1083" s="1" t="s">
        <v>44</v>
      </c>
      <c r="E1083" s="1" t="s">
        <v>486</v>
      </c>
      <c r="F1083" s="1"/>
      <c r="G1083" s="1"/>
      <c r="H1083" s="1" t="s">
        <v>44</v>
      </c>
      <c r="I1083" s="1" t="s">
        <v>395</v>
      </c>
      <c r="J1083" s="4">
        <v>42948.0</v>
      </c>
      <c r="K1083" s="1">
        <v>1818.0</v>
      </c>
      <c r="L1083" s="1">
        <v>1818.0</v>
      </c>
      <c r="M1083" s="1">
        <v>46.0</v>
      </c>
    </row>
    <row r="1084" hidden="1">
      <c r="A1084" s="1" t="s">
        <v>531</v>
      </c>
      <c r="B1084" s="3" t="s">
        <v>2082</v>
      </c>
      <c r="C1084" s="1" t="s">
        <v>1569</v>
      </c>
      <c r="D1084" s="1" t="s">
        <v>44</v>
      </c>
      <c r="E1084" s="1" t="s">
        <v>486</v>
      </c>
      <c r="F1084" s="1"/>
      <c r="G1084" s="1"/>
      <c r="H1084" s="1" t="s">
        <v>44</v>
      </c>
      <c r="I1084" s="1" t="s">
        <v>395</v>
      </c>
      <c r="J1084" s="4">
        <v>42948.0</v>
      </c>
      <c r="K1084" s="1">
        <v>100.0</v>
      </c>
      <c r="L1084" s="1">
        <v>100.0</v>
      </c>
      <c r="M1084" s="1">
        <v>47.0</v>
      </c>
    </row>
    <row r="1085" hidden="1">
      <c r="A1085" s="1" t="s">
        <v>533</v>
      </c>
      <c r="B1085" s="3" t="s">
        <v>2083</v>
      </c>
      <c r="C1085" s="1" t="s">
        <v>1569</v>
      </c>
      <c r="D1085" s="1" t="s">
        <v>79</v>
      </c>
      <c r="E1085" s="1" t="s">
        <v>486</v>
      </c>
      <c r="F1085" s="1"/>
      <c r="G1085" s="1"/>
      <c r="H1085" s="1" t="s">
        <v>79</v>
      </c>
      <c r="I1085" s="1" t="s">
        <v>395</v>
      </c>
      <c r="J1085" s="4">
        <v>42948.0</v>
      </c>
      <c r="K1085" s="1">
        <v>200.0</v>
      </c>
      <c r="L1085" s="1">
        <v>200.0</v>
      </c>
      <c r="M1085" s="1">
        <v>48.0</v>
      </c>
    </row>
    <row r="1086" hidden="1">
      <c r="A1086" s="1" t="s">
        <v>535</v>
      </c>
      <c r="B1086" s="3" t="s">
        <v>2084</v>
      </c>
      <c r="C1086" s="1" t="s">
        <v>1569</v>
      </c>
      <c r="D1086" s="1" t="s">
        <v>393</v>
      </c>
      <c r="E1086" s="1" t="s">
        <v>486</v>
      </c>
      <c r="F1086" s="1"/>
      <c r="G1086" s="1"/>
      <c r="H1086" s="1" t="s">
        <v>393</v>
      </c>
      <c r="I1086" s="1" t="s">
        <v>395</v>
      </c>
      <c r="J1086" s="4">
        <v>42948.0</v>
      </c>
      <c r="K1086" s="1">
        <v>200.0</v>
      </c>
      <c r="L1086" s="1">
        <v>200.0</v>
      </c>
      <c r="M1086" s="1">
        <v>49.0</v>
      </c>
    </row>
    <row r="1087" hidden="1">
      <c r="A1087" s="1" t="s">
        <v>537</v>
      </c>
      <c r="B1087" s="3" t="s">
        <v>2085</v>
      </c>
      <c r="C1087" s="1" t="s">
        <v>1569</v>
      </c>
      <c r="D1087" s="1" t="s">
        <v>479</v>
      </c>
      <c r="E1087" s="1" t="s">
        <v>486</v>
      </c>
      <c r="F1087" s="1"/>
      <c r="G1087" s="1"/>
      <c r="H1087" s="1" t="s">
        <v>479</v>
      </c>
      <c r="I1087" s="1" t="s">
        <v>395</v>
      </c>
      <c r="J1087" s="4">
        <v>42948.0</v>
      </c>
      <c r="K1087" s="1">
        <v>150.0</v>
      </c>
      <c r="L1087" s="1">
        <v>150.0</v>
      </c>
      <c r="M1087" s="1">
        <v>50.0</v>
      </c>
    </row>
    <row r="1088" hidden="1">
      <c r="A1088" s="1" t="s">
        <v>539</v>
      </c>
      <c r="B1088" s="3" t="s">
        <v>2086</v>
      </c>
      <c r="C1088" s="1" t="s">
        <v>1569</v>
      </c>
      <c r="D1088" s="1" t="s">
        <v>168</v>
      </c>
      <c r="E1088" s="1" t="s">
        <v>486</v>
      </c>
      <c r="F1088" s="1"/>
      <c r="G1088" s="1"/>
      <c r="H1088" s="1" t="s">
        <v>168</v>
      </c>
      <c r="I1088" s="1" t="s">
        <v>395</v>
      </c>
      <c r="J1088" s="4">
        <v>42948.0</v>
      </c>
      <c r="K1088" s="1">
        <v>300.0</v>
      </c>
      <c r="L1088" s="1">
        <v>100.0</v>
      </c>
      <c r="M1088" s="1">
        <v>51.0</v>
      </c>
    </row>
    <row r="1089" hidden="1">
      <c r="A1089" s="1" t="s">
        <v>541</v>
      </c>
      <c r="B1089" s="3" t="s">
        <v>2087</v>
      </c>
      <c r="C1089" s="1" t="s">
        <v>1569</v>
      </c>
      <c r="D1089" s="1" t="s">
        <v>543</v>
      </c>
      <c r="E1089" s="1" t="s">
        <v>544</v>
      </c>
      <c r="F1089" s="1"/>
      <c r="G1089" s="1"/>
      <c r="H1089" s="1" t="s">
        <v>543</v>
      </c>
      <c r="I1089" s="1" t="s">
        <v>545</v>
      </c>
      <c r="J1089" s="4">
        <v>42979.0</v>
      </c>
      <c r="K1089" s="1">
        <v>1000.0</v>
      </c>
      <c r="L1089" s="1">
        <v>1000.0</v>
      </c>
      <c r="M1089" s="1">
        <v>52.0</v>
      </c>
    </row>
    <row r="1090" hidden="1">
      <c r="A1090" s="1" t="s">
        <v>546</v>
      </c>
      <c r="B1090" s="3" t="s">
        <v>2088</v>
      </c>
      <c r="C1090" s="1" t="s">
        <v>1569</v>
      </c>
      <c r="D1090" s="1" t="s">
        <v>146</v>
      </c>
      <c r="E1090" s="1" t="s">
        <v>544</v>
      </c>
      <c r="F1090" s="1"/>
      <c r="G1090" s="1"/>
      <c r="H1090" s="1" t="s">
        <v>146</v>
      </c>
      <c r="I1090" s="1" t="s">
        <v>545</v>
      </c>
      <c r="J1090" s="4">
        <v>42979.0</v>
      </c>
      <c r="K1090" s="1">
        <v>300.0</v>
      </c>
      <c r="L1090" s="1">
        <v>300.0</v>
      </c>
      <c r="M1090" s="1">
        <v>53.0</v>
      </c>
    </row>
    <row r="1091" hidden="1">
      <c r="A1091" s="1" t="s">
        <v>548</v>
      </c>
      <c r="B1091" s="3" t="s">
        <v>2089</v>
      </c>
      <c r="C1091" s="1" t="s">
        <v>1569</v>
      </c>
      <c r="D1091" s="1" t="s">
        <v>494</v>
      </c>
      <c r="E1091" s="1" t="s">
        <v>544</v>
      </c>
      <c r="F1091" s="1"/>
      <c r="G1091" s="1"/>
      <c r="H1091" s="1" t="s">
        <v>494</v>
      </c>
      <c r="I1091" s="1" t="s">
        <v>545</v>
      </c>
      <c r="J1091" s="4">
        <v>42979.0</v>
      </c>
      <c r="K1091" s="1">
        <v>300.0</v>
      </c>
      <c r="L1091" s="1">
        <v>300.0</v>
      </c>
      <c r="M1091" s="1">
        <v>54.0</v>
      </c>
    </row>
    <row r="1092" hidden="1">
      <c r="A1092" s="1" t="s">
        <v>550</v>
      </c>
      <c r="B1092" s="3" t="s">
        <v>2090</v>
      </c>
      <c r="C1092" s="1" t="s">
        <v>1569</v>
      </c>
      <c r="D1092" s="1" t="s">
        <v>330</v>
      </c>
      <c r="E1092" s="1" t="s">
        <v>544</v>
      </c>
      <c r="F1092" s="1"/>
      <c r="G1092" s="1"/>
      <c r="H1092" s="1" t="s">
        <v>330</v>
      </c>
      <c r="I1092" s="1" t="s">
        <v>545</v>
      </c>
      <c r="J1092" s="4">
        <v>42979.0</v>
      </c>
      <c r="K1092" s="1">
        <v>100.0</v>
      </c>
      <c r="L1092" s="1">
        <v>100.0</v>
      </c>
      <c r="M1092" s="1">
        <v>55.0</v>
      </c>
    </row>
    <row r="1093" hidden="1">
      <c r="A1093" s="1" t="s">
        <v>552</v>
      </c>
      <c r="B1093" s="3" t="s">
        <v>2091</v>
      </c>
      <c r="C1093" s="1" t="s">
        <v>1569</v>
      </c>
      <c r="D1093" s="1" t="s">
        <v>17</v>
      </c>
      <c r="E1093" s="1" t="s">
        <v>544</v>
      </c>
      <c r="F1093" s="1"/>
      <c r="G1093" s="1"/>
      <c r="H1093" s="1" t="s">
        <v>17</v>
      </c>
      <c r="I1093" s="1" t="s">
        <v>545</v>
      </c>
      <c r="J1093" s="4">
        <v>42979.0</v>
      </c>
      <c r="K1093" s="1">
        <v>100.0</v>
      </c>
      <c r="L1093" s="1">
        <v>100.0</v>
      </c>
      <c r="M1093" s="1">
        <v>56.0</v>
      </c>
    </row>
    <row r="1094" hidden="1">
      <c r="A1094" s="1" t="s">
        <v>554</v>
      </c>
      <c r="B1094" s="3" t="s">
        <v>2092</v>
      </c>
      <c r="C1094" s="1" t="s">
        <v>1569</v>
      </c>
      <c r="D1094" s="1" t="s">
        <v>44</v>
      </c>
      <c r="E1094" s="1" t="s">
        <v>544</v>
      </c>
      <c r="F1094" s="1"/>
      <c r="G1094" s="1"/>
      <c r="H1094" s="1" t="s">
        <v>44</v>
      </c>
      <c r="I1094" s="1" t="s">
        <v>545</v>
      </c>
      <c r="J1094" s="4">
        <v>42979.0</v>
      </c>
      <c r="K1094" s="1">
        <v>300.0</v>
      </c>
      <c r="L1094" s="1">
        <v>300.0</v>
      </c>
      <c r="M1094" s="1">
        <v>57.0</v>
      </c>
    </row>
    <row r="1095" hidden="1">
      <c r="A1095" s="1" t="s">
        <v>556</v>
      </c>
      <c r="B1095" s="3" t="s">
        <v>2093</v>
      </c>
      <c r="C1095" s="1" t="s">
        <v>1569</v>
      </c>
      <c r="D1095" s="1" t="s">
        <v>519</v>
      </c>
      <c r="E1095" s="1" t="s">
        <v>544</v>
      </c>
      <c r="F1095" s="1"/>
      <c r="G1095" s="1"/>
      <c r="H1095" s="1" t="s">
        <v>519</v>
      </c>
      <c r="I1095" s="1" t="s">
        <v>545</v>
      </c>
      <c r="J1095" s="4">
        <v>42979.0</v>
      </c>
      <c r="K1095" s="1">
        <v>200.0</v>
      </c>
      <c r="L1095" s="1">
        <v>200.0</v>
      </c>
      <c r="M1095" s="1">
        <v>58.0</v>
      </c>
    </row>
    <row r="1096" hidden="1">
      <c r="A1096" s="1" t="s">
        <v>558</v>
      </c>
      <c r="B1096" s="3" t="s">
        <v>2094</v>
      </c>
      <c r="C1096" s="1" t="s">
        <v>1569</v>
      </c>
      <c r="D1096" s="1" t="s">
        <v>95</v>
      </c>
      <c r="E1096" s="1" t="s">
        <v>544</v>
      </c>
      <c r="F1096" s="1"/>
      <c r="G1096" s="1"/>
      <c r="H1096" s="1" t="s">
        <v>95</v>
      </c>
      <c r="I1096" s="1" t="s">
        <v>545</v>
      </c>
      <c r="J1096" s="4">
        <v>42979.0</v>
      </c>
      <c r="K1096" s="1">
        <v>300.0</v>
      </c>
      <c r="L1096" s="1">
        <v>300.0</v>
      </c>
      <c r="M1096" s="1">
        <v>59.0</v>
      </c>
    </row>
    <row r="1097" hidden="1">
      <c r="A1097" s="1" t="s">
        <v>560</v>
      </c>
      <c r="B1097" s="3" t="s">
        <v>2095</v>
      </c>
      <c r="C1097" s="1" t="s">
        <v>1569</v>
      </c>
      <c r="D1097" s="1" t="s">
        <v>61</v>
      </c>
      <c r="E1097" s="1" t="s">
        <v>544</v>
      </c>
      <c r="F1097" s="1"/>
      <c r="G1097" s="1"/>
      <c r="H1097" s="1" t="s">
        <v>61</v>
      </c>
      <c r="I1097" s="1" t="s">
        <v>545</v>
      </c>
      <c r="J1097" s="4">
        <v>42979.0</v>
      </c>
      <c r="K1097" s="1">
        <v>7777.0</v>
      </c>
      <c r="L1097" s="1">
        <v>7777.0</v>
      </c>
      <c r="M1097" s="1">
        <v>60.0</v>
      </c>
    </row>
    <row r="1098" hidden="1">
      <c r="A1098" s="1" t="s">
        <v>562</v>
      </c>
      <c r="B1098" s="3" t="s">
        <v>2096</v>
      </c>
      <c r="C1098" s="1" t="s">
        <v>1569</v>
      </c>
      <c r="D1098" s="1" t="s">
        <v>564</v>
      </c>
      <c r="E1098" s="1" t="s">
        <v>544</v>
      </c>
      <c r="F1098" s="1"/>
      <c r="G1098" s="1"/>
      <c r="H1098" s="1" t="s">
        <v>564</v>
      </c>
      <c r="I1098" s="1" t="s">
        <v>545</v>
      </c>
      <c r="J1098" s="4">
        <v>42979.0</v>
      </c>
      <c r="K1098" s="1">
        <v>300.0</v>
      </c>
      <c r="L1098" s="1">
        <v>300.0</v>
      </c>
      <c r="M1098" s="1">
        <v>61.0</v>
      </c>
    </row>
    <row r="1099" hidden="1">
      <c r="A1099" s="1" t="s">
        <v>565</v>
      </c>
      <c r="B1099" s="3" t="s">
        <v>2097</v>
      </c>
      <c r="C1099" s="1" t="s">
        <v>1569</v>
      </c>
      <c r="D1099" s="1" t="s">
        <v>422</v>
      </c>
      <c r="E1099" s="1" t="s">
        <v>544</v>
      </c>
      <c r="F1099" s="1"/>
      <c r="G1099" s="1"/>
      <c r="H1099" s="1" t="s">
        <v>423</v>
      </c>
      <c r="I1099" s="1" t="s">
        <v>545</v>
      </c>
      <c r="J1099" s="4">
        <v>42979.0</v>
      </c>
      <c r="K1099" s="1">
        <v>100.0</v>
      </c>
      <c r="L1099" s="1">
        <v>100.0</v>
      </c>
      <c r="M1099" s="1">
        <v>62.0</v>
      </c>
    </row>
    <row r="1100" hidden="1">
      <c r="A1100" s="1" t="s">
        <v>567</v>
      </c>
      <c r="B1100" s="3" t="s">
        <v>2098</v>
      </c>
      <c r="C1100" s="1" t="s">
        <v>1569</v>
      </c>
      <c r="D1100" s="1" t="s">
        <v>569</v>
      </c>
      <c r="E1100" s="1" t="s">
        <v>544</v>
      </c>
      <c r="F1100" s="1"/>
      <c r="G1100" s="1"/>
      <c r="H1100" s="1" t="s">
        <v>569</v>
      </c>
      <c r="I1100" s="1" t="s">
        <v>545</v>
      </c>
      <c r="J1100" s="4">
        <v>42979.0</v>
      </c>
      <c r="K1100" s="1">
        <v>300.0</v>
      </c>
      <c r="L1100" s="1">
        <v>300.0</v>
      </c>
      <c r="M1100" s="1">
        <v>63.0</v>
      </c>
    </row>
    <row r="1101" hidden="1">
      <c r="A1101" s="1" t="s">
        <v>570</v>
      </c>
      <c r="B1101" s="3" t="s">
        <v>2099</v>
      </c>
      <c r="C1101" s="1" t="s">
        <v>1569</v>
      </c>
      <c r="D1101" s="1" t="s">
        <v>366</v>
      </c>
      <c r="E1101" s="1" t="s">
        <v>544</v>
      </c>
      <c r="F1101" s="1"/>
      <c r="G1101" s="1"/>
      <c r="H1101" s="1" t="s">
        <v>366</v>
      </c>
      <c r="I1101" s="1" t="s">
        <v>545</v>
      </c>
      <c r="J1101" s="4">
        <v>42979.0</v>
      </c>
      <c r="K1101" s="1">
        <v>300.0</v>
      </c>
      <c r="L1101" s="1">
        <v>300.0</v>
      </c>
      <c r="M1101" s="1">
        <v>64.0</v>
      </c>
    </row>
    <row r="1102" hidden="1">
      <c r="A1102" s="1" t="s">
        <v>572</v>
      </c>
      <c r="B1102" s="3" t="s">
        <v>2100</v>
      </c>
      <c r="C1102" s="1" t="s">
        <v>1569</v>
      </c>
      <c r="D1102" s="1" t="s">
        <v>168</v>
      </c>
      <c r="E1102" s="1" t="s">
        <v>544</v>
      </c>
      <c r="F1102" s="1"/>
      <c r="G1102" s="1"/>
      <c r="H1102" s="1" t="s">
        <v>168</v>
      </c>
      <c r="I1102" s="1" t="s">
        <v>545</v>
      </c>
      <c r="J1102" s="4">
        <v>42979.0</v>
      </c>
      <c r="K1102" s="1">
        <v>50.0</v>
      </c>
      <c r="L1102" s="1">
        <v>50.0</v>
      </c>
      <c r="M1102" s="1">
        <v>65.0</v>
      </c>
    </row>
    <row r="1103" hidden="1">
      <c r="A1103" s="1" t="s">
        <v>574</v>
      </c>
      <c r="B1103" s="3" t="s">
        <v>2101</v>
      </c>
      <c r="C1103" s="1" t="s">
        <v>1569</v>
      </c>
      <c r="D1103" s="1" t="s">
        <v>159</v>
      </c>
      <c r="E1103" s="1" t="s">
        <v>544</v>
      </c>
      <c r="F1103" s="1"/>
      <c r="G1103" s="1"/>
      <c r="H1103" s="1" t="s">
        <v>159</v>
      </c>
      <c r="I1103" s="1" t="s">
        <v>545</v>
      </c>
      <c r="J1103" s="4">
        <v>42979.0</v>
      </c>
      <c r="K1103" s="1">
        <v>200.0</v>
      </c>
      <c r="L1103" s="1">
        <v>200.0</v>
      </c>
      <c r="M1103" s="1">
        <v>66.0</v>
      </c>
    </row>
    <row r="1104" hidden="1">
      <c r="A1104" s="1" t="s">
        <v>610</v>
      </c>
      <c r="B1104" s="3" t="s">
        <v>2102</v>
      </c>
      <c r="C1104" s="1" t="s">
        <v>1569</v>
      </c>
      <c r="D1104" s="1" t="s">
        <v>79</v>
      </c>
      <c r="E1104" s="1" t="s">
        <v>612</v>
      </c>
      <c r="F1104" s="1"/>
      <c r="G1104" s="1"/>
      <c r="H1104" s="1" t="s">
        <v>79</v>
      </c>
      <c r="I1104" s="1" t="s">
        <v>609</v>
      </c>
      <c r="J1104" s="4">
        <v>42644.0</v>
      </c>
      <c r="K1104" s="1">
        <v>100.0</v>
      </c>
      <c r="L1104" s="1">
        <v>100.0</v>
      </c>
      <c r="M1104" s="1">
        <v>285.0</v>
      </c>
    </row>
    <row r="1105" hidden="1">
      <c r="A1105" s="1" t="s">
        <v>641</v>
      </c>
      <c r="B1105" s="3" t="s">
        <v>2103</v>
      </c>
      <c r="C1105" s="1" t="s">
        <v>1569</v>
      </c>
      <c r="D1105" s="1" t="s">
        <v>71</v>
      </c>
      <c r="E1105" s="1" t="s">
        <v>612</v>
      </c>
      <c r="F1105" s="1"/>
      <c r="G1105" s="1"/>
      <c r="H1105" s="1" t="s">
        <v>71</v>
      </c>
      <c r="I1105" s="1" t="s">
        <v>609</v>
      </c>
      <c r="J1105" s="4">
        <v>42644.0</v>
      </c>
      <c r="K1105" s="1">
        <v>109.0</v>
      </c>
      <c r="L1105" s="1">
        <v>199.0</v>
      </c>
      <c r="M1105" s="1">
        <v>291.0</v>
      </c>
    </row>
    <row r="1106" hidden="1">
      <c r="A1106" s="1" t="s">
        <v>613</v>
      </c>
      <c r="B1106" s="3" t="s">
        <v>2104</v>
      </c>
      <c r="C1106" s="1" t="s">
        <v>1569</v>
      </c>
      <c r="D1106" s="1" t="s">
        <v>79</v>
      </c>
      <c r="E1106" s="1" t="s">
        <v>612</v>
      </c>
      <c r="F1106" s="1"/>
      <c r="G1106" s="1"/>
      <c r="H1106" s="1" t="s">
        <v>79</v>
      </c>
      <c r="I1106" s="1" t="s">
        <v>609</v>
      </c>
      <c r="J1106" s="4">
        <v>42644.0</v>
      </c>
      <c r="K1106" s="1">
        <v>300.0</v>
      </c>
      <c r="L1106" s="1">
        <v>300.0</v>
      </c>
      <c r="M1106" s="1">
        <v>296.0</v>
      </c>
    </row>
    <row r="1107" hidden="1">
      <c r="A1107" s="1" t="s">
        <v>615</v>
      </c>
      <c r="B1107" s="3" t="s">
        <v>2105</v>
      </c>
      <c r="C1107" s="1" t="s">
        <v>1569</v>
      </c>
      <c r="D1107" s="1" t="s">
        <v>79</v>
      </c>
      <c r="E1107" s="1" t="s">
        <v>617</v>
      </c>
      <c r="F1107" s="1"/>
      <c r="G1107" s="1"/>
      <c r="H1107" s="1" t="s">
        <v>79</v>
      </c>
      <c r="I1107" s="1" t="s">
        <v>609</v>
      </c>
      <c r="J1107" s="4">
        <v>42644.0</v>
      </c>
      <c r="K1107" s="1">
        <v>250.0</v>
      </c>
      <c r="L1107" s="1">
        <v>250.0</v>
      </c>
      <c r="M1107" s="1">
        <v>305.0</v>
      </c>
    </row>
    <row r="1108" hidden="1">
      <c r="A1108" s="1" t="s">
        <v>618</v>
      </c>
      <c r="B1108" s="3" t="s">
        <v>2106</v>
      </c>
      <c r="C1108" s="1" t="s">
        <v>1569</v>
      </c>
      <c r="D1108" s="1" t="s">
        <v>79</v>
      </c>
      <c r="E1108" s="1" t="s">
        <v>617</v>
      </c>
      <c r="F1108" s="1"/>
      <c r="G1108" s="1"/>
      <c r="H1108" s="1" t="s">
        <v>79</v>
      </c>
      <c r="I1108" s="1" t="s">
        <v>609</v>
      </c>
      <c r="J1108" s="4">
        <v>42644.0</v>
      </c>
      <c r="K1108" s="1">
        <v>200.0</v>
      </c>
      <c r="L1108" s="1">
        <v>200.0</v>
      </c>
      <c r="M1108" s="1">
        <v>306.0</v>
      </c>
    </row>
    <row r="1109" hidden="1">
      <c r="A1109" s="1" t="s">
        <v>643</v>
      </c>
      <c r="B1109" s="3" t="s">
        <v>2107</v>
      </c>
      <c r="C1109" s="1" t="s">
        <v>1569</v>
      </c>
      <c r="D1109" s="1" t="s">
        <v>71</v>
      </c>
      <c r="E1109" s="1" t="s">
        <v>617</v>
      </c>
      <c r="F1109" s="1"/>
      <c r="G1109" s="1"/>
      <c r="H1109" s="1" t="s">
        <v>71</v>
      </c>
      <c r="I1109" s="1" t="s">
        <v>609</v>
      </c>
      <c r="J1109" s="4">
        <v>42644.0</v>
      </c>
      <c r="K1109" s="1">
        <v>100.0</v>
      </c>
      <c r="L1109" s="1">
        <v>100.0</v>
      </c>
      <c r="M1109" s="1">
        <v>322.0</v>
      </c>
    </row>
    <row r="1110" hidden="1">
      <c r="A1110" s="1" t="s">
        <v>645</v>
      </c>
      <c r="B1110" s="3" t="s">
        <v>2108</v>
      </c>
      <c r="C1110" s="1" t="s">
        <v>1569</v>
      </c>
      <c r="D1110" s="1" t="s">
        <v>71</v>
      </c>
      <c r="E1110" s="1" t="s">
        <v>617</v>
      </c>
      <c r="F1110" s="1"/>
      <c r="G1110" s="1"/>
      <c r="H1110" s="1" t="s">
        <v>71</v>
      </c>
      <c r="I1110" s="1" t="s">
        <v>609</v>
      </c>
      <c r="J1110" s="4">
        <v>42644.0</v>
      </c>
      <c r="K1110" s="1">
        <v>299.0</v>
      </c>
      <c r="L1110" s="1">
        <v>299.0</v>
      </c>
      <c r="M1110" s="1">
        <v>323.0</v>
      </c>
    </row>
    <row r="1111" hidden="1">
      <c r="A1111" s="1" t="s">
        <v>620</v>
      </c>
      <c r="B1111" s="3" t="s">
        <v>2109</v>
      </c>
      <c r="C1111" s="1" t="s">
        <v>1569</v>
      </c>
      <c r="D1111" s="1" t="s">
        <v>79</v>
      </c>
      <c r="E1111" s="1" t="s">
        <v>617</v>
      </c>
      <c r="F1111" s="1"/>
      <c r="G1111" s="1"/>
      <c r="H1111" s="1" t="s">
        <v>79</v>
      </c>
      <c r="I1111" s="1" t="s">
        <v>622</v>
      </c>
      <c r="J1111" s="4">
        <v>42675.0</v>
      </c>
      <c r="K1111" s="1">
        <v>200.0</v>
      </c>
      <c r="L1111" s="1">
        <v>200.0</v>
      </c>
      <c r="M1111" s="1">
        <v>329.0</v>
      </c>
    </row>
    <row r="1112" hidden="1">
      <c r="A1112" s="1" t="s">
        <v>647</v>
      </c>
      <c r="B1112" s="3" t="s">
        <v>2110</v>
      </c>
      <c r="C1112" s="1" t="s">
        <v>1569</v>
      </c>
      <c r="D1112" s="1" t="s">
        <v>71</v>
      </c>
      <c r="E1112" s="1" t="s">
        <v>617</v>
      </c>
      <c r="F1112" s="1"/>
      <c r="G1112" s="1"/>
      <c r="H1112" s="1" t="s">
        <v>71</v>
      </c>
      <c r="I1112" s="1" t="s">
        <v>622</v>
      </c>
      <c r="J1112" s="4">
        <v>42675.0</v>
      </c>
      <c r="K1112" s="1">
        <v>599.0</v>
      </c>
      <c r="L1112" s="1">
        <v>599.0</v>
      </c>
      <c r="M1112" s="1">
        <v>345.0</v>
      </c>
    </row>
    <row r="1113" hidden="1">
      <c r="A1113" s="1" t="s">
        <v>623</v>
      </c>
      <c r="B1113" s="3" t="s">
        <v>2111</v>
      </c>
      <c r="C1113" s="1" t="s">
        <v>1569</v>
      </c>
      <c r="D1113" s="1" t="s">
        <v>79</v>
      </c>
      <c r="E1113" s="1" t="s">
        <v>625</v>
      </c>
      <c r="F1113" s="1"/>
      <c r="G1113" s="1"/>
      <c r="H1113" s="1" t="s">
        <v>79</v>
      </c>
      <c r="I1113" s="1" t="s">
        <v>622</v>
      </c>
      <c r="J1113" s="4">
        <v>42675.0</v>
      </c>
      <c r="K1113" s="1">
        <v>200.0</v>
      </c>
      <c r="L1113" s="1">
        <v>200.0</v>
      </c>
      <c r="M1113" s="1">
        <v>368.0</v>
      </c>
    </row>
    <row r="1114" hidden="1">
      <c r="A1114" s="1" t="s">
        <v>649</v>
      </c>
      <c r="B1114" s="3" t="s">
        <v>2112</v>
      </c>
      <c r="C1114" s="1" t="s">
        <v>1569</v>
      </c>
      <c r="D1114" s="1" t="s">
        <v>71</v>
      </c>
      <c r="E1114" s="1" t="s">
        <v>617</v>
      </c>
      <c r="F1114" s="1"/>
      <c r="G1114" s="1"/>
      <c r="H1114" s="1" t="s">
        <v>71</v>
      </c>
      <c r="I1114" s="1" t="s">
        <v>622</v>
      </c>
      <c r="J1114" s="4">
        <v>42675.0</v>
      </c>
      <c r="K1114" s="1">
        <v>109.0</v>
      </c>
      <c r="L1114" s="1">
        <v>109.0</v>
      </c>
      <c r="M1114" s="1">
        <v>346.0</v>
      </c>
    </row>
    <row r="1115" hidden="1">
      <c r="A1115" s="1" t="s">
        <v>626</v>
      </c>
      <c r="B1115" s="3" t="s">
        <v>2113</v>
      </c>
      <c r="C1115" s="1" t="s">
        <v>1569</v>
      </c>
      <c r="D1115" s="1" t="s">
        <v>79</v>
      </c>
      <c r="E1115" s="1" t="s">
        <v>625</v>
      </c>
      <c r="F1115" s="1"/>
      <c r="G1115" s="1"/>
      <c r="H1115" s="1" t="s">
        <v>79</v>
      </c>
      <c r="I1115" s="1" t="s">
        <v>622</v>
      </c>
      <c r="J1115" s="4">
        <v>42675.0</v>
      </c>
      <c r="K1115" s="1">
        <v>100.0</v>
      </c>
      <c r="L1115" s="1">
        <v>100.0</v>
      </c>
      <c r="M1115" s="1">
        <v>369.0</v>
      </c>
    </row>
    <row r="1116" hidden="1">
      <c r="A1116" s="1" t="s">
        <v>651</v>
      </c>
      <c r="B1116" s="3" t="s">
        <v>2114</v>
      </c>
      <c r="C1116" s="1" t="s">
        <v>1569</v>
      </c>
      <c r="D1116" s="1" t="s">
        <v>71</v>
      </c>
      <c r="E1116" s="1" t="s">
        <v>625</v>
      </c>
      <c r="F1116" s="1"/>
      <c r="G1116" s="1"/>
      <c r="H1116" s="1" t="s">
        <v>71</v>
      </c>
      <c r="I1116" s="1" t="s">
        <v>622</v>
      </c>
      <c r="J1116" s="4">
        <v>42675.0</v>
      </c>
      <c r="K1116" s="1">
        <v>109.0</v>
      </c>
      <c r="L1116" s="1">
        <v>109.0</v>
      </c>
      <c r="M1116" s="1">
        <v>370.0</v>
      </c>
    </row>
    <row r="1117" hidden="1">
      <c r="A1117" s="1" t="s">
        <v>653</v>
      </c>
      <c r="B1117" s="3" t="s">
        <v>2115</v>
      </c>
      <c r="C1117" s="1" t="s">
        <v>1569</v>
      </c>
      <c r="D1117" s="1" t="s">
        <v>71</v>
      </c>
      <c r="E1117" s="1" t="s">
        <v>625</v>
      </c>
      <c r="F1117" s="1"/>
      <c r="G1117" s="1"/>
      <c r="H1117" s="1" t="s">
        <v>71</v>
      </c>
      <c r="I1117" s="1" t="s">
        <v>622</v>
      </c>
      <c r="J1117" s="4">
        <v>42675.0</v>
      </c>
      <c r="K1117" s="1">
        <v>777.0</v>
      </c>
      <c r="L1117" s="1">
        <v>777.0</v>
      </c>
      <c r="M1117" s="1">
        <v>378.0</v>
      </c>
    </row>
    <row r="1118" hidden="1">
      <c r="A1118" s="1" t="s">
        <v>655</v>
      </c>
      <c r="B1118" s="3" t="s">
        <v>2116</v>
      </c>
      <c r="C1118" s="1" t="s">
        <v>1569</v>
      </c>
      <c r="D1118" s="1" t="s">
        <v>71</v>
      </c>
      <c r="E1118" s="1" t="s">
        <v>625</v>
      </c>
      <c r="F1118" s="1"/>
      <c r="G1118" s="1"/>
      <c r="H1118" s="1" t="s">
        <v>71</v>
      </c>
      <c r="I1118" s="1" t="s">
        <v>622</v>
      </c>
      <c r="J1118" s="4">
        <v>42675.0</v>
      </c>
      <c r="K1118" s="1">
        <v>999.0</v>
      </c>
      <c r="L1118" s="1">
        <v>999.0</v>
      </c>
      <c r="M1118" s="1">
        <v>379.0</v>
      </c>
    </row>
    <row r="1119" hidden="1">
      <c r="A1119" s="1" t="s">
        <v>657</v>
      </c>
      <c r="B1119" s="3" t="s">
        <v>2117</v>
      </c>
      <c r="C1119" s="1" t="s">
        <v>1569</v>
      </c>
      <c r="D1119" s="1" t="s">
        <v>71</v>
      </c>
      <c r="E1119" s="1" t="s">
        <v>625</v>
      </c>
      <c r="F1119" s="1"/>
      <c r="G1119" s="1"/>
      <c r="H1119" s="1" t="s">
        <v>71</v>
      </c>
      <c r="I1119" s="1" t="s">
        <v>622</v>
      </c>
      <c r="J1119" s="4">
        <v>42675.0</v>
      </c>
      <c r="K1119" s="1">
        <v>109.0</v>
      </c>
      <c r="L1119" s="1">
        <v>109.0</v>
      </c>
      <c r="M1119" s="1">
        <v>385.0</v>
      </c>
    </row>
    <row r="1120" hidden="1">
      <c r="A1120" s="1" t="s">
        <v>628</v>
      </c>
      <c r="B1120" s="3" t="s">
        <v>2118</v>
      </c>
      <c r="C1120" s="1" t="s">
        <v>1569</v>
      </c>
      <c r="D1120" s="1" t="s">
        <v>79</v>
      </c>
      <c r="E1120" s="1" t="s">
        <v>625</v>
      </c>
      <c r="F1120" s="1"/>
      <c r="G1120" s="1"/>
      <c r="H1120" s="1" t="s">
        <v>79</v>
      </c>
      <c r="I1120" s="1" t="s">
        <v>622</v>
      </c>
      <c r="J1120" s="4">
        <v>42675.0</v>
      </c>
      <c r="K1120" s="1">
        <v>150.0</v>
      </c>
      <c r="L1120" s="1">
        <v>150.0</v>
      </c>
      <c r="M1120" s="1">
        <v>390.0</v>
      </c>
    </row>
    <row r="1121" hidden="1">
      <c r="A1121" s="1" t="s">
        <v>659</v>
      </c>
      <c r="B1121" s="3" t="s">
        <v>2119</v>
      </c>
      <c r="C1121" s="1" t="s">
        <v>1569</v>
      </c>
      <c r="D1121" s="1" t="s">
        <v>71</v>
      </c>
      <c r="E1121" s="1" t="s">
        <v>632</v>
      </c>
      <c r="F1121" s="1"/>
      <c r="G1121" s="1"/>
      <c r="H1121" s="1" t="s">
        <v>71</v>
      </c>
      <c r="I1121" s="1" t="s">
        <v>622</v>
      </c>
      <c r="J1121" s="4">
        <v>42675.0</v>
      </c>
      <c r="K1121" s="1">
        <v>2.1E7</v>
      </c>
      <c r="L1121" s="1">
        <v>2.1E7</v>
      </c>
      <c r="M1121" s="1">
        <v>403.0</v>
      </c>
    </row>
    <row r="1122" hidden="1">
      <c r="A1122" s="1" t="s">
        <v>630</v>
      </c>
      <c r="B1122" s="3" t="s">
        <v>2120</v>
      </c>
      <c r="C1122" s="1" t="s">
        <v>1569</v>
      </c>
      <c r="D1122" s="1" t="s">
        <v>79</v>
      </c>
      <c r="E1122" s="1" t="s">
        <v>632</v>
      </c>
      <c r="F1122" s="1"/>
      <c r="G1122" s="1"/>
      <c r="H1122" s="1" t="s">
        <v>79</v>
      </c>
      <c r="I1122" s="1" t="s">
        <v>622</v>
      </c>
      <c r="J1122" s="4">
        <v>42675.0</v>
      </c>
      <c r="K1122" s="1">
        <v>100.0</v>
      </c>
      <c r="L1122" s="1">
        <v>100.0</v>
      </c>
      <c r="M1122" s="1">
        <v>406.0</v>
      </c>
    </row>
    <row r="1123" hidden="1">
      <c r="A1123" s="1" t="s">
        <v>661</v>
      </c>
      <c r="B1123" s="3" t="s">
        <v>2121</v>
      </c>
      <c r="C1123" s="1" t="s">
        <v>1569</v>
      </c>
      <c r="D1123" s="1" t="s">
        <v>71</v>
      </c>
      <c r="E1123" s="1" t="s">
        <v>632</v>
      </c>
      <c r="F1123" s="1"/>
      <c r="G1123" s="1"/>
      <c r="H1123" s="1" t="s">
        <v>71</v>
      </c>
      <c r="I1123" s="1" t="s">
        <v>636</v>
      </c>
      <c r="J1123" s="4">
        <v>42705.0</v>
      </c>
      <c r="K1123" s="1">
        <v>999999.0</v>
      </c>
      <c r="L1123" s="1">
        <v>999999.0</v>
      </c>
      <c r="M1123" s="1">
        <v>432.0</v>
      </c>
    </row>
    <row r="1124" hidden="1">
      <c r="A1124" s="1" t="s">
        <v>633</v>
      </c>
      <c r="B1124" s="3" t="s">
        <v>2122</v>
      </c>
      <c r="C1124" s="1" t="s">
        <v>1569</v>
      </c>
      <c r="D1124" s="1" t="s">
        <v>79</v>
      </c>
      <c r="E1124" s="1" t="s">
        <v>635</v>
      </c>
      <c r="F1124" s="1"/>
      <c r="G1124" s="1"/>
      <c r="H1124" s="1" t="s">
        <v>79</v>
      </c>
      <c r="I1124" s="1" t="s">
        <v>636</v>
      </c>
      <c r="J1124" s="4">
        <v>42705.0</v>
      </c>
      <c r="K1124" s="1">
        <v>100.0</v>
      </c>
      <c r="L1124" s="1">
        <v>50.0</v>
      </c>
      <c r="M1124" s="1">
        <v>458.0</v>
      </c>
    </row>
    <row r="1125" hidden="1">
      <c r="A1125" s="1" t="s">
        <v>663</v>
      </c>
      <c r="B1125" s="3" t="s">
        <v>2123</v>
      </c>
      <c r="C1125" s="1" t="s">
        <v>1569</v>
      </c>
      <c r="D1125" s="1" t="s">
        <v>71</v>
      </c>
      <c r="E1125" s="1" t="s">
        <v>665</v>
      </c>
      <c r="F1125" s="1"/>
      <c r="G1125" s="1"/>
      <c r="H1125" s="1" t="s">
        <v>71</v>
      </c>
      <c r="I1125" s="1" t="s">
        <v>666</v>
      </c>
      <c r="J1125" s="4">
        <v>42767.0</v>
      </c>
      <c r="K1125" s="1">
        <v>10000.0</v>
      </c>
      <c r="L1125" s="1">
        <v>10000.0</v>
      </c>
      <c r="M1125" s="1">
        <v>556.0</v>
      </c>
    </row>
    <row r="1126" hidden="1">
      <c r="A1126" s="1" t="s">
        <v>667</v>
      </c>
      <c r="B1126" s="3" t="s">
        <v>2124</v>
      </c>
      <c r="C1126" s="1" t="s">
        <v>1569</v>
      </c>
      <c r="D1126" s="1" t="s">
        <v>71</v>
      </c>
      <c r="E1126" s="1" t="s">
        <v>669</v>
      </c>
      <c r="F1126" s="1"/>
      <c r="G1126" s="1"/>
      <c r="H1126" s="1" t="s">
        <v>71</v>
      </c>
      <c r="I1126" s="1" t="s">
        <v>666</v>
      </c>
      <c r="J1126" s="4">
        <v>42767.0</v>
      </c>
      <c r="K1126" s="1">
        <v>10000.0</v>
      </c>
      <c r="L1126" s="1">
        <v>10000.0</v>
      </c>
      <c r="M1126" s="1">
        <v>607.0</v>
      </c>
    </row>
    <row r="1127" hidden="1">
      <c r="A1127" s="1" t="s">
        <v>587</v>
      </c>
      <c r="B1127" s="3" t="s">
        <v>2125</v>
      </c>
      <c r="C1127" s="1" t="s">
        <v>1569</v>
      </c>
      <c r="D1127" s="1" t="s">
        <v>135</v>
      </c>
      <c r="E1127" s="1" t="s">
        <v>589</v>
      </c>
      <c r="F1127" s="1"/>
      <c r="G1127" s="1"/>
      <c r="H1127" s="1" t="s">
        <v>135</v>
      </c>
      <c r="I1127" s="1" t="s">
        <v>590</v>
      </c>
      <c r="J1127" s="4">
        <v>42795.0</v>
      </c>
      <c r="K1127" s="1">
        <v>108.0</v>
      </c>
      <c r="L1127" s="1">
        <v>108.0</v>
      </c>
      <c r="M1127" s="1">
        <v>810.0</v>
      </c>
    </row>
    <row r="1128" hidden="1">
      <c r="A1128" s="1" t="s">
        <v>670</v>
      </c>
      <c r="B1128" s="3" t="s">
        <v>2126</v>
      </c>
      <c r="C1128" s="1" t="s">
        <v>1569</v>
      </c>
      <c r="D1128" s="1" t="s">
        <v>71</v>
      </c>
      <c r="E1128" s="1" t="s">
        <v>589</v>
      </c>
      <c r="F1128" s="1"/>
      <c r="G1128" s="1"/>
      <c r="H1128" s="1" t="s">
        <v>71</v>
      </c>
      <c r="I1128" s="1" t="s">
        <v>590</v>
      </c>
      <c r="J1128" s="4">
        <v>42795.0</v>
      </c>
      <c r="K1128" s="1">
        <v>1000.0</v>
      </c>
      <c r="L1128" s="1">
        <v>1000.0</v>
      </c>
      <c r="M1128" s="1">
        <v>833.0</v>
      </c>
    </row>
    <row r="1129" hidden="1">
      <c r="A1129" s="1" t="s">
        <v>672</v>
      </c>
      <c r="B1129" s="3" t="s">
        <v>2127</v>
      </c>
      <c r="C1129" s="1" t="s">
        <v>1569</v>
      </c>
      <c r="D1129" s="1" t="s">
        <v>71</v>
      </c>
      <c r="E1129" s="1" t="s">
        <v>674</v>
      </c>
      <c r="F1129" s="1"/>
      <c r="G1129" s="1"/>
      <c r="H1129" s="1" t="s">
        <v>71</v>
      </c>
      <c r="I1129" s="1" t="s">
        <v>132</v>
      </c>
      <c r="J1129" s="4">
        <v>42856.0</v>
      </c>
      <c r="K1129" s="1">
        <v>199.0</v>
      </c>
      <c r="L1129" s="1">
        <v>199.0</v>
      </c>
      <c r="M1129" s="1">
        <v>974.0</v>
      </c>
    </row>
    <row r="1130" hidden="1">
      <c r="A1130" s="1" t="s">
        <v>576</v>
      </c>
      <c r="B1130" s="3" t="s">
        <v>2128</v>
      </c>
      <c r="C1130" s="1" t="s">
        <v>1569</v>
      </c>
      <c r="D1130" s="1" t="s">
        <v>53</v>
      </c>
      <c r="E1130" s="1" t="s">
        <v>578</v>
      </c>
      <c r="F1130" s="1"/>
      <c r="G1130" s="1"/>
      <c r="H1130" s="1" t="s">
        <v>53</v>
      </c>
      <c r="I1130" s="1" t="s">
        <v>288</v>
      </c>
      <c r="J1130" s="4">
        <v>42917.0</v>
      </c>
      <c r="K1130" s="1">
        <v>181.0</v>
      </c>
      <c r="L1130" s="1">
        <v>171.0</v>
      </c>
      <c r="M1130" s="1">
        <v>1018.0</v>
      </c>
    </row>
    <row r="1131" hidden="1">
      <c r="A1131" s="1" t="s">
        <v>600</v>
      </c>
      <c r="B1131" s="3" t="s">
        <v>2129</v>
      </c>
      <c r="C1131" s="1" t="s">
        <v>1569</v>
      </c>
      <c r="D1131" s="1" t="s">
        <v>593</v>
      </c>
      <c r="E1131" s="1" t="s">
        <v>578</v>
      </c>
      <c r="F1131" s="1"/>
      <c r="G1131" s="1"/>
      <c r="H1131" s="1" t="s">
        <v>593</v>
      </c>
      <c r="I1131" s="1" t="s">
        <v>288</v>
      </c>
      <c r="J1131" s="4">
        <v>42917.0</v>
      </c>
      <c r="K1131" s="1">
        <v>1000.0</v>
      </c>
      <c r="L1131" s="1">
        <v>1000.0</v>
      </c>
      <c r="M1131" s="1">
        <v>1029.0</v>
      </c>
    </row>
    <row r="1132" hidden="1">
      <c r="A1132" s="1" t="s">
        <v>675</v>
      </c>
      <c r="B1132" s="3" t="s">
        <v>2130</v>
      </c>
      <c r="C1132" s="1" t="s">
        <v>1569</v>
      </c>
      <c r="D1132" s="1" t="s">
        <v>71</v>
      </c>
      <c r="E1132" s="1" t="s">
        <v>578</v>
      </c>
      <c r="F1132" s="1"/>
      <c r="G1132" s="1"/>
      <c r="H1132" s="1" t="s">
        <v>71</v>
      </c>
      <c r="I1132" s="1" t="s">
        <v>288</v>
      </c>
      <c r="J1132" s="4">
        <v>42917.0</v>
      </c>
      <c r="K1132" s="1">
        <v>200.0</v>
      </c>
      <c r="L1132" s="1">
        <v>200.0</v>
      </c>
      <c r="M1132" s="1">
        <v>1028.0</v>
      </c>
    </row>
    <row r="1133" hidden="1">
      <c r="A1133" s="1" t="s">
        <v>597</v>
      </c>
      <c r="B1133" s="3" t="s">
        <v>2131</v>
      </c>
      <c r="C1133" s="1" t="s">
        <v>1569</v>
      </c>
      <c r="D1133" s="1" t="s">
        <v>593</v>
      </c>
      <c r="E1133" s="1" t="s">
        <v>599</v>
      </c>
      <c r="F1133" s="1"/>
      <c r="G1133" s="1"/>
      <c r="H1133" s="1" t="s">
        <v>593</v>
      </c>
      <c r="I1133" s="1" t="s">
        <v>288</v>
      </c>
      <c r="J1133" s="4">
        <v>42917.0</v>
      </c>
      <c r="K1133" s="1">
        <v>250.0</v>
      </c>
      <c r="L1133" s="1">
        <v>100.0</v>
      </c>
      <c r="M1133" s="1">
        <v>1099.0</v>
      </c>
    </row>
    <row r="1134" hidden="1">
      <c r="A1134" s="1" t="s">
        <v>677</v>
      </c>
      <c r="B1134" s="3" t="s">
        <v>2132</v>
      </c>
      <c r="C1134" s="1" t="s">
        <v>1569</v>
      </c>
      <c r="D1134" s="1" t="s">
        <v>71</v>
      </c>
      <c r="E1134" s="1" t="s">
        <v>679</v>
      </c>
      <c r="F1134" s="1"/>
      <c r="G1134" s="1"/>
      <c r="H1134" s="1" t="s">
        <v>71</v>
      </c>
      <c r="I1134" s="1" t="s">
        <v>288</v>
      </c>
      <c r="J1134" s="4">
        <v>42917.0</v>
      </c>
      <c r="K1134" s="1">
        <v>100.0</v>
      </c>
      <c r="L1134" s="1">
        <v>100.0</v>
      </c>
      <c r="M1134" s="1">
        <v>1134.0</v>
      </c>
    </row>
    <row r="1135" hidden="1">
      <c r="A1135" s="1" t="s">
        <v>579</v>
      </c>
      <c r="B1135" s="3" t="s">
        <v>2133</v>
      </c>
      <c r="C1135" s="1" t="s">
        <v>1569</v>
      </c>
      <c r="D1135" s="1" t="s">
        <v>53</v>
      </c>
      <c r="E1135" s="1" t="s">
        <v>581</v>
      </c>
      <c r="F1135" s="1"/>
      <c r="G1135" s="1"/>
      <c r="H1135" s="1" t="s">
        <v>53</v>
      </c>
      <c r="I1135" s="1" t="s">
        <v>288</v>
      </c>
      <c r="J1135" s="4">
        <v>42917.0</v>
      </c>
      <c r="K1135" s="1">
        <v>181.0</v>
      </c>
      <c r="L1135" s="1">
        <v>171.0</v>
      </c>
      <c r="M1135" s="1">
        <v>1166.0</v>
      </c>
    </row>
    <row r="1136" hidden="1">
      <c r="A1136" s="1" t="s">
        <v>591</v>
      </c>
      <c r="B1136" s="3" t="s">
        <v>2134</v>
      </c>
      <c r="C1136" s="1" t="s">
        <v>1569</v>
      </c>
      <c r="D1136" s="1" t="s">
        <v>593</v>
      </c>
      <c r="E1136" s="1" t="s">
        <v>584</v>
      </c>
      <c r="F1136" s="1"/>
      <c r="G1136" s="1"/>
      <c r="H1136" s="1" t="s">
        <v>593</v>
      </c>
      <c r="I1136" s="1" t="s">
        <v>395</v>
      </c>
      <c r="J1136" s="4">
        <v>42948.0</v>
      </c>
      <c r="K1136" s="1">
        <v>100.0</v>
      </c>
      <c r="L1136" s="1">
        <v>100.0</v>
      </c>
      <c r="M1136" s="1">
        <v>1306.0</v>
      </c>
    </row>
    <row r="1137" hidden="1">
      <c r="A1137" s="1" t="s">
        <v>582</v>
      </c>
      <c r="B1137" s="3" t="s">
        <v>2135</v>
      </c>
      <c r="C1137" s="1" t="s">
        <v>1569</v>
      </c>
      <c r="D1137" s="1" t="s">
        <v>53</v>
      </c>
      <c r="E1137" s="1" t="s">
        <v>584</v>
      </c>
      <c r="F1137" s="1"/>
      <c r="G1137" s="1"/>
      <c r="H1137" s="1" t="s">
        <v>53</v>
      </c>
      <c r="I1137" s="1" t="s">
        <v>395</v>
      </c>
      <c r="J1137" s="4">
        <v>42948.0</v>
      </c>
      <c r="K1137" s="1">
        <v>181.0</v>
      </c>
      <c r="L1137" s="1">
        <v>171.0</v>
      </c>
      <c r="M1137" s="1">
        <v>1318.0</v>
      </c>
    </row>
    <row r="1138" hidden="1">
      <c r="A1138" s="1" t="s">
        <v>594</v>
      </c>
      <c r="B1138" s="3" t="s">
        <v>2136</v>
      </c>
      <c r="C1138" s="1" t="s">
        <v>1569</v>
      </c>
      <c r="D1138" s="1" t="s">
        <v>593</v>
      </c>
      <c r="E1138" s="1" t="s">
        <v>596</v>
      </c>
      <c r="F1138" s="1"/>
      <c r="G1138" s="1"/>
      <c r="H1138" s="1" t="s">
        <v>593</v>
      </c>
      <c r="I1138" s="1" t="s">
        <v>395</v>
      </c>
      <c r="J1138" s="4">
        <v>42948.0</v>
      </c>
      <c r="K1138" s="1">
        <v>100.0</v>
      </c>
      <c r="L1138" s="1">
        <v>100.0</v>
      </c>
      <c r="M1138" s="1">
        <v>1294.0</v>
      </c>
    </row>
    <row r="1139" hidden="1">
      <c r="A1139" s="1" t="s">
        <v>585</v>
      </c>
      <c r="B1139" s="3" t="s">
        <v>2137</v>
      </c>
      <c r="C1139" s="1" t="s">
        <v>1569</v>
      </c>
      <c r="D1139" s="1" t="s">
        <v>53</v>
      </c>
      <c r="E1139" s="1" t="s">
        <v>584</v>
      </c>
      <c r="F1139" s="1"/>
      <c r="G1139" s="1"/>
      <c r="H1139" s="1" t="s">
        <v>53</v>
      </c>
      <c r="I1139" s="1" t="s">
        <v>395</v>
      </c>
      <c r="J1139" s="4">
        <v>42948.0</v>
      </c>
      <c r="K1139" s="1">
        <v>181.0</v>
      </c>
      <c r="L1139" s="1">
        <v>171.0</v>
      </c>
      <c r="M1139" s="1">
        <v>1336.0</v>
      </c>
    </row>
    <row r="1140">
      <c r="A1140" s="1" t="s">
        <v>1298</v>
      </c>
      <c r="B1140" s="3" t="s">
        <v>1299</v>
      </c>
      <c r="C1140" s="1" t="s">
        <v>16</v>
      </c>
      <c r="D1140" s="1" t="s">
        <v>519</v>
      </c>
      <c r="E1140" s="1" t="s">
        <v>797</v>
      </c>
      <c r="F1140" s="1" t="str">
        <f>IFERROR(__xludf.DUMMYFUNCTION("SPLIT(E1140,""&gt;"")"),"Japanese Rarepepe")</f>
        <v>Japanese Rarepepe</v>
      </c>
      <c r="G1140" s="1" t="str">
        <f>IFERROR(__xludf.DUMMYFUNCTION("""COMPUTED_VALUE"""),"Series 30")</f>
        <v>Series 30</v>
      </c>
      <c r="H1140" s="1" t="s">
        <v>519</v>
      </c>
      <c r="I1140" s="1" t="s">
        <v>853</v>
      </c>
      <c r="J1140" s="4">
        <v>43009.0</v>
      </c>
      <c r="K1140" s="1">
        <v>100.0</v>
      </c>
      <c r="L1140" s="1">
        <v>100.0</v>
      </c>
      <c r="M1140" s="1">
        <v>1492.0</v>
      </c>
    </row>
    <row r="1141" hidden="1">
      <c r="A1141" s="1" t="s">
        <v>1298</v>
      </c>
      <c r="B1141" s="3" t="s">
        <v>2138</v>
      </c>
      <c r="C1141" s="1" t="s">
        <v>1569</v>
      </c>
      <c r="D1141" s="1" t="s">
        <v>519</v>
      </c>
      <c r="E1141" s="1" t="s">
        <v>797</v>
      </c>
      <c r="F1141" s="1"/>
      <c r="G1141" s="1"/>
      <c r="H1141" s="1" t="s">
        <v>519</v>
      </c>
      <c r="I1141" s="1" t="s">
        <v>853</v>
      </c>
      <c r="J1141" s="4">
        <v>43009.0</v>
      </c>
      <c r="K1141" s="1">
        <v>100.0</v>
      </c>
      <c r="L1141" s="1">
        <v>100.0</v>
      </c>
      <c r="M1141" s="1">
        <v>1492.0</v>
      </c>
    </row>
    <row r="1142">
      <c r="A1142" s="1" t="s">
        <v>1300</v>
      </c>
      <c r="B1142" s="3" t="s">
        <v>1301</v>
      </c>
      <c r="C1142" s="1" t="s">
        <v>16</v>
      </c>
      <c r="D1142" s="1" t="s">
        <v>519</v>
      </c>
      <c r="E1142" s="1" t="s">
        <v>584</v>
      </c>
      <c r="F1142" s="1" t="str">
        <f>IFERROR(__xludf.DUMMYFUNCTION("SPLIT(E1142,""&gt;"")"),"Japanese Rarepepe")</f>
        <v>Japanese Rarepepe</v>
      </c>
      <c r="G1142" s="1" t="str">
        <f>IFERROR(__xludf.DUMMYFUNCTION("""COMPUTED_VALUE"""),"Series 27")</f>
        <v>Series 27</v>
      </c>
      <c r="H1142" s="1" t="s">
        <v>519</v>
      </c>
      <c r="I1142" s="1" t="s">
        <v>545</v>
      </c>
      <c r="J1142" s="4">
        <v>42979.0</v>
      </c>
      <c r="K1142" s="1">
        <v>200.0</v>
      </c>
      <c r="L1142" s="1">
        <v>200.0</v>
      </c>
      <c r="M1142" s="1">
        <v>1344.0</v>
      </c>
    </row>
    <row r="1143" hidden="1">
      <c r="A1143" s="1" t="s">
        <v>1300</v>
      </c>
      <c r="B1143" s="3" t="s">
        <v>2139</v>
      </c>
      <c r="C1143" s="1" t="s">
        <v>1569</v>
      </c>
      <c r="D1143" s="1" t="s">
        <v>519</v>
      </c>
      <c r="E1143" s="1" t="s">
        <v>584</v>
      </c>
      <c r="F1143" s="1"/>
      <c r="G1143" s="1"/>
      <c r="H1143" s="1" t="s">
        <v>519</v>
      </c>
      <c r="I1143" s="1" t="s">
        <v>545</v>
      </c>
      <c r="J1143" s="4">
        <v>42979.0</v>
      </c>
      <c r="K1143" s="1">
        <v>200.0</v>
      </c>
      <c r="L1143" s="1">
        <v>200.0</v>
      </c>
      <c r="M1143" s="1">
        <v>1344.0</v>
      </c>
    </row>
    <row r="1144">
      <c r="A1144" s="1" t="s">
        <v>1302</v>
      </c>
      <c r="B1144" s="3" t="s">
        <v>1303</v>
      </c>
      <c r="C1144" s="1" t="s">
        <v>16</v>
      </c>
      <c r="D1144" s="1" t="s">
        <v>519</v>
      </c>
      <c r="E1144" s="1" t="s">
        <v>792</v>
      </c>
      <c r="F1144" s="1" t="str">
        <f>IFERROR(__xludf.DUMMYFUNCTION("SPLIT(E1144,""&gt;"")"),"Japanese Rarepepe")</f>
        <v>Japanese Rarepepe</v>
      </c>
      <c r="G1144" s="1" t="str">
        <f>IFERROR(__xludf.DUMMYFUNCTION("""COMPUTED_VALUE"""),"Series 25")</f>
        <v>Series 25</v>
      </c>
      <c r="H1144" s="1" t="s">
        <v>519</v>
      </c>
      <c r="I1144" s="1" t="s">
        <v>395</v>
      </c>
      <c r="J1144" s="4">
        <v>42948.0</v>
      </c>
      <c r="K1144" s="1">
        <v>100.0</v>
      </c>
      <c r="L1144" s="1">
        <v>100.0</v>
      </c>
      <c r="M1144" s="1">
        <v>1215.0</v>
      </c>
    </row>
    <row r="1145" hidden="1">
      <c r="A1145" s="1" t="s">
        <v>1302</v>
      </c>
      <c r="B1145" s="3" t="s">
        <v>2140</v>
      </c>
      <c r="C1145" s="1" t="s">
        <v>1569</v>
      </c>
      <c r="D1145" s="1" t="s">
        <v>519</v>
      </c>
      <c r="E1145" s="1" t="s">
        <v>792</v>
      </c>
      <c r="F1145" s="1"/>
      <c r="G1145" s="1"/>
      <c r="H1145" s="1" t="s">
        <v>519</v>
      </c>
      <c r="I1145" s="1" t="s">
        <v>395</v>
      </c>
      <c r="J1145" s="4">
        <v>42948.0</v>
      </c>
      <c r="K1145" s="1">
        <v>100.0</v>
      </c>
      <c r="L1145" s="1">
        <v>100.0</v>
      </c>
      <c r="M1145" s="1">
        <v>1215.0</v>
      </c>
    </row>
    <row r="1146">
      <c r="A1146" s="1" t="s">
        <v>1304</v>
      </c>
      <c r="B1146" s="3" t="s">
        <v>1305</v>
      </c>
      <c r="C1146" s="1" t="s">
        <v>16</v>
      </c>
      <c r="D1146" s="1" t="s">
        <v>28</v>
      </c>
      <c r="E1146" s="1" t="s">
        <v>797</v>
      </c>
      <c r="F1146" s="1" t="str">
        <f>IFERROR(__xludf.DUMMYFUNCTION("SPLIT(E1146,""&gt;"")"),"Japanese Rarepepe")</f>
        <v>Japanese Rarepepe</v>
      </c>
      <c r="G1146" s="1" t="str">
        <f>IFERROR(__xludf.DUMMYFUNCTION("""COMPUTED_VALUE"""),"Series 30")</f>
        <v>Series 30</v>
      </c>
      <c r="H1146" s="1" t="s">
        <v>28</v>
      </c>
      <c r="I1146" s="1" t="s">
        <v>853</v>
      </c>
      <c r="J1146" s="4">
        <v>43009.0</v>
      </c>
      <c r="K1146" s="1">
        <v>100.0</v>
      </c>
      <c r="L1146" s="1">
        <v>100.0</v>
      </c>
      <c r="M1146" s="1">
        <v>1470.0</v>
      </c>
    </row>
    <row r="1147" hidden="1">
      <c r="A1147" s="1" t="s">
        <v>1304</v>
      </c>
      <c r="B1147" s="3" t="s">
        <v>2141</v>
      </c>
      <c r="C1147" s="1" t="s">
        <v>1569</v>
      </c>
      <c r="D1147" s="1" t="s">
        <v>28</v>
      </c>
      <c r="E1147" s="1" t="s">
        <v>797</v>
      </c>
      <c r="F1147" s="1"/>
      <c r="G1147" s="1"/>
      <c r="H1147" s="1" t="s">
        <v>28</v>
      </c>
      <c r="I1147" s="1" t="s">
        <v>853</v>
      </c>
      <c r="J1147" s="4">
        <v>43009.0</v>
      </c>
      <c r="K1147" s="1">
        <v>100.0</v>
      </c>
      <c r="L1147" s="1">
        <v>100.0</v>
      </c>
      <c r="M1147" s="1">
        <v>1470.0</v>
      </c>
    </row>
    <row r="1148">
      <c r="A1148" s="1" t="s">
        <v>1306</v>
      </c>
      <c r="B1148" s="3" t="s">
        <v>1307</v>
      </c>
      <c r="C1148" s="1" t="s">
        <v>16</v>
      </c>
      <c r="D1148" s="1" t="s">
        <v>28</v>
      </c>
      <c r="E1148" s="1" t="s">
        <v>813</v>
      </c>
      <c r="F1148" s="1" t="str">
        <f>IFERROR(__xludf.DUMMYFUNCTION("SPLIT(E1148,""&gt;"")"),"Japanese Rarepepe")</f>
        <v>Japanese Rarepepe</v>
      </c>
      <c r="G1148" s="1" t="str">
        <f>IFERROR(__xludf.DUMMYFUNCTION("""COMPUTED_VALUE"""),"Series 31")</f>
        <v>Series 31</v>
      </c>
      <c r="H1148" s="1" t="s">
        <v>28</v>
      </c>
      <c r="I1148" s="1" t="s">
        <v>782</v>
      </c>
      <c r="J1148" s="4">
        <v>43101.0</v>
      </c>
      <c r="K1148" s="1">
        <v>100.0</v>
      </c>
      <c r="L1148" s="1">
        <v>100.0</v>
      </c>
      <c r="M1148" s="1">
        <v>1503.0</v>
      </c>
    </row>
    <row r="1149" hidden="1">
      <c r="A1149" s="1" t="s">
        <v>1306</v>
      </c>
      <c r="B1149" s="3" t="s">
        <v>2142</v>
      </c>
      <c r="C1149" s="1" t="s">
        <v>1569</v>
      </c>
      <c r="D1149" s="1" t="s">
        <v>28</v>
      </c>
      <c r="E1149" s="1" t="s">
        <v>813</v>
      </c>
      <c r="F1149" s="1"/>
      <c r="G1149" s="1"/>
      <c r="H1149" s="1" t="s">
        <v>28</v>
      </c>
      <c r="I1149" s="1" t="s">
        <v>782</v>
      </c>
      <c r="J1149" s="4">
        <v>43101.0</v>
      </c>
      <c r="K1149" s="1">
        <v>100.0</v>
      </c>
      <c r="L1149" s="1">
        <v>100.0</v>
      </c>
      <c r="M1149" s="1">
        <v>1503.0</v>
      </c>
    </row>
    <row r="1150">
      <c r="A1150" s="1" t="s">
        <v>1308</v>
      </c>
      <c r="B1150" s="3" t="s">
        <v>1309</v>
      </c>
      <c r="C1150" s="1" t="s">
        <v>16</v>
      </c>
      <c r="D1150" s="1" t="s">
        <v>28</v>
      </c>
      <c r="E1150" s="1" t="s">
        <v>822</v>
      </c>
      <c r="F1150" s="1" t="str">
        <f>IFERROR(__xludf.DUMMYFUNCTION("SPLIT(E1150,""&gt;"")"),"Japanese Rarepepe")</f>
        <v>Japanese Rarepepe</v>
      </c>
      <c r="G1150" s="1" t="str">
        <f>IFERROR(__xludf.DUMMYFUNCTION("""COMPUTED_VALUE"""),"Series 35")</f>
        <v>Series 35</v>
      </c>
      <c r="H1150" s="1" t="s">
        <v>28</v>
      </c>
      <c r="I1150" s="1" t="s">
        <v>823</v>
      </c>
      <c r="J1150" s="4">
        <v>43160.0</v>
      </c>
      <c r="K1150" s="1">
        <v>100.0</v>
      </c>
      <c r="L1150" s="1">
        <v>100.0</v>
      </c>
      <c r="M1150" s="1">
        <v>1749.0</v>
      </c>
    </row>
    <row r="1151" hidden="1">
      <c r="A1151" s="1" t="s">
        <v>1308</v>
      </c>
      <c r="B1151" s="3" t="s">
        <v>2143</v>
      </c>
      <c r="C1151" s="1" t="s">
        <v>1569</v>
      </c>
      <c r="D1151" s="1" t="s">
        <v>28</v>
      </c>
      <c r="E1151" s="1" t="s">
        <v>822</v>
      </c>
      <c r="F1151" s="1"/>
      <c r="G1151" s="1"/>
      <c r="H1151" s="1" t="s">
        <v>28</v>
      </c>
      <c r="I1151" s="1" t="s">
        <v>823</v>
      </c>
      <c r="J1151" s="4">
        <v>43160.0</v>
      </c>
      <c r="K1151" s="1">
        <v>100.0</v>
      </c>
      <c r="L1151" s="1">
        <v>100.0</v>
      </c>
      <c r="M1151" s="1">
        <v>1749.0</v>
      </c>
    </row>
    <row r="1152">
      <c r="A1152" s="1" t="s">
        <v>1310</v>
      </c>
      <c r="B1152" s="3" t="s">
        <v>1311</v>
      </c>
      <c r="C1152" s="1" t="s">
        <v>16</v>
      </c>
      <c r="D1152" s="1" t="s">
        <v>53</v>
      </c>
      <c r="E1152" s="1" t="s">
        <v>1312</v>
      </c>
      <c r="F1152" s="1" t="str">
        <f>IFERROR(__xludf.DUMMYFUNCTION("SPLIT(E1152,""&gt;"")"),"Japanese Corn")</f>
        <v>Japanese Corn</v>
      </c>
      <c r="G1152" s="1" t="str">
        <f>IFERROR(__xludf.DUMMYFUNCTION("""COMPUTED_VALUE"""),"Harvest #1")</f>
        <v>Harvest #1</v>
      </c>
      <c r="H1152" s="1" t="s">
        <v>53</v>
      </c>
      <c r="I1152" s="1" t="s">
        <v>1313</v>
      </c>
      <c r="J1152" s="4">
        <v>43191.0</v>
      </c>
      <c r="K1152" s="1">
        <v>54.0</v>
      </c>
      <c r="L1152" s="1">
        <v>53.0</v>
      </c>
      <c r="M1152" s="1">
        <v>40.0</v>
      </c>
    </row>
    <row r="1153" hidden="1">
      <c r="A1153" s="1" t="s">
        <v>1310</v>
      </c>
      <c r="B1153" s="3" t="s">
        <v>2144</v>
      </c>
      <c r="C1153" s="1" t="s">
        <v>1569</v>
      </c>
      <c r="D1153" s="1" t="s">
        <v>53</v>
      </c>
      <c r="E1153" s="1" t="s">
        <v>1312</v>
      </c>
      <c r="F1153" s="1"/>
      <c r="G1153" s="1"/>
      <c r="H1153" s="1" t="s">
        <v>53</v>
      </c>
      <c r="I1153" s="1" t="s">
        <v>1313</v>
      </c>
      <c r="J1153" s="4">
        <v>43191.0</v>
      </c>
      <c r="K1153" s="1">
        <v>54.0</v>
      </c>
      <c r="L1153" s="1">
        <v>53.0</v>
      </c>
      <c r="M1153" s="1">
        <v>40.0</v>
      </c>
    </row>
    <row r="1154">
      <c r="A1154" s="1" t="s">
        <v>1315</v>
      </c>
      <c r="B1154" s="3" t="s">
        <v>1316</v>
      </c>
      <c r="C1154" s="1" t="s">
        <v>16</v>
      </c>
      <c r="D1154" s="1" t="s">
        <v>53</v>
      </c>
      <c r="E1154" s="1" t="s">
        <v>1312</v>
      </c>
      <c r="F1154" s="1" t="str">
        <f>IFERROR(__xludf.DUMMYFUNCTION("SPLIT(E1154,""&gt;"")"),"Japanese Corn")</f>
        <v>Japanese Corn</v>
      </c>
      <c r="G1154" s="1" t="str">
        <f>IFERROR(__xludf.DUMMYFUNCTION("""COMPUTED_VALUE"""),"Harvest #1")</f>
        <v>Harvest #1</v>
      </c>
      <c r="H1154" s="1" t="s">
        <v>53</v>
      </c>
      <c r="I1154" s="1" t="s">
        <v>1317</v>
      </c>
      <c r="J1154" s="4">
        <v>43221.0</v>
      </c>
      <c r="K1154" s="1">
        <v>54.0</v>
      </c>
      <c r="L1154" s="1">
        <v>53.0</v>
      </c>
      <c r="M1154" s="1">
        <v>59.0</v>
      </c>
    </row>
    <row r="1155" hidden="1">
      <c r="A1155" s="1" t="s">
        <v>1315</v>
      </c>
      <c r="B1155" s="3" t="s">
        <v>2145</v>
      </c>
      <c r="C1155" s="1" t="s">
        <v>1569</v>
      </c>
      <c r="D1155" s="1" t="s">
        <v>53</v>
      </c>
      <c r="E1155" s="1" t="s">
        <v>1312</v>
      </c>
      <c r="F1155" s="1"/>
      <c r="G1155" s="1"/>
      <c r="H1155" s="1" t="s">
        <v>53</v>
      </c>
      <c r="I1155" s="1" t="s">
        <v>1317</v>
      </c>
      <c r="J1155" s="4">
        <v>43221.0</v>
      </c>
      <c r="K1155" s="1">
        <v>54.0</v>
      </c>
      <c r="L1155" s="1">
        <v>53.0</v>
      </c>
      <c r="M1155" s="1">
        <v>59.0</v>
      </c>
    </row>
    <row r="1156">
      <c r="A1156" s="1" t="s">
        <v>1318</v>
      </c>
      <c r="B1156" s="3" t="s">
        <v>1319</v>
      </c>
      <c r="C1156" s="1" t="s">
        <v>16</v>
      </c>
      <c r="D1156" s="1" t="s">
        <v>53</v>
      </c>
      <c r="E1156" s="1" t="s">
        <v>1320</v>
      </c>
      <c r="F1156" s="1" t="str">
        <f>IFERROR(__xludf.DUMMYFUNCTION("SPLIT(E1156,""&gt;"")"),"Japanese Corn")</f>
        <v>Japanese Corn</v>
      </c>
      <c r="G1156" s="1" t="str">
        <f>IFERROR(__xludf.DUMMYFUNCTION("""COMPUTED_VALUE"""),"Harvest #14")</f>
        <v>Harvest #14</v>
      </c>
      <c r="H1156" s="1" t="s">
        <v>53</v>
      </c>
      <c r="I1156" s="1" t="s">
        <v>29</v>
      </c>
      <c r="J1156" s="4">
        <v>44440.0</v>
      </c>
      <c r="K1156" s="1">
        <v>30.0</v>
      </c>
      <c r="L1156" s="1">
        <v>29.0</v>
      </c>
      <c r="M1156" s="1">
        <v>234.0</v>
      </c>
    </row>
    <row r="1157" hidden="1">
      <c r="A1157" s="1" t="s">
        <v>1318</v>
      </c>
      <c r="B1157" s="3" t="s">
        <v>2146</v>
      </c>
      <c r="C1157" s="1" t="s">
        <v>1569</v>
      </c>
      <c r="D1157" s="1" t="s">
        <v>53</v>
      </c>
      <c r="E1157" s="1" t="s">
        <v>1320</v>
      </c>
      <c r="F1157" s="1"/>
      <c r="G1157" s="1"/>
      <c r="H1157" s="1" t="s">
        <v>53</v>
      </c>
      <c r="I1157" s="1" t="s">
        <v>29</v>
      </c>
      <c r="J1157" s="4">
        <v>44440.0</v>
      </c>
      <c r="K1157" s="1">
        <v>30.0</v>
      </c>
      <c r="L1157" s="1">
        <v>29.0</v>
      </c>
      <c r="M1157" s="1">
        <v>234.0</v>
      </c>
    </row>
    <row r="1158">
      <c r="A1158" s="1" t="s">
        <v>1321</v>
      </c>
      <c r="B1158" s="3" t="s">
        <v>1322</v>
      </c>
      <c r="C1158" s="1" t="s">
        <v>16</v>
      </c>
      <c r="D1158" s="1" t="s">
        <v>53</v>
      </c>
      <c r="E1158" s="1" t="s">
        <v>1320</v>
      </c>
      <c r="F1158" s="1" t="str">
        <f>IFERROR(__xludf.DUMMYFUNCTION("SPLIT(E1158,""&gt;"")"),"Japanese Corn")</f>
        <v>Japanese Corn</v>
      </c>
      <c r="G1158" s="1" t="str">
        <f>IFERROR(__xludf.DUMMYFUNCTION("""COMPUTED_VALUE"""),"Harvest #14")</f>
        <v>Harvest #14</v>
      </c>
      <c r="H1158" s="1" t="s">
        <v>53</v>
      </c>
      <c r="I1158" s="1" t="s">
        <v>1323</v>
      </c>
      <c r="J1158" s="4">
        <v>44409.0</v>
      </c>
      <c r="K1158" s="1">
        <v>30.0</v>
      </c>
      <c r="L1158" s="1">
        <v>29.0</v>
      </c>
      <c r="M1158" s="1">
        <v>239.0</v>
      </c>
    </row>
    <row r="1159" hidden="1">
      <c r="A1159" s="1" t="s">
        <v>1321</v>
      </c>
      <c r="B1159" s="3" t="s">
        <v>2147</v>
      </c>
      <c r="C1159" s="1" t="s">
        <v>1569</v>
      </c>
      <c r="D1159" s="1" t="s">
        <v>53</v>
      </c>
      <c r="E1159" s="1" t="s">
        <v>1320</v>
      </c>
      <c r="F1159" s="1"/>
      <c r="G1159" s="1"/>
      <c r="H1159" s="1" t="s">
        <v>53</v>
      </c>
      <c r="I1159" s="1" t="s">
        <v>1323</v>
      </c>
      <c r="J1159" s="4">
        <v>44409.0</v>
      </c>
      <c r="K1159" s="1">
        <v>30.0</v>
      </c>
      <c r="L1159" s="1">
        <v>29.0</v>
      </c>
      <c r="M1159" s="1">
        <v>239.0</v>
      </c>
    </row>
    <row r="1160">
      <c r="A1160" s="1" t="s">
        <v>1324</v>
      </c>
      <c r="B1160" s="3" t="s">
        <v>1325</v>
      </c>
      <c r="C1160" s="1" t="s">
        <v>16</v>
      </c>
      <c r="D1160" s="1" t="s">
        <v>53</v>
      </c>
      <c r="E1160" s="1" t="s">
        <v>1320</v>
      </c>
      <c r="F1160" s="1" t="str">
        <f>IFERROR(__xludf.DUMMYFUNCTION("SPLIT(E1160,""&gt;"")"),"Japanese Corn")</f>
        <v>Japanese Corn</v>
      </c>
      <c r="G1160" s="1" t="str">
        <f>IFERROR(__xludf.DUMMYFUNCTION("""COMPUTED_VALUE"""),"Harvest #14")</f>
        <v>Harvest #14</v>
      </c>
      <c r="H1160" s="1" t="s">
        <v>53</v>
      </c>
      <c r="I1160" s="1" t="s">
        <v>29</v>
      </c>
      <c r="J1160" s="4">
        <v>44440.0</v>
      </c>
      <c r="K1160" s="1">
        <v>30.0</v>
      </c>
      <c r="L1160" s="1">
        <v>29.0</v>
      </c>
      <c r="M1160" s="1">
        <v>240.0</v>
      </c>
    </row>
    <row r="1161" hidden="1">
      <c r="A1161" s="1" t="s">
        <v>1324</v>
      </c>
      <c r="B1161" s="3" t="s">
        <v>2148</v>
      </c>
      <c r="C1161" s="1" t="s">
        <v>1569</v>
      </c>
      <c r="D1161" s="1" t="s">
        <v>53</v>
      </c>
      <c r="E1161" s="1" t="s">
        <v>1320</v>
      </c>
      <c r="F1161" s="1"/>
      <c r="G1161" s="1"/>
      <c r="H1161" s="1" t="s">
        <v>53</v>
      </c>
      <c r="I1161" s="1" t="s">
        <v>29</v>
      </c>
      <c r="J1161" s="4">
        <v>44440.0</v>
      </c>
      <c r="K1161" s="1">
        <v>30.0</v>
      </c>
      <c r="L1161" s="1">
        <v>29.0</v>
      </c>
      <c r="M1161" s="1">
        <v>240.0</v>
      </c>
    </row>
    <row r="1162">
      <c r="A1162" s="1" t="s">
        <v>1326</v>
      </c>
      <c r="B1162" s="3" t="s">
        <v>1327</v>
      </c>
      <c r="C1162" s="1" t="s">
        <v>16</v>
      </c>
      <c r="D1162" s="1" t="s">
        <v>53</v>
      </c>
      <c r="E1162" s="1" t="s">
        <v>1328</v>
      </c>
      <c r="F1162" s="1" t="str">
        <f>IFERROR(__xludf.DUMMYFUNCTION("SPLIT(E1162,""&gt;"")"),"Japanese Corn")</f>
        <v>Japanese Corn</v>
      </c>
      <c r="G1162" s="1" t="str">
        <f>IFERROR(__xludf.DUMMYFUNCTION("""COMPUTED_VALUE"""),"Harvest #15")</f>
        <v>Harvest #15</v>
      </c>
      <c r="H1162" s="1" t="s">
        <v>53</v>
      </c>
      <c r="I1162" s="1" t="s">
        <v>19</v>
      </c>
      <c r="J1162" s="4">
        <v>44501.0</v>
      </c>
      <c r="K1162" s="1">
        <v>30.0</v>
      </c>
      <c r="L1162" s="1">
        <v>29.0</v>
      </c>
      <c r="M1162" s="1">
        <v>311.0</v>
      </c>
    </row>
    <row r="1163" hidden="1">
      <c r="A1163" s="1" t="s">
        <v>1326</v>
      </c>
      <c r="B1163" s="3" t="s">
        <v>2149</v>
      </c>
      <c r="C1163" s="1" t="s">
        <v>1569</v>
      </c>
      <c r="D1163" s="1" t="s">
        <v>53</v>
      </c>
      <c r="E1163" s="1" t="s">
        <v>1328</v>
      </c>
      <c r="F1163" s="1"/>
      <c r="G1163" s="1"/>
      <c r="H1163" s="1" t="s">
        <v>53</v>
      </c>
      <c r="I1163" s="1" t="s">
        <v>19</v>
      </c>
      <c r="J1163" s="4">
        <v>44501.0</v>
      </c>
      <c r="K1163" s="1">
        <v>30.0</v>
      </c>
      <c r="L1163" s="1">
        <v>29.0</v>
      </c>
      <c r="M1163" s="1">
        <v>311.0</v>
      </c>
    </row>
    <row r="1164">
      <c r="A1164" s="1" t="s">
        <v>1329</v>
      </c>
      <c r="B1164" s="3" t="s">
        <v>1330</v>
      </c>
      <c r="C1164" s="1" t="s">
        <v>16</v>
      </c>
      <c r="D1164" s="1" t="s">
        <v>53</v>
      </c>
      <c r="E1164" s="1" t="s">
        <v>1328</v>
      </c>
      <c r="F1164" s="1" t="str">
        <f>IFERROR(__xludf.DUMMYFUNCTION("SPLIT(E1164,""&gt;"")"),"Japanese Corn")</f>
        <v>Japanese Corn</v>
      </c>
      <c r="G1164" s="1" t="str">
        <f>IFERROR(__xludf.DUMMYFUNCTION("""COMPUTED_VALUE"""),"Harvest #15")</f>
        <v>Harvest #15</v>
      </c>
      <c r="H1164" s="1" t="s">
        <v>53</v>
      </c>
      <c r="I1164" s="1" t="s">
        <v>19</v>
      </c>
      <c r="J1164" s="4">
        <v>44501.0</v>
      </c>
      <c r="K1164" s="1">
        <v>30.0</v>
      </c>
      <c r="L1164" s="1">
        <v>29.0</v>
      </c>
      <c r="M1164" s="1">
        <v>315.0</v>
      </c>
    </row>
    <row r="1165" hidden="1">
      <c r="A1165" s="1" t="s">
        <v>1329</v>
      </c>
      <c r="B1165" s="3" t="s">
        <v>2150</v>
      </c>
      <c r="C1165" s="1" t="s">
        <v>1569</v>
      </c>
      <c r="D1165" s="1" t="s">
        <v>53</v>
      </c>
      <c r="E1165" s="1" t="s">
        <v>1328</v>
      </c>
      <c r="F1165" s="1"/>
      <c r="G1165" s="1"/>
      <c r="H1165" s="1" t="s">
        <v>53</v>
      </c>
      <c r="I1165" s="1" t="s">
        <v>19</v>
      </c>
      <c r="J1165" s="4">
        <v>44501.0</v>
      </c>
      <c r="K1165" s="1">
        <v>30.0</v>
      </c>
      <c r="L1165" s="1">
        <v>29.0</v>
      </c>
      <c r="M1165" s="1">
        <v>315.0</v>
      </c>
    </row>
    <row r="1166">
      <c r="A1166" s="1" t="s">
        <v>1331</v>
      </c>
      <c r="B1166" s="3" t="s">
        <v>1332</v>
      </c>
      <c r="C1166" s="1" t="s">
        <v>16</v>
      </c>
      <c r="D1166" s="1" t="s">
        <v>53</v>
      </c>
      <c r="E1166" s="1" t="s">
        <v>1328</v>
      </c>
      <c r="F1166" s="1" t="str">
        <f>IFERROR(__xludf.DUMMYFUNCTION("SPLIT(E1166,""&gt;"")"),"Japanese Corn")</f>
        <v>Japanese Corn</v>
      </c>
      <c r="G1166" s="1" t="str">
        <f>IFERROR(__xludf.DUMMYFUNCTION("""COMPUTED_VALUE"""),"Harvest #15")</f>
        <v>Harvest #15</v>
      </c>
      <c r="H1166" s="1" t="s">
        <v>53</v>
      </c>
      <c r="I1166" s="1" t="s">
        <v>56</v>
      </c>
      <c r="J1166" s="4">
        <v>44531.0</v>
      </c>
      <c r="K1166" s="1">
        <v>30.0</v>
      </c>
      <c r="L1166" s="1">
        <v>29.0</v>
      </c>
      <c r="M1166" s="1">
        <v>344.0</v>
      </c>
    </row>
    <row r="1167" hidden="1">
      <c r="A1167" s="1" t="s">
        <v>1331</v>
      </c>
      <c r="B1167" s="3" t="s">
        <v>2151</v>
      </c>
      <c r="C1167" s="1" t="s">
        <v>1569</v>
      </c>
      <c r="D1167" s="1" t="s">
        <v>53</v>
      </c>
      <c r="E1167" s="1" t="s">
        <v>1328</v>
      </c>
      <c r="F1167" s="1"/>
      <c r="G1167" s="1"/>
      <c r="H1167" s="1" t="s">
        <v>53</v>
      </c>
      <c r="I1167" s="1" t="s">
        <v>56</v>
      </c>
      <c r="J1167" s="4">
        <v>44531.0</v>
      </c>
      <c r="K1167" s="1">
        <v>30.0</v>
      </c>
      <c r="L1167" s="1">
        <v>29.0</v>
      </c>
      <c r="M1167" s="1">
        <v>344.0</v>
      </c>
    </row>
    <row r="1168">
      <c r="A1168" s="1" t="s">
        <v>1333</v>
      </c>
      <c r="B1168" s="3" t="s">
        <v>1334</v>
      </c>
      <c r="C1168" s="1" t="s">
        <v>16</v>
      </c>
      <c r="D1168" s="1" t="s">
        <v>53</v>
      </c>
      <c r="E1168" s="1" t="s">
        <v>1328</v>
      </c>
      <c r="F1168" s="1" t="str">
        <f>IFERROR(__xludf.DUMMYFUNCTION("SPLIT(E1168,""&gt;"")"),"Japanese Corn")</f>
        <v>Japanese Corn</v>
      </c>
      <c r="G1168" s="1" t="str">
        <f>IFERROR(__xludf.DUMMYFUNCTION("""COMPUTED_VALUE"""),"Harvest #15")</f>
        <v>Harvest #15</v>
      </c>
      <c r="H1168" s="1" t="s">
        <v>53</v>
      </c>
      <c r="I1168" s="1" t="s">
        <v>56</v>
      </c>
      <c r="J1168" s="4">
        <v>44531.0</v>
      </c>
      <c r="K1168" s="1">
        <v>31.0</v>
      </c>
      <c r="L1168" s="1">
        <v>30.0</v>
      </c>
      <c r="M1168" s="1">
        <v>346.0</v>
      </c>
    </row>
    <row r="1169" hidden="1">
      <c r="A1169" s="1" t="s">
        <v>1333</v>
      </c>
      <c r="B1169" s="3" t="s">
        <v>2152</v>
      </c>
      <c r="C1169" s="1" t="s">
        <v>1569</v>
      </c>
      <c r="D1169" s="1" t="s">
        <v>53</v>
      </c>
      <c r="E1169" s="1" t="s">
        <v>1328</v>
      </c>
      <c r="F1169" s="1"/>
      <c r="G1169" s="1"/>
      <c r="H1169" s="1" t="s">
        <v>53</v>
      </c>
      <c r="I1169" s="1" t="s">
        <v>56</v>
      </c>
      <c r="J1169" s="4">
        <v>44531.0</v>
      </c>
      <c r="K1169" s="1">
        <v>31.0</v>
      </c>
      <c r="L1169" s="1">
        <v>30.0</v>
      </c>
      <c r="M1169" s="1">
        <v>346.0</v>
      </c>
    </row>
    <row r="1170">
      <c r="A1170" s="1" t="s">
        <v>1335</v>
      </c>
      <c r="B1170" s="3" t="s">
        <v>1336</v>
      </c>
      <c r="C1170" s="1" t="s">
        <v>16</v>
      </c>
      <c r="D1170" s="1" t="s">
        <v>53</v>
      </c>
      <c r="E1170" s="1" t="s">
        <v>1337</v>
      </c>
      <c r="F1170" s="1" t="str">
        <f>IFERROR(__xludf.DUMMYFUNCTION("SPLIT(E1170,""&gt;"")"),"Japanese Corn")</f>
        <v>Japanese Corn</v>
      </c>
      <c r="G1170" s="1" t="str">
        <f>IFERROR(__xludf.DUMMYFUNCTION("""COMPUTED_VALUE"""),"Harvest #16")</f>
        <v>Harvest #16</v>
      </c>
      <c r="H1170" s="1" t="s">
        <v>53</v>
      </c>
      <c r="I1170" s="1" t="s">
        <v>1338</v>
      </c>
      <c r="J1170" s="4">
        <v>44621.0</v>
      </c>
      <c r="K1170" s="1">
        <v>100.0</v>
      </c>
      <c r="L1170" s="1">
        <v>99.0</v>
      </c>
      <c r="M1170" s="1">
        <v>363.0</v>
      </c>
    </row>
    <row r="1171" hidden="1">
      <c r="A1171" s="1" t="s">
        <v>1335</v>
      </c>
      <c r="B1171" s="3" t="s">
        <v>2153</v>
      </c>
      <c r="C1171" s="1" t="s">
        <v>1569</v>
      </c>
      <c r="D1171" s="1" t="s">
        <v>53</v>
      </c>
      <c r="E1171" s="1" t="s">
        <v>1337</v>
      </c>
      <c r="F1171" s="1"/>
      <c r="G1171" s="1"/>
      <c r="H1171" s="1" t="s">
        <v>53</v>
      </c>
      <c r="I1171" s="1" t="s">
        <v>1338</v>
      </c>
      <c r="J1171" s="4">
        <v>44621.0</v>
      </c>
      <c r="K1171" s="1">
        <v>100.0</v>
      </c>
      <c r="L1171" s="1">
        <v>99.0</v>
      </c>
      <c r="M1171" s="1">
        <v>363.0</v>
      </c>
    </row>
    <row r="1172">
      <c r="A1172" s="1" t="s">
        <v>1339</v>
      </c>
      <c r="B1172" s="3" t="s">
        <v>1340</v>
      </c>
      <c r="C1172" s="1" t="s">
        <v>16</v>
      </c>
      <c r="D1172" s="1" t="s">
        <v>28</v>
      </c>
      <c r="E1172" s="1" t="s">
        <v>1312</v>
      </c>
      <c r="F1172" s="1" t="str">
        <f>IFERROR(__xludf.DUMMYFUNCTION("SPLIT(E1172,""&gt;"")"),"Japanese Corn")</f>
        <v>Japanese Corn</v>
      </c>
      <c r="G1172" s="1" t="str">
        <f>IFERROR(__xludf.DUMMYFUNCTION("""COMPUTED_VALUE"""),"Harvest #1")</f>
        <v>Harvest #1</v>
      </c>
      <c r="H1172" s="1" t="s">
        <v>28</v>
      </c>
      <c r="I1172" s="1" t="s">
        <v>1317</v>
      </c>
      <c r="J1172" s="4">
        <v>43221.0</v>
      </c>
      <c r="K1172" s="1">
        <v>50.0</v>
      </c>
      <c r="L1172" s="1">
        <v>49.0</v>
      </c>
      <c r="M1172" s="1">
        <v>46.0</v>
      </c>
    </row>
    <row r="1173" hidden="1">
      <c r="A1173" s="1" t="s">
        <v>1339</v>
      </c>
      <c r="B1173" s="3" t="s">
        <v>2154</v>
      </c>
      <c r="C1173" s="1" t="s">
        <v>1569</v>
      </c>
      <c r="D1173" s="1" t="s">
        <v>28</v>
      </c>
      <c r="E1173" s="1" t="s">
        <v>1312</v>
      </c>
      <c r="F1173" s="1"/>
      <c r="G1173" s="1"/>
      <c r="H1173" s="1" t="s">
        <v>28</v>
      </c>
      <c r="I1173" s="1" t="s">
        <v>1317</v>
      </c>
      <c r="J1173" s="4">
        <v>43221.0</v>
      </c>
      <c r="K1173" s="1">
        <v>50.0</v>
      </c>
      <c r="L1173" s="1">
        <v>49.0</v>
      </c>
      <c r="M1173" s="1">
        <v>46.0</v>
      </c>
    </row>
    <row r="1174">
      <c r="A1174" s="1" t="s">
        <v>1341</v>
      </c>
      <c r="B1174" s="3" t="s">
        <v>1342</v>
      </c>
      <c r="C1174" s="1" t="s">
        <v>16</v>
      </c>
      <c r="D1174" s="1" t="s">
        <v>28</v>
      </c>
      <c r="E1174" s="1" t="s">
        <v>1343</v>
      </c>
      <c r="F1174" s="1" t="str">
        <f>IFERROR(__xludf.DUMMYFUNCTION("SPLIT(E1174,""&gt;"")"),"Japanese Corn")</f>
        <v>Japanese Corn</v>
      </c>
      <c r="G1174" s="1" t="str">
        <f>IFERROR(__xludf.DUMMYFUNCTION("""COMPUTED_VALUE"""),"Harvest #2")</f>
        <v>Harvest #2</v>
      </c>
      <c r="H1174" s="1" t="s">
        <v>28</v>
      </c>
      <c r="I1174" s="1" t="s">
        <v>1317</v>
      </c>
      <c r="J1174" s="4">
        <v>43221.0</v>
      </c>
      <c r="K1174" s="1">
        <v>1000.0</v>
      </c>
      <c r="L1174" s="1">
        <v>999.0</v>
      </c>
      <c r="M1174" s="1">
        <v>73.0</v>
      </c>
    </row>
    <row r="1175" hidden="1">
      <c r="A1175" s="1" t="s">
        <v>1341</v>
      </c>
      <c r="B1175" s="3" t="s">
        <v>2155</v>
      </c>
      <c r="C1175" s="1" t="s">
        <v>1569</v>
      </c>
      <c r="D1175" s="1" t="s">
        <v>28</v>
      </c>
      <c r="E1175" s="1" t="s">
        <v>1343</v>
      </c>
      <c r="F1175" s="1"/>
      <c r="G1175" s="1"/>
      <c r="H1175" s="1" t="s">
        <v>28</v>
      </c>
      <c r="I1175" s="1" t="s">
        <v>1317</v>
      </c>
      <c r="J1175" s="4">
        <v>43221.0</v>
      </c>
      <c r="K1175" s="1">
        <v>1000.0</v>
      </c>
      <c r="L1175" s="1">
        <v>999.0</v>
      </c>
      <c r="M1175" s="1">
        <v>73.0</v>
      </c>
    </row>
    <row r="1176">
      <c r="A1176" s="1" t="s">
        <v>1344</v>
      </c>
      <c r="B1176" s="3" t="s">
        <v>1345</v>
      </c>
      <c r="C1176" s="1" t="s">
        <v>16</v>
      </c>
      <c r="D1176" s="1" t="s">
        <v>28</v>
      </c>
      <c r="E1176" s="1" t="s">
        <v>1328</v>
      </c>
      <c r="F1176" s="1" t="str">
        <f>IFERROR(__xludf.DUMMYFUNCTION("SPLIT(E1176,""&gt;"")"),"Japanese Corn")</f>
        <v>Japanese Corn</v>
      </c>
      <c r="G1176" s="1" t="str">
        <f>IFERROR(__xludf.DUMMYFUNCTION("""COMPUTED_VALUE"""),"Harvest #15")</f>
        <v>Harvest #15</v>
      </c>
      <c r="H1176" s="1" t="s">
        <v>28</v>
      </c>
      <c r="I1176" s="1" t="s">
        <v>35</v>
      </c>
      <c r="J1176" s="4">
        <v>44470.0</v>
      </c>
      <c r="K1176" s="1">
        <v>10.0</v>
      </c>
      <c r="L1176" s="1">
        <v>9.0</v>
      </c>
      <c r="M1176" s="1">
        <v>256.0</v>
      </c>
    </row>
    <row r="1177" hidden="1">
      <c r="A1177" s="1" t="s">
        <v>1344</v>
      </c>
      <c r="B1177" s="3" t="s">
        <v>2156</v>
      </c>
      <c r="C1177" s="1" t="s">
        <v>1569</v>
      </c>
      <c r="D1177" s="1" t="s">
        <v>28</v>
      </c>
      <c r="E1177" s="1" t="s">
        <v>1328</v>
      </c>
      <c r="F1177" s="1"/>
      <c r="G1177" s="1"/>
      <c r="H1177" s="1" t="s">
        <v>28</v>
      </c>
      <c r="I1177" s="1" t="s">
        <v>35</v>
      </c>
      <c r="J1177" s="4">
        <v>44470.0</v>
      </c>
      <c r="K1177" s="1">
        <v>10.0</v>
      </c>
      <c r="L1177" s="1">
        <v>9.0</v>
      </c>
      <c r="M1177" s="1">
        <v>256.0</v>
      </c>
    </row>
    <row r="1178">
      <c r="A1178" s="1" t="s">
        <v>1346</v>
      </c>
      <c r="B1178" s="3" t="s">
        <v>1347</v>
      </c>
      <c r="C1178" s="1" t="s">
        <v>16</v>
      </c>
      <c r="D1178" s="1" t="s">
        <v>28</v>
      </c>
      <c r="E1178" s="1" t="s">
        <v>1328</v>
      </c>
      <c r="F1178" s="1" t="str">
        <f>IFERROR(__xludf.DUMMYFUNCTION("SPLIT(E1178,""&gt;"")"),"Japanese Corn")</f>
        <v>Japanese Corn</v>
      </c>
      <c r="G1178" s="1" t="str">
        <f>IFERROR(__xludf.DUMMYFUNCTION("""COMPUTED_VALUE"""),"Harvest #15")</f>
        <v>Harvest #15</v>
      </c>
      <c r="H1178" s="1" t="s">
        <v>28</v>
      </c>
      <c r="I1178" s="1" t="s">
        <v>19</v>
      </c>
      <c r="J1178" s="4">
        <v>44501.0</v>
      </c>
      <c r="K1178" s="1">
        <v>50.0</v>
      </c>
      <c r="L1178" s="1">
        <v>49.0</v>
      </c>
      <c r="M1178" s="1">
        <v>304.0</v>
      </c>
    </row>
    <row r="1179" hidden="1">
      <c r="A1179" s="1" t="s">
        <v>1346</v>
      </c>
      <c r="B1179" s="3" t="s">
        <v>2157</v>
      </c>
      <c r="C1179" s="1" t="s">
        <v>1569</v>
      </c>
      <c r="D1179" s="1" t="s">
        <v>28</v>
      </c>
      <c r="E1179" s="1" t="s">
        <v>1328</v>
      </c>
      <c r="F1179" s="1"/>
      <c r="G1179" s="1"/>
      <c r="H1179" s="1" t="s">
        <v>28</v>
      </c>
      <c r="I1179" s="1" t="s">
        <v>19</v>
      </c>
      <c r="J1179" s="4">
        <v>44501.0</v>
      </c>
      <c r="K1179" s="1">
        <v>50.0</v>
      </c>
      <c r="L1179" s="1">
        <v>49.0</v>
      </c>
      <c r="M1179" s="1">
        <v>304.0</v>
      </c>
    </row>
    <row r="1180">
      <c r="A1180" s="1" t="s">
        <v>1348</v>
      </c>
      <c r="B1180" s="3" t="s">
        <v>1349</v>
      </c>
      <c r="C1180" s="1" t="s">
        <v>16</v>
      </c>
      <c r="D1180" s="1" t="s">
        <v>28</v>
      </c>
      <c r="E1180" s="1" t="s">
        <v>1328</v>
      </c>
      <c r="F1180" s="1" t="str">
        <f>IFERROR(__xludf.DUMMYFUNCTION("SPLIT(E1180,""&gt;"")"),"Japanese Corn")</f>
        <v>Japanese Corn</v>
      </c>
      <c r="G1180" s="1" t="str">
        <f>IFERROR(__xludf.DUMMYFUNCTION("""COMPUTED_VALUE"""),"Harvest #15")</f>
        <v>Harvest #15</v>
      </c>
      <c r="H1180" s="1" t="s">
        <v>28</v>
      </c>
      <c r="I1180" s="1" t="s">
        <v>19</v>
      </c>
      <c r="J1180" s="4">
        <v>44501.0</v>
      </c>
      <c r="K1180" s="1">
        <v>30.0</v>
      </c>
      <c r="L1180" s="1">
        <v>29.0</v>
      </c>
      <c r="M1180" s="1">
        <v>305.0</v>
      </c>
    </row>
    <row r="1181" hidden="1">
      <c r="A1181" s="1" t="s">
        <v>1348</v>
      </c>
      <c r="B1181" s="3" t="s">
        <v>2158</v>
      </c>
      <c r="C1181" s="1" t="s">
        <v>1569</v>
      </c>
      <c r="D1181" s="1" t="s">
        <v>28</v>
      </c>
      <c r="E1181" s="1" t="s">
        <v>1328</v>
      </c>
      <c r="F1181" s="1"/>
      <c r="G1181" s="1"/>
      <c r="H1181" s="1" t="s">
        <v>28</v>
      </c>
      <c r="I1181" s="1" t="s">
        <v>19</v>
      </c>
      <c r="J1181" s="4">
        <v>44501.0</v>
      </c>
      <c r="K1181" s="1">
        <v>30.0</v>
      </c>
      <c r="L1181" s="1">
        <v>29.0</v>
      </c>
      <c r="M1181" s="1">
        <v>305.0</v>
      </c>
    </row>
    <row r="1182">
      <c r="A1182" s="1" t="s">
        <v>1350</v>
      </c>
      <c r="B1182" s="3" t="s">
        <v>1351</v>
      </c>
      <c r="C1182" s="1" t="s">
        <v>16</v>
      </c>
      <c r="D1182" s="1" t="s">
        <v>422</v>
      </c>
      <c r="E1182" s="1" t="s">
        <v>1328</v>
      </c>
      <c r="F1182" s="1" t="str">
        <f>IFERROR(__xludf.DUMMYFUNCTION("SPLIT(E1182,""&gt;"")"),"Japanese Corn")</f>
        <v>Japanese Corn</v>
      </c>
      <c r="G1182" s="1" t="str">
        <f>IFERROR(__xludf.DUMMYFUNCTION("""COMPUTED_VALUE"""),"Harvest #15")</f>
        <v>Harvest #15</v>
      </c>
      <c r="H1182" s="1" t="s">
        <v>422</v>
      </c>
      <c r="I1182" s="1" t="s">
        <v>29</v>
      </c>
      <c r="J1182" s="4">
        <v>44440.0</v>
      </c>
      <c r="K1182" s="1">
        <v>30.0</v>
      </c>
      <c r="L1182" s="1">
        <v>29.0</v>
      </c>
      <c r="M1182" s="1">
        <v>243.0</v>
      </c>
    </row>
    <row r="1183" hidden="1">
      <c r="A1183" s="1" t="s">
        <v>1350</v>
      </c>
      <c r="B1183" s="3" t="s">
        <v>2159</v>
      </c>
      <c r="C1183" s="1" t="s">
        <v>1569</v>
      </c>
      <c r="D1183" s="1" t="s">
        <v>422</v>
      </c>
      <c r="E1183" s="1" t="s">
        <v>1328</v>
      </c>
      <c r="F1183" s="1"/>
      <c r="G1183" s="1"/>
      <c r="H1183" s="1" t="s">
        <v>422</v>
      </c>
      <c r="I1183" s="1" t="s">
        <v>29</v>
      </c>
      <c r="J1183" s="4">
        <v>44440.0</v>
      </c>
      <c r="K1183" s="1">
        <v>30.0</v>
      </c>
      <c r="M1183" s="1">
        <v>243.0</v>
      </c>
    </row>
    <row r="1184">
      <c r="A1184" s="1" t="s">
        <v>1352</v>
      </c>
      <c r="B1184" s="3" t="s">
        <v>1353</v>
      </c>
      <c r="C1184" s="1" t="s">
        <v>16</v>
      </c>
      <c r="D1184" s="1" t="s">
        <v>422</v>
      </c>
      <c r="E1184" s="1" t="s">
        <v>1312</v>
      </c>
      <c r="F1184" s="1" t="str">
        <f>IFERROR(__xludf.DUMMYFUNCTION("SPLIT(E1184,""&gt;"")"),"Japanese Corn")</f>
        <v>Japanese Corn</v>
      </c>
      <c r="G1184" s="1" t="str">
        <f>IFERROR(__xludf.DUMMYFUNCTION("""COMPUTED_VALUE"""),"Harvest #1")</f>
        <v>Harvest #1</v>
      </c>
      <c r="H1184" s="1" t="s">
        <v>422</v>
      </c>
      <c r="I1184" s="1" t="s">
        <v>1317</v>
      </c>
      <c r="J1184" s="4">
        <v>43221.0</v>
      </c>
      <c r="K1184" s="1">
        <v>100.0</v>
      </c>
      <c r="L1184" s="1">
        <v>99.0</v>
      </c>
      <c r="M1184" s="1">
        <v>56.0</v>
      </c>
    </row>
    <row r="1185" hidden="1">
      <c r="A1185" s="1" t="s">
        <v>1352</v>
      </c>
      <c r="B1185" s="3" t="s">
        <v>2160</v>
      </c>
      <c r="C1185" s="1" t="s">
        <v>1569</v>
      </c>
      <c r="D1185" s="1" t="s">
        <v>422</v>
      </c>
      <c r="E1185" s="1" t="s">
        <v>1312</v>
      </c>
      <c r="F1185" s="1"/>
      <c r="G1185" s="1"/>
      <c r="H1185" s="1" t="s">
        <v>422</v>
      </c>
      <c r="I1185" s="1" t="s">
        <v>1317</v>
      </c>
      <c r="J1185" s="4">
        <v>43221.0</v>
      </c>
      <c r="K1185" s="1">
        <v>100.0</v>
      </c>
      <c r="L1185" s="1">
        <v>99.0</v>
      </c>
      <c r="M1185" s="1">
        <v>56.0</v>
      </c>
    </row>
    <row r="1186">
      <c r="A1186" s="1" t="s">
        <v>1354</v>
      </c>
      <c r="B1186" s="3" t="s">
        <v>1355</v>
      </c>
      <c r="C1186" s="1" t="s">
        <v>16</v>
      </c>
      <c r="D1186" s="1" t="s">
        <v>422</v>
      </c>
      <c r="E1186" s="1" t="s">
        <v>1328</v>
      </c>
      <c r="F1186" s="1" t="str">
        <f>IFERROR(__xludf.DUMMYFUNCTION("SPLIT(E1186,""&gt;"")"),"Japanese Corn")</f>
        <v>Japanese Corn</v>
      </c>
      <c r="G1186" s="1" t="str">
        <f>IFERROR(__xludf.DUMMYFUNCTION("""COMPUTED_VALUE"""),"Harvest #15")</f>
        <v>Harvest #15</v>
      </c>
      <c r="H1186" s="1" t="s">
        <v>422</v>
      </c>
      <c r="I1186" s="1" t="s">
        <v>56</v>
      </c>
      <c r="J1186" s="4">
        <v>44531.0</v>
      </c>
      <c r="K1186" s="1">
        <v>30.0</v>
      </c>
      <c r="L1186" s="1">
        <v>29.0</v>
      </c>
      <c r="M1186" s="1">
        <v>338.0</v>
      </c>
    </row>
    <row r="1187" hidden="1">
      <c r="A1187" s="1" t="s">
        <v>1354</v>
      </c>
      <c r="B1187" s="3" t="s">
        <v>2161</v>
      </c>
      <c r="C1187" s="1" t="s">
        <v>1569</v>
      </c>
      <c r="D1187" s="1" t="s">
        <v>422</v>
      </c>
      <c r="E1187" s="1" t="s">
        <v>1328</v>
      </c>
      <c r="F1187" s="1"/>
      <c r="G1187" s="1"/>
      <c r="H1187" s="1" t="s">
        <v>422</v>
      </c>
      <c r="I1187" s="1" t="s">
        <v>56</v>
      </c>
      <c r="J1187" s="4">
        <v>44531.0</v>
      </c>
      <c r="K1187" s="1">
        <v>30.0</v>
      </c>
      <c r="L1187" s="1">
        <v>29.0</v>
      </c>
      <c r="M1187" s="1">
        <v>338.0</v>
      </c>
    </row>
    <row r="1188">
      <c r="A1188" s="1" t="s">
        <v>1356</v>
      </c>
      <c r="B1188" s="3" t="s">
        <v>1357</v>
      </c>
      <c r="C1188" s="1" t="s">
        <v>16</v>
      </c>
      <c r="D1188" s="1" t="s">
        <v>95</v>
      </c>
      <c r="E1188" s="1" t="s">
        <v>1358</v>
      </c>
      <c r="F1188" s="1" t="str">
        <f>IFERROR(__xludf.DUMMYFUNCTION("SPLIT(E1188,""&gt;"")"),"Japanese Corn")</f>
        <v>Japanese Corn</v>
      </c>
      <c r="G1188" s="1" t="str">
        <f>IFERROR(__xludf.DUMMYFUNCTION("""COMPUTED_VALUE"""),"Harvest #3")</f>
        <v>Harvest #3</v>
      </c>
      <c r="H1188" s="1" t="s">
        <v>95</v>
      </c>
      <c r="I1188" s="1" t="s">
        <v>1317</v>
      </c>
      <c r="J1188" s="4">
        <v>43221.0</v>
      </c>
      <c r="K1188" s="1">
        <v>88.0</v>
      </c>
      <c r="L1188" s="1">
        <v>87.0</v>
      </c>
      <c r="M1188" s="1">
        <v>90.0</v>
      </c>
    </row>
    <row r="1189" hidden="1">
      <c r="A1189" s="1" t="s">
        <v>1356</v>
      </c>
      <c r="B1189" s="3" t="s">
        <v>2162</v>
      </c>
      <c r="C1189" s="1" t="s">
        <v>1569</v>
      </c>
      <c r="D1189" s="1" t="s">
        <v>95</v>
      </c>
      <c r="E1189" s="1" t="s">
        <v>1358</v>
      </c>
      <c r="F1189" s="1"/>
      <c r="G1189" s="1"/>
      <c r="H1189" s="1" t="s">
        <v>95</v>
      </c>
      <c r="I1189" s="1" t="s">
        <v>1317</v>
      </c>
      <c r="J1189" s="4">
        <v>43221.0</v>
      </c>
      <c r="K1189" s="1">
        <v>88.0</v>
      </c>
      <c r="L1189" s="1">
        <v>87.0</v>
      </c>
      <c r="M1189" s="1">
        <v>90.0</v>
      </c>
    </row>
    <row r="1190">
      <c r="A1190" s="1" t="s">
        <v>1359</v>
      </c>
      <c r="B1190" s="3" t="s">
        <v>1360</v>
      </c>
      <c r="C1190" s="1" t="s">
        <v>16</v>
      </c>
      <c r="D1190" s="1" t="s">
        <v>95</v>
      </c>
      <c r="E1190" s="1" t="s">
        <v>1361</v>
      </c>
      <c r="F1190" s="1" t="str">
        <f>IFERROR(__xludf.DUMMYFUNCTION("SPLIT(E1190,""&gt;"")"),"Japanese Corn")</f>
        <v>Japanese Corn</v>
      </c>
      <c r="G1190" s="1" t="str">
        <f>IFERROR(__xludf.DUMMYFUNCTION("""COMPUTED_VALUE"""),"Harvest #4")</f>
        <v>Harvest #4</v>
      </c>
      <c r="H1190" s="1" t="s">
        <v>95</v>
      </c>
      <c r="I1190" s="1" t="s">
        <v>1362</v>
      </c>
      <c r="J1190" s="4">
        <v>43466.0</v>
      </c>
      <c r="K1190" s="1">
        <v>77.0</v>
      </c>
      <c r="L1190" s="1">
        <v>76.0</v>
      </c>
      <c r="M1190" s="1">
        <v>138.0</v>
      </c>
    </row>
    <row r="1191" hidden="1">
      <c r="A1191" s="1" t="s">
        <v>1359</v>
      </c>
      <c r="B1191" s="3" t="s">
        <v>2163</v>
      </c>
      <c r="C1191" s="1" t="s">
        <v>1569</v>
      </c>
      <c r="D1191" s="1" t="s">
        <v>95</v>
      </c>
      <c r="E1191" s="1" t="s">
        <v>1361</v>
      </c>
      <c r="F1191" s="1"/>
      <c r="G1191" s="1"/>
      <c r="H1191" s="1" t="s">
        <v>95</v>
      </c>
      <c r="I1191" s="1" t="s">
        <v>1362</v>
      </c>
      <c r="J1191" s="4">
        <v>43466.0</v>
      </c>
      <c r="K1191" s="1">
        <v>77.0</v>
      </c>
      <c r="L1191" s="1">
        <v>76.0</v>
      </c>
      <c r="M1191" s="1">
        <v>138.0</v>
      </c>
    </row>
    <row r="1192">
      <c r="A1192" s="1" t="s">
        <v>1363</v>
      </c>
      <c r="B1192" s="3" t="s">
        <v>1364</v>
      </c>
      <c r="C1192" s="1" t="s">
        <v>16</v>
      </c>
      <c r="D1192" s="1" t="s">
        <v>564</v>
      </c>
      <c r="E1192" s="1" t="s">
        <v>1312</v>
      </c>
      <c r="F1192" s="1" t="str">
        <f>IFERROR(__xludf.DUMMYFUNCTION("SPLIT(E1192,""&gt;"")"),"Japanese Corn")</f>
        <v>Japanese Corn</v>
      </c>
      <c r="G1192" s="1" t="str">
        <f>IFERROR(__xludf.DUMMYFUNCTION("""COMPUTED_VALUE"""),"Harvest #1")</f>
        <v>Harvest #1</v>
      </c>
      <c r="H1192" s="1" t="s">
        <v>564</v>
      </c>
      <c r="I1192" s="1" t="s">
        <v>1365</v>
      </c>
      <c r="J1192" s="4">
        <v>43101.0</v>
      </c>
      <c r="K1192" s="1">
        <v>31.0</v>
      </c>
      <c r="L1192" s="1">
        <v>30.0</v>
      </c>
      <c r="M1192" s="1">
        <v>69.0</v>
      </c>
    </row>
    <row r="1193" hidden="1">
      <c r="A1193" s="1" t="s">
        <v>1363</v>
      </c>
      <c r="B1193" s="3" t="s">
        <v>2164</v>
      </c>
      <c r="C1193" s="1" t="s">
        <v>1569</v>
      </c>
      <c r="D1193" s="1" t="s">
        <v>564</v>
      </c>
      <c r="E1193" s="1" t="s">
        <v>1312</v>
      </c>
      <c r="F1193" s="1"/>
      <c r="G1193" s="1"/>
      <c r="H1193" s="1" t="s">
        <v>564</v>
      </c>
      <c r="I1193" s="1" t="s">
        <v>1365</v>
      </c>
      <c r="J1193" s="4">
        <v>43101.0</v>
      </c>
      <c r="K1193" s="1">
        <v>31.0</v>
      </c>
      <c r="L1193" s="1">
        <v>30.0</v>
      </c>
      <c r="M1193" s="1">
        <v>69.0</v>
      </c>
    </row>
    <row r="1194">
      <c r="A1194" s="1" t="s">
        <v>1366</v>
      </c>
      <c r="B1194" s="3" t="s">
        <v>1367</v>
      </c>
      <c r="C1194" s="1" t="s">
        <v>16</v>
      </c>
      <c r="D1194" s="1" t="s">
        <v>186</v>
      </c>
      <c r="E1194" s="1" t="s">
        <v>1312</v>
      </c>
      <c r="F1194" s="1" t="str">
        <f>IFERROR(__xludf.DUMMYFUNCTION("SPLIT(E1194,""&gt;"")"),"Japanese Corn")</f>
        <v>Japanese Corn</v>
      </c>
      <c r="G1194" s="1" t="str">
        <f>IFERROR(__xludf.DUMMYFUNCTION("""COMPUTED_VALUE"""),"Harvest #1")</f>
        <v>Harvest #1</v>
      </c>
      <c r="H1194" s="1" t="s">
        <v>186</v>
      </c>
      <c r="I1194" s="1" t="s">
        <v>1317</v>
      </c>
      <c r="J1194" s="4">
        <v>43221.0</v>
      </c>
      <c r="K1194" s="1">
        <v>100.0</v>
      </c>
      <c r="L1194" s="1">
        <v>99.0</v>
      </c>
      <c r="M1194" s="1">
        <v>45.0</v>
      </c>
    </row>
    <row r="1195" hidden="1">
      <c r="A1195" s="1" t="s">
        <v>1366</v>
      </c>
      <c r="B1195" s="3" t="s">
        <v>2165</v>
      </c>
      <c r="C1195" s="1" t="s">
        <v>1569</v>
      </c>
      <c r="D1195" s="1" t="s">
        <v>186</v>
      </c>
      <c r="E1195" s="1" t="s">
        <v>1312</v>
      </c>
      <c r="F1195" s="1"/>
      <c r="G1195" s="1"/>
      <c r="H1195" s="1" t="s">
        <v>186</v>
      </c>
      <c r="I1195" s="1" t="s">
        <v>1317</v>
      </c>
      <c r="J1195" s="4">
        <v>43221.0</v>
      </c>
      <c r="K1195" s="1">
        <v>100.0</v>
      </c>
      <c r="L1195" s="1">
        <v>99.0</v>
      </c>
      <c r="M1195" s="1">
        <v>45.0</v>
      </c>
    </row>
    <row r="1196">
      <c r="A1196" s="1" t="s">
        <v>1368</v>
      </c>
      <c r="B1196" s="3" t="s">
        <v>1369</v>
      </c>
      <c r="C1196" s="1" t="s">
        <v>16</v>
      </c>
      <c r="D1196" s="1" t="s">
        <v>186</v>
      </c>
      <c r="E1196" s="1" t="s">
        <v>1328</v>
      </c>
      <c r="F1196" s="1" t="str">
        <f>IFERROR(__xludf.DUMMYFUNCTION("SPLIT(E1196,""&gt;"")"),"Japanese Corn")</f>
        <v>Japanese Corn</v>
      </c>
      <c r="G1196" s="1" t="str">
        <f>IFERROR(__xludf.DUMMYFUNCTION("""COMPUTED_VALUE"""),"Harvest #15")</f>
        <v>Harvest #15</v>
      </c>
      <c r="H1196" s="1" t="s">
        <v>186</v>
      </c>
      <c r="I1196" s="1" t="s">
        <v>19</v>
      </c>
      <c r="J1196" s="4">
        <v>44501.0</v>
      </c>
      <c r="K1196" s="1">
        <v>40.0</v>
      </c>
      <c r="L1196" s="1">
        <v>39.0</v>
      </c>
      <c r="M1196" s="1">
        <v>321.0</v>
      </c>
    </row>
    <row r="1197" hidden="1">
      <c r="A1197" s="1" t="s">
        <v>1368</v>
      </c>
      <c r="B1197" s="3" t="s">
        <v>2166</v>
      </c>
      <c r="C1197" s="1" t="s">
        <v>1569</v>
      </c>
      <c r="D1197" s="1" t="s">
        <v>186</v>
      </c>
      <c r="E1197" s="1" t="s">
        <v>1328</v>
      </c>
      <c r="F1197" s="1"/>
      <c r="G1197" s="1"/>
      <c r="H1197" s="1" t="s">
        <v>186</v>
      </c>
      <c r="I1197" s="1" t="s">
        <v>19</v>
      </c>
      <c r="J1197" s="4">
        <v>44501.0</v>
      </c>
      <c r="K1197" s="1">
        <v>40.0</v>
      </c>
      <c r="L1197" s="1">
        <v>39.0</v>
      </c>
      <c r="M1197" s="1">
        <v>321.0</v>
      </c>
    </row>
    <row r="1198">
      <c r="A1198" s="1" t="s">
        <v>1370</v>
      </c>
      <c r="B1198" s="3" t="s">
        <v>1371</v>
      </c>
      <c r="C1198" s="1" t="s">
        <v>16</v>
      </c>
      <c r="D1198" s="1" t="s">
        <v>186</v>
      </c>
      <c r="E1198" s="1" t="s">
        <v>584</v>
      </c>
      <c r="F1198" s="1" t="str">
        <f>IFERROR(__xludf.DUMMYFUNCTION("SPLIT(E1198,""&gt;"")"),"Japanese Rarepepe")</f>
        <v>Japanese Rarepepe</v>
      </c>
      <c r="G1198" s="1" t="str">
        <f>IFERROR(__xludf.DUMMYFUNCTION("""COMPUTED_VALUE"""),"Series 27")</f>
        <v>Series 27</v>
      </c>
      <c r="H1198" s="1" t="s">
        <v>186</v>
      </c>
      <c r="I1198" s="1" t="s">
        <v>395</v>
      </c>
      <c r="J1198" s="4">
        <v>42948.0</v>
      </c>
      <c r="K1198" s="1">
        <v>100.0</v>
      </c>
      <c r="L1198" s="1">
        <v>100.0</v>
      </c>
      <c r="M1198" s="1">
        <v>1319.0</v>
      </c>
    </row>
    <row r="1199" hidden="1">
      <c r="A1199" s="1" t="s">
        <v>1370</v>
      </c>
      <c r="B1199" s="3" t="s">
        <v>2167</v>
      </c>
      <c r="C1199" s="1" t="s">
        <v>1569</v>
      </c>
      <c r="D1199" s="1" t="s">
        <v>186</v>
      </c>
      <c r="E1199" s="1" t="s">
        <v>584</v>
      </c>
      <c r="F1199" s="1"/>
      <c r="G1199" s="1"/>
      <c r="H1199" s="1" t="s">
        <v>186</v>
      </c>
      <c r="I1199" s="1" t="s">
        <v>395</v>
      </c>
      <c r="J1199" s="4">
        <v>42948.0</v>
      </c>
      <c r="K1199" s="1">
        <v>100.0</v>
      </c>
      <c r="L1199" s="1">
        <v>100.0</v>
      </c>
      <c r="M1199" s="1">
        <v>1319.0</v>
      </c>
    </row>
    <row r="1200">
      <c r="A1200" s="1" t="s">
        <v>1372</v>
      </c>
      <c r="B1200" s="3" t="s">
        <v>1373</v>
      </c>
      <c r="C1200" s="1" t="s">
        <v>16</v>
      </c>
      <c r="D1200" s="1" t="s">
        <v>186</v>
      </c>
      <c r="E1200" s="1" t="s">
        <v>625</v>
      </c>
      <c r="F1200" s="1" t="str">
        <f>IFERROR(__xludf.DUMMYFUNCTION("SPLIT(E1200,""&gt;"")"),"Japanese Rarepepe")</f>
        <v>Japanese Rarepepe</v>
      </c>
      <c r="G1200" s="1" t="str">
        <f>IFERROR(__xludf.DUMMYFUNCTION("""COMPUTED_VALUE"""),"Series 08")</f>
        <v>Series 08</v>
      </c>
      <c r="H1200" s="1" t="s">
        <v>186</v>
      </c>
      <c r="I1200" s="1" t="s">
        <v>622</v>
      </c>
      <c r="J1200" s="4">
        <v>42675.0</v>
      </c>
      <c r="K1200" s="1">
        <v>100.0</v>
      </c>
      <c r="L1200" s="1">
        <v>100.0</v>
      </c>
      <c r="M1200" s="1">
        <v>377.0</v>
      </c>
    </row>
    <row r="1201" hidden="1">
      <c r="A1201" s="1" t="s">
        <v>1372</v>
      </c>
      <c r="B1201" s="3" t="s">
        <v>2168</v>
      </c>
      <c r="C1201" s="1" t="s">
        <v>1569</v>
      </c>
      <c r="D1201" s="1" t="s">
        <v>186</v>
      </c>
      <c r="E1201" s="1" t="s">
        <v>625</v>
      </c>
      <c r="F1201" s="1"/>
      <c r="G1201" s="1"/>
      <c r="H1201" s="1" t="s">
        <v>186</v>
      </c>
      <c r="I1201" s="1" t="s">
        <v>622</v>
      </c>
      <c r="J1201" s="4">
        <v>42675.0</v>
      </c>
      <c r="K1201" s="1">
        <v>100.0</v>
      </c>
      <c r="L1201" s="1">
        <v>100.0</v>
      </c>
      <c r="M1201" s="1">
        <v>377.0</v>
      </c>
    </row>
    <row r="1202">
      <c r="A1202" s="1" t="s">
        <v>1374</v>
      </c>
      <c r="B1202" s="3" t="s">
        <v>1375</v>
      </c>
      <c r="C1202" s="1" t="s">
        <v>16</v>
      </c>
      <c r="D1202" s="1" t="s">
        <v>186</v>
      </c>
      <c r="E1202" s="1" t="s">
        <v>632</v>
      </c>
      <c r="F1202" s="1" t="str">
        <f>IFERROR(__xludf.DUMMYFUNCTION("SPLIT(E1202,""&gt;"")"),"Japanese Rarepepe")</f>
        <v>Japanese Rarepepe</v>
      </c>
      <c r="G1202" s="1" t="str">
        <f>IFERROR(__xludf.DUMMYFUNCTION("""COMPUTED_VALUE"""),"Series 09")</f>
        <v>Series 09</v>
      </c>
      <c r="H1202" s="1" t="s">
        <v>186</v>
      </c>
      <c r="I1202" s="1" t="s">
        <v>622</v>
      </c>
      <c r="J1202" s="4">
        <v>42675.0</v>
      </c>
      <c r="K1202" s="1">
        <v>100.0</v>
      </c>
      <c r="L1202" s="1">
        <v>100.0</v>
      </c>
      <c r="M1202" s="1">
        <v>404.0</v>
      </c>
    </row>
    <row r="1203" hidden="1">
      <c r="A1203" s="1" t="s">
        <v>1374</v>
      </c>
      <c r="B1203" s="3" t="s">
        <v>2169</v>
      </c>
      <c r="C1203" s="1" t="s">
        <v>1569</v>
      </c>
      <c r="D1203" s="1" t="s">
        <v>186</v>
      </c>
      <c r="E1203" s="1" t="s">
        <v>632</v>
      </c>
      <c r="F1203" s="1"/>
      <c r="G1203" s="1"/>
      <c r="H1203" s="1" t="s">
        <v>186</v>
      </c>
      <c r="I1203" s="1" t="s">
        <v>622</v>
      </c>
      <c r="J1203" s="4">
        <v>42675.0</v>
      </c>
      <c r="K1203" s="1">
        <v>100.0</v>
      </c>
      <c r="L1203" s="1">
        <v>100.0</v>
      </c>
      <c r="M1203" s="1">
        <v>404.0</v>
      </c>
    </row>
    <row r="1204">
      <c r="A1204" s="1" t="s">
        <v>1376</v>
      </c>
      <c r="B1204" s="3" t="s">
        <v>1377</v>
      </c>
      <c r="C1204" s="1" t="s">
        <v>16</v>
      </c>
      <c r="D1204" s="1" t="s">
        <v>186</v>
      </c>
      <c r="E1204" s="1" t="s">
        <v>632</v>
      </c>
      <c r="F1204" s="1" t="str">
        <f>IFERROR(__xludf.DUMMYFUNCTION("SPLIT(E1204,""&gt;"")"),"Japanese Rarepepe")</f>
        <v>Japanese Rarepepe</v>
      </c>
      <c r="G1204" s="1" t="str">
        <f>IFERROR(__xludf.DUMMYFUNCTION("""COMPUTED_VALUE"""),"Series 09")</f>
        <v>Series 09</v>
      </c>
      <c r="H1204" s="1" t="s">
        <v>186</v>
      </c>
      <c r="I1204" s="1" t="s">
        <v>636</v>
      </c>
      <c r="J1204" s="4">
        <v>42705.0</v>
      </c>
      <c r="K1204" s="1">
        <v>100.0</v>
      </c>
      <c r="L1204" s="1">
        <v>100.0</v>
      </c>
      <c r="M1204" s="1">
        <v>415.0</v>
      </c>
    </row>
    <row r="1205" hidden="1">
      <c r="A1205" s="1" t="s">
        <v>1376</v>
      </c>
      <c r="B1205" s="3" t="s">
        <v>2170</v>
      </c>
      <c r="C1205" s="1" t="s">
        <v>1569</v>
      </c>
      <c r="D1205" s="1" t="s">
        <v>186</v>
      </c>
      <c r="E1205" s="1" t="s">
        <v>632</v>
      </c>
      <c r="F1205" s="1"/>
      <c r="G1205" s="1"/>
      <c r="H1205" s="1" t="s">
        <v>186</v>
      </c>
      <c r="I1205" s="1" t="s">
        <v>636</v>
      </c>
      <c r="J1205" s="4">
        <v>42705.0</v>
      </c>
      <c r="K1205" s="1">
        <v>100.0</v>
      </c>
      <c r="L1205" s="1">
        <v>100.0</v>
      </c>
      <c r="M1205" s="1">
        <v>415.0</v>
      </c>
    </row>
    <row r="1206">
      <c r="A1206" s="1" t="s">
        <v>1378</v>
      </c>
      <c r="B1206" s="3" t="s">
        <v>1379</v>
      </c>
      <c r="C1206" s="1" t="s">
        <v>16</v>
      </c>
      <c r="D1206" s="1" t="s">
        <v>186</v>
      </c>
      <c r="E1206" s="1" t="s">
        <v>578</v>
      </c>
      <c r="F1206" s="1" t="str">
        <f>IFERROR(__xludf.DUMMYFUNCTION("SPLIT(E1206,""&gt;"")"),"Japanese Rarepepe")</f>
        <v>Japanese Rarepepe</v>
      </c>
      <c r="G1206" s="1" t="str">
        <f>IFERROR(__xludf.DUMMYFUNCTION("""COMPUTED_VALUE"""),"Series 21")</f>
        <v>Series 21</v>
      </c>
      <c r="H1206" s="1" t="s">
        <v>186</v>
      </c>
      <c r="I1206" s="1" t="s">
        <v>288</v>
      </c>
      <c r="J1206" s="4">
        <v>42917.0</v>
      </c>
      <c r="K1206" s="1">
        <v>500.0</v>
      </c>
      <c r="L1206" s="1">
        <v>500.0</v>
      </c>
      <c r="M1206" s="1">
        <v>1035.0</v>
      </c>
    </row>
    <row r="1207" hidden="1">
      <c r="A1207" s="1" t="s">
        <v>1378</v>
      </c>
      <c r="B1207" s="3" t="s">
        <v>2171</v>
      </c>
      <c r="C1207" s="1" t="s">
        <v>1569</v>
      </c>
      <c r="D1207" s="1" t="s">
        <v>186</v>
      </c>
      <c r="E1207" s="1" t="s">
        <v>578</v>
      </c>
      <c r="F1207" s="1"/>
      <c r="G1207" s="1"/>
      <c r="H1207" s="1" t="s">
        <v>186</v>
      </c>
      <c r="I1207" s="1" t="s">
        <v>288</v>
      </c>
      <c r="J1207" s="4">
        <v>42917.0</v>
      </c>
      <c r="K1207" s="1">
        <v>500.0</v>
      </c>
      <c r="L1207" s="1">
        <v>500.0</v>
      </c>
      <c r="M1207" s="1">
        <v>1035.0</v>
      </c>
    </row>
    <row r="1208">
      <c r="A1208" s="1" t="s">
        <v>1380</v>
      </c>
      <c r="B1208" s="3" t="s">
        <v>1381</v>
      </c>
      <c r="C1208" s="1" t="s">
        <v>16</v>
      </c>
      <c r="D1208" s="1" t="s">
        <v>186</v>
      </c>
      <c r="E1208" s="1" t="s">
        <v>604</v>
      </c>
      <c r="F1208" s="1" t="str">
        <f>IFERROR(__xludf.DUMMYFUNCTION("SPLIT(E1208,""&gt;"")"),"Japanese Rarepepe")</f>
        <v>Japanese Rarepepe</v>
      </c>
      <c r="G1208" s="1" t="str">
        <f>IFERROR(__xludf.DUMMYFUNCTION("""COMPUTED_VALUE"""),"Series 29")</f>
        <v>Series 29</v>
      </c>
      <c r="H1208" s="1" t="s">
        <v>186</v>
      </c>
      <c r="I1208" s="1" t="s">
        <v>545</v>
      </c>
      <c r="J1208" s="4">
        <v>42979.0</v>
      </c>
      <c r="K1208" s="1">
        <v>100.0</v>
      </c>
      <c r="L1208" s="1">
        <v>100.0</v>
      </c>
      <c r="M1208" s="1">
        <v>1411.0</v>
      </c>
    </row>
    <row r="1209" hidden="1">
      <c r="A1209" s="1" t="s">
        <v>1380</v>
      </c>
      <c r="B1209" s="3" t="s">
        <v>2172</v>
      </c>
      <c r="C1209" s="1" t="s">
        <v>1569</v>
      </c>
      <c r="D1209" s="1" t="s">
        <v>186</v>
      </c>
      <c r="E1209" s="1" t="s">
        <v>604</v>
      </c>
      <c r="F1209" s="1"/>
      <c r="G1209" s="1"/>
      <c r="H1209" s="1" t="s">
        <v>186</v>
      </c>
      <c r="I1209" s="1" t="s">
        <v>545</v>
      </c>
      <c r="J1209" s="4">
        <v>42979.0</v>
      </c>
      <c r="K1209" s="1">
        <v>100.0</v>
      </c>
      <c r="L1209" s="1">
        <v>100.0</v>
      </c>
      <c r="M1209" s="1">
        <v>1411.0</v>
      </c>
    </row>
    <row r="1210">
      <c r="A1210" s="1" t="s">
        <v>1382</v>
      </c>
      <c r="B1210" s="3" t="s">
        <v>1383</v>
      </c>
      <c r="C1210" s="1" t="s">
        <v>16</v>
      </c>
      <c r="D1210" s="1" t="s">
        <v>1384</v>
      </c>
      <c r="E1210" s="1" t="s">
        <v>1385</v>
      </c>
      <c r="F1210" s="1" t="str">
        <f>IFERROR(__xludf.DUMMYFUNCTION("SPLIT(E1210,""&gt;"")"),"Japanese SoG")</f>
        <v>Japanese SoG</v>
      </c>
      <c r="G1210" s="1"/>
      <c r="H1210" s="1" t="s">
        <v>1384</v>
      </c>
      <c r="I1210" s="1" t="s">
        <v>1386</v>
      </c>
      <c r="J1210" s="4">
        <v>42278.0</v>
      </c>
      <c r="K1210" s="1">
        <v>1000.0</v>
      </c>
      <c r="L1210" s="1">
        <v>1000.0</v>
      </c>
      <c r="M1210" s="1" t="s">
        <v>1387</v>
      </c>
    </row>
    <row r="1211" hidden="1">
      <c r="A1211" s="1" t="s">
        <v>1382</v>
      </c>
      <c r="B1211" s="3" t="s">
        <v>2173</v>
      </c>
      <c r="C1211" s="1" t="s">
        <v>1569</v>
      </c>
      <c r="D1211" s="1" t="s">
        <v>1384</v>
      </c>
      <c r="E1211" s="1" t="s">
        <v>1385</v>
      </c>
      <c r="F1211" s="1"/>
      <c r="G1211" s="1"/>
      <c r="H1211" s="1" t="s">
        <v>1384</v>
      </c>
      <c r="I1211" s="1" t="s">
        <v>1386</v>
      </c>
      <c r="J1211" s="4">
        <v>42278.0</v>
      </c>
      <c r="K1211" s="1">
        <v>1000.0</v>
      </c>
      <c r="L1211" s="1">
        <v>1000.0</v>
      </c>
      <c r="M1211" s="1" t="s">
        <v>1387</v>
      </c>
    </row>
    <row r="1212">
      <c r="A1212" s="1" t="s">
        <v>1388</v>
      </c>
      <c r="B1212" s="3" t="s">
        <v>1389</v>
      </c>
      <c r="C1212" s="1" t="s">
        <v>16</v>
      </c>
      <c r="D1212" s="1" t="s">
        <v>1390</v>
      </c>
      <c r="E1212" s="1" t="s">
        <v>1391</v>
      </c>
      <c r="F1212" s="1" t="str">
        <f>IFERROR(__xludf.DUMMYFUNCTION("SPLIT(E1212,""&gt;"")"),"Japanese Rarepepe")</f>
        <v>Japanese Rarepepe</v>
      </c>
      <c r="G1212" s="1" t="str">
        <f>IFERROR(__xludf.DUMMYFUNCTION("""COMPUTED_VALUE"""),"Series 01")</f>
        <v>Series 01</v>
      </c>
      <c r="H1212" s="1" t="s">
        <v>1390</v>
      </c>
      <c r="I1212" s="1" t="s">
        <v>1392</v>
      </c>
      <c r="J1212" s="4">
        <v>42614.0</v>
      </c>
      <c r="K1212" s="1">
        <v>1000.0</v>
      </c>
      <c r="L1212" s="1">
        <v>1000.0</v>
      </c>
      <c r="M1212" s="1">
        <v>17.0</v>
      </c>
    </row>
    <row r="1213" hidden="1">
      <c r="A1213" s="1" t="s">
        <v>1388</v>
      </c>
      <c r="B1213" s="3" t="s">
        <v>2174</v>
      </c>
      <c r="C1213" s="1" t="s">
        <v>1569</v>
      </c>
      <c r="D1213" s="1" t="s">
        <v>1390</v>
      </c>
      <c r="E1213" s="1" t="s">
        <v>1391</v>
      </c>
      <c r="F1213" s="1"/>
      <c r="G1213" s="1"/>
      <c r="H1213" s="1" t="s">
        <v>1390</v>
      </c>
      <c r="I1213" s="1" t="s">
        <v>1392</v>
      </c>
      <c r="J1213" s="4">
        <v>42614.0</v>
      </c>
      <c r="K1213" s="1">
        <v>1000.0</v>
      </c>
      <c r="L1213" s="1">
        <v>1000.0</v>
      </c>
      <c r="M1213" s="1">
        <v>17.0</v>
      </c>
    </row>
    <row r="1214">
      <c r="A1214" s="1" t="s">
        <v>1393</v>
      </c>
      <c r="B1214" s="3" t="s">
        <v>1394</v>
      </c>
      <c r="C1214" s="1" t="s">
        <v>16</v>
      </c>
      <c r="D1214" s="1" t="s">
        <v>1384</v>
      </c>
      <c r="E1214" s="1" t="s">
        <v>1385</v>
      </c>
      <c r="F1214" s="1" t="str">
        <f>IFERROR(__xludf.DUMMYFUNCTION("SPLIT(E1214,""&gt;"")"),"Japanese SoG")</f>
        <v>Japanese SoG</v>
      </c>
      <c r="G1214" s="1"/>
      <c r="H1214" s="1" t="s">
        <v>1384</v>
      </c>
      <c r="I1214" s="1" t="s">
        <v>1395</v>
      </c>
      <c r="J1214" s="4">
        <v>42186.0</v>
      </c>
      <c r="K1214" s="1">
        <v>1000.0</v>
      </c>
      <c r="L1214" s="1">
        <v>997.0</v>
      </c>
      <c r="M1214" s="1" t="s">
        <v>1387</v>
      </c>
    </row>
    <row r="1215" hidden="1">
      <c r="A1215" s="1" t="s">
        <v>1393</v>
      </c>
      <c r="B1215" s="3" t="s">
        <v>2175</v>
      </c>
      <c r="C1215" s="1" t="s">
        <v>1569</v>
      </c>
      <c r="D1215" s="1" t="s">
        <v>1384</v>
      </c>
      <c r="E1215" s="1" t="s">
        <v>1385</v>
      </c>
      <c r="F1215" s="1"/>
      <c r="G1215" s="1"/>
      <c r="H1215" s="1" t="s">
        <v>1384</v>
      </c>
      <c r="I1215" s="1" t="s">
        <v>1395</v>
      </c>
      <c r="J1215" s="4">
        <v>42186.0</v>
      </c>
      <c r="K1215" s="1">
        <v>1000.0</v>
      </c>
      <c r="L1215" s="1">
        <v>997.0</v>
      </c>
      <c r="M1215" s="1" t="s">
        <v>1387</v>
      </c>
    </row>
    <row r="1216">
      <c r="A1216" s="1" t="s">
        <v>1396</v>
      </c>
      <c r="B1216" s="3" t="s">
        <v>1397</v>
      </c>
      <c r="C1216" s="1" t="s">
        <v>16</v>
      </c>
      <c r="D1216" s="1" t="s">
        <v>1384</v>
      </c>
      <c r="E1216" s="1" t="s">
        <v>1385</v>
      </c>
      <c r="F1216" s="1" t="str">
        <f>IFERROR(__xludf.DUMMYFUNCTION("SPLIT(E1216,""&gt;"")"),"Japanese SoG")</f>
        <v>Japanese SoG</v>
      </c>
      <c r="G1216" s="1"/>
      <c r="H1216" s="1" t="s">
        <v>1384</v>
      </c>
      <c r="I1216" s="1" t="s">
        <v>1395</v>
      </c>
      <c r="J1216" s="4">
        <v>42186.0</v>
      </c>
      <c r="K1216" s="1">
        <v>1000.0</v>
      </c>
      <c r="L1216" s="1">
        <v>997.0</v>
      </c>
      <c r="M1216" s="1" t="s">
        <v>1387</v>
      </c>
    </row>
    <row r="1217" hidden="1">
      <c r="A1217" s="1" t="s">
        <v>1396</v>
      </c>
      <c r="B1217" s="3" t="s">
        <v>2176</v>
      </c>
      <c r="C1217" s="1" t="s">
        <v>1569</v>
      </c>
      <c r="D1217" s="1" t="s">
        <v>1384</v>
      </c>
      <c r="E1217" s="1" t="s">
        <v>1385</v>
      </c>
      <c r="F1217" s="1"/>
      <c r="G1217" s="1"/>
      <c r="H1217" s="1" t="s">
        <v>1384</v>
      </c>
      <c r="I1217" s="1" t="s">
        <v>1395</v>
      </c>
      <c r="J1217" s="4">
        <v>42186.0</v>
      </c>
      <c r="K1217" s="1">
        <v>1000.0</v>
      </c>
      <c r="L1217" s="1">
        <v>997.0</v>
      </c>
      <c r="M1217" s="1" t="s">
        <v>1387</v>
      </c>
    </row>
    <row r="1218">
      <c r="A1218" s="1" t="s">
        <v>1398</v>
      </c>
      <c r="B1218" s="3" t="s">
        <v>1399</v>
      </c>
      <c r="C1218" s="1" t="s">
        <v>16</v>
      </c>
      <c r="D1218" s="1" t="s">
        <v>1384</v>
      </c>
      <c r="E1218" s="1" t="s">
        <v>1385</v>
      </c>
      <c r="F1218" s="1" t="str">
        <f>IFERROR(__xludf.DUMMYFUNCTION("SPLIT(E1218,""&gt;"")"),"Japanese SoG")</f>
        <v>Japanese SoG</v>
      </c>
      <c r="G1218" s="1"/>
      <c r="H1218" s="1" t="s">
        <v>1384</v>
      </c>
      <c r="I1218" s="1" t="s">
        <v>1400</v>
      </c>
      <c r="J1218" s="4">
        <v>42491.0</v>
      </c>
      <c r="K1218" s="1">
        <v>300.0</v>
      </c>
      <c r="L1218" s="1">
        <v>299.0</v>
      </c>
      <c r="M1218" s="1" t="s">
        <v>1387</v>
      </c>
    </row>
    <row r="1219" hidden="1">
      <c r="A1219" s="1" t="s">
        <v>1398</v>
      </c>
      <c r="B1219" s="3" t="s">
        <v>2177</v>
      </c>
      <c r="C1219" s="1" t="s">
        <v>1569</v>
      </c>
      <c r="D1219" s="1" t="s">
        <v>1384</v>
      </c>
      <c r="E1219" s="1" t="s">
        <v>1385</v>
      </c>
      <c r="F1219" s="1"/>
      <c r="G1219" s="1"/>
      <c r="H1219" s="1" t="s">
        <v>1384</v>
      </c>
      <c r="I1219" s="1" t="s">
        <v>1400</v>
      </c>
      <c r="J1219" s="4">
        <v>42491.0</v>
      </c>
      <c r="K1219" s="1">
        <v>300.0</v>
      </c>
      <c r="L1219" s="1">
        <v>299.0</v>
      </c>
      <c r="M1219" s="1" t="s">
        <v>1387</v>
      </c>
    </row>
    <row r="1220">
      <c r="A1220" s="1" t="s">
        <v>1401</v>
      </c>
      <c r="B1220" s="3" t="s">
        <v>1402</v>
      </c>
      <c r="C1220" s="1" t="s">
        <v>16</v>
      </c>
      <c r="D1220" s="1" t="s">
        <v>1384</v>
      </c>
      <c r="E1220" s="1" t="s">
        <v>1385</v>
      </c>
      <c r="F1220" s="1" t="str">
        <f>IFERROR(__xludf.DUMMYFUNCTION("SPLIT(E1220,""&gt;"")"),"Japanese SoG")</f>
        <v>Japanese SoG</v>
      </c>
      <c r="G1220" s="1"/>
      <c r="H1220" s="1" t="s">
        <v>1384</v>
      </c>
      <c r="I1220" s="1" t="s">
        <v>715</v>
      </c>
      <c r="J1220" s="4">
        <v>42736.0</v>
      </c>
      <c r="K1220" s="1">
        <v>2000.0</v>
      </c>
      <c r="L1220" s="1">
        <v>2000.0</v>
      </c>
      <c r="M1220" s="1" t="s">
        <v>1387</v>
      </c>
    </row>
    <row r="1221">
      <c r="A1221" s="1" t="s">
        <v>1403</v>
      </c>
      <c r="B1221" s="3" t="s">
        <v>1404</v>
      </c>
      <c r="C1221" s="1" t="s">
        <v>16</v>
      </c>
      <c r="D1221" s="1" t="s">
        <v>71</v>
      </c>
      <c r="E1221" s="1" t="s">
        <v>612</v>
      </c>
      <c r="F1221" s="1" t="str">
        <f>IFERROR(__xludf.DUMMYFUNCTION("SPLIT(E1221,""&gt;"")"),"Japanese Rarepepe")</f>
        <v>Japanese Rarepepe</v>
      </c>
      <c r="G1221" s="1" t="str">
        <f>IFERROR(__xludf.DUMMYFUNCTION("""COMPUTED_VALUE"""),"Series 06")</f>
        <v>Series 06</v>
      </c>
      <c r="H1221" s="1" t="s">
        <v>71</v>
      </c>
      <c r="I1221" s="1" t="s">
        <v>609</v>
      </c>
      <c r="J1221" s="4">
        <v>42644.0</v>
      </c>
      <c r="K1221" s="1">
        <v>499.0</v>
      </c>
      <c r="L1221" s="1">
        <v>499.0</v>
      </c>
      <c r="M1221" s="1">
        <v>257.0</v>
      </c>
    </row>
    <row r="1222" hidden="1">
      <c r="A1222" s="1" t="s">
        <v>1403</v>
      </c>
      <c r="B1222" s="3" t="s">
        <v>2178</v>
      </c>
      <c r="C1222" s="1" t="s">
        <v>1569</v>
      </c>
      <c r="D1222" s="1" t="s">
        <v>71</v>
      </c>
      <c r="E1222" s="1" t="s">
        <v>612</v>
      </c>
      <c r="F1222" s="1"/>
      <c r="G1222" s="1"/>
      <c r="H1222" s="1" t="s">
        <v>71</v>
      </c>
      <c r="I1222" s="1" t="s">
        <v>609</v>
      </c>
      <c r="J1222" s="4">
        <v>42644.0</v>
      </c>
      <c r="K1222" s="1">
        <v>499.0</v>
      </c>
      <c r="L1222" s="1">
        <v>499.0</v>
      </c>
      <c r="M1222" s="1">
        <v>257.0</v>
      </c>
    </row>
    <row r="1223">
      <c r="A1223" s="1" t="s">
        <v>1405</v>
      </c>
      <c r="B1223" s="3" t="s">
        <v>1406</v>
      </c>
      <c r="C1223" s="1" t="s">
        <v>16</v>
      </c>
      <c r="D1223" s="1" t="s">
        <v>1390</v>
      </c>
      <c r="E1223" s="1" t="s">
        <v>617</v>
      </c>
      <c r="F1223" s="1" t="str">
        <f>IFERROR(__xludf.DUMMYFUNCTION("SPLIT(E1223,""&gt;"")"),"Japanese Rarepepe")</f>
        <v>Japanese Rarepepe</v>
      </c>
      <c r="G1223" s="1" t="str">
        <f>IFERROR(__xludf.DUMMYFUNCTION("""COMPUTED_VALUE"""),"Series 07")</f>
        <v>Series 07</v>
      </c>
      <c r="H1223" s="1" t="s">
        <v>1407</v>
      </c>
      <c r="I1223" s="1" t="s">
        <v>609</v>
      </c>
      <c r="J1223" s="4">
        <v>42644.0</v>
      </c>
      <c r="K1223" s="1">
        <v>250.0</v>
      </c>
      <c r="L1223" s="1">
        <v>250.0</v>
      </c>
      <c r="M1223" s="1">
        <v>311.0</v>
      </c>
    </row>
    <row r="1224" hidden="1">
      <c r="A1224" s="1" t="s">
        <v>1405</v>
      </c>
      <c r="B1224" s="3" t="s">
        <v>2179</v>
      </c>
      <c r="C1224" s="1" t="s">
        <v>1569</v>
      </c>
      <c r="D1224" s="1" t="s">
        <v>1390</v>
      </c>
      <c r="E1224" s="1" t="s">
        <v>617</v>
      </c>
      <c r="F1224" s="1"/>
      <c r="G1224" s="1"/>
      <c r="H1224" s="1" t="s">
        <v>1407</v>
      </c>
      <c r="I1224" s="1" t="s">
        <v>609</v>
      </c>
      <c r="J1224" s="4">
        <v>42644.0</v>
      </c>
      <c r="K1224" s="1">
        <v>250.0</v>
      </c>
      <c r="L1224" s="1">
        <v>250.0</v>
      </c>
      <c r="M1224" s="1">
        <v>311.0</v>
      </c>
    </row>
    <row r="1225">
      <c r="A1225" s="1" t="s">
        <v>1408</v>
      </c>
      <c r="B1225" s="3" t="s">
        <v>1409</v>
      </c>
      <c r="C1225" s="1" t="s">
        <v>16</v>
      </c>
      <c r="D1225" s="1" t="s">
        <v>44</v>
      </c>
      <c r="E1225" s="1" t="s">
        <v>781</v>
      </c>
      <c r="F1225" s="1" t="str">
        <f>IFERROR(__xludf.DUMMYFUNCTION("SPLIT(E1225,""&gt;"")"),"Japanese Rarepepe")</f>
        <v>Japanese Rarepepe</v>
      </c>
      <c r="G1225" s="1" t="str">
        <f>IFERROR(__xludf.DUMMYFUNCTION("""COMPUTED_VALUE"""),"Series 32")</f>
        <v>Series 32</v>
      </c>
      <c r="H1225" s="1" t="s">
        <v>44</v>
      </c>
      <c r="I1225" s="1" t="s">
        <v>817</v>
      </c>
      <c r="J1225" s="4">
        <v>43132.0</v>
      </c>
      <c r="K1225" s="1">
        <v>114.0</v>
      </c>
      <c r="L1225" s="1">
        <v>114.0</v>
      </c>
      <c r="M1225" s="1">
        <v>1590.0</v>
      </c>
    </row>
    <row r="1226" hidden="1">
      <c r="A1226" s="1" t="s">
        <v>1408</v>
      </c>
      <c r="B1226" s="3" t="s">
        <v>2180</v>
      </c>
      <c r="C1226" s="1" t="s">
        <v>1569</v>
      </c>
      <c r="D1226" s="1" t="s">
        <v>44</v>
      </c>
      <c r="E1226" s="1" t="s">
        <v>781</v>
      </c>
      <c r="F1226" s="1"/>
      <c r="G1226" s="1"/>
      <c r="H1226" s="1" t="s">
        <v>44</v>
      </c>
      <c r="I1226" s="1" t="s">
        <v>817</v>
      </c>
      <c r="J1226" s="4">
        <v>43132.0</v>
      </c>
      <c r="K1226" s="1">
        <v>114.0</v>
      </c>
      <c r="L1226" s="1">
        <v>114.0</v>
      </c>
      <c r="M1226" s="1">
        <v>1590.0</v>
      </c>
    </row>
    <row r="1227">
      <c r="A1227" s="1" t="s">
        <v>1410</v>
      </c>
      <c r="B1227" s="3" t="s">
        <v>1411</v>
      </c>
      <c r="C1227" s="1" t="s">
        <v>16</v>
      </c>
      <c r="D1227" s="1" t="s">
        <v>44</v>
      </c>
      <c r="E1227" s="1" t="s">
        <v>816</v>
      </c>
      <c r="F1227" s="1" t="str">
        <f>IFERROR(__xludf.DUMMYFUNCTION("SPLIT(E1227,""&gt;"")"),"Japanese Rarepepe")</f>
        <v>Japanese Rarepepe</v>
      </c>
      <c r="G1227" s="1" t="str">
        <f>IFERROR(__xludf.DUMMYFUNCTION("""COMPUTED_VALUE"""),"Series 33")</f>
        <v>Series 33</v>
      </c>
      <c r="H1227" s="1" t="s">
        <v>44</v>
      </c>
      <c r="I1227" s="1" t="s">
        <v>817</v>
      </c>
      <c r="J1227" s="4">
        <v>43132.0</v>
      </c>
      <c r="K1227" s="1">
        <v>114.0</v>
      </c>
      <c r="L1227" s="1">
        <v>114.0</v>
      </c>
      <c r="M1227" s="1">
        <v>1608.0</v>
      </c>
    </row>
    <row r="1228" hidden="1">
      <c r="A1228" s="1" t="s">
        <v>1410</v>
      </c>
      <c r="B1228" s="3" t="s">
        <v>2181</v>
      </c>
      <c r="C1228" s="1" t="s">
        <v>1569</v>
      </c>
      <c r="D1228" s="1" t="s">
        <v>44</v>
      </c>
      <c r="E1228" s="1" t="s">
        <v>816</v>
      </c>
      <c r="F1228" s="1"/>
      <c r="G1228" s="1"/>
      <c r="H1228" s="1" t="s">
        <v>44</v>
      </c>
      <c r="I1228" s="1" t="s">
        <v>817</v>
      </c>
      <c r="J1228" s="4">
        <v>43132.0</v>
      </c>
      <c r="K1228" s="1">
        <v>114.0</v>
      </c>
      <c r="L1228" s="1">
        <v>114.0</v>
      </c>
      <c r="M1228" s="1">
        <v>1608.0</v>
      </c>
    </row>
    <row r="1229">
      <c r="A1229" s="1" t="s">
        <v>1412</v>
      </c>
      <c r="B1229" s="3" t="s">
        <v>1413</v>
      </c>
      <c r="C1229" s="1" t="s">
        <v>16</v>
      </c>
      <c r="D1229" s="1" t="s">
        <v>44</v>
      </c>
      <c r="E1229" s="1" t="s">
        <v>921</v>
      </c>
      <c r="F1229" s="1" t="str">
        <f>IFERROR(__xludf.DUMMYFUNCTION("SPLIT(E1229,""&gt;"")"),"Japanese Rarepepe")</f>
        <v>Japanese Rarepepe</v>
      </c>
      <c r="G1229" s="1" t="str">
        <f>IFERROR(__xludf.DUMMYFUNCTION("""COMPUTED_VALUE"""),"Series 34")</f>
        <v>Series 34</v>
      </c>
      <c r="H1229" s="1" t="s">
        <v>44</v>
      </c>
      <c r="I1229" s="1" t="s">
        <v>823</v>
      </c>
      <c r="J1229" s="4">
        <v>43160.0</v>
      </c>
      <c r="K1229" s="1">
        <v>100.0</v>
      </c>
      <c r="L1229" s="1">
        <v>100.0</v>
      </c>
      <c r="M1229" s="1">
        <v>1695.0</v>
      </c>
    </row>
    <row r="1230" hidden="1">
      <c r="A1230" s="1" t="s">
        <v>1412</v>
      </c>
      <c r="B1230" s="3" t="s">
        <v>2182</v>
      </c>
      <c r="C1230" s="1" t="s">
        <v>1569</v>
      </c>
      <c r="D1230" s="1" t="s">
        <v>44</v>
      </c>
      <c r="E1230" s="1" t="s">
        <v>921</v>
      </c>
      <c r="F1230" s="1"/>
      <c r="G1230" s="1"/>
      <c r="H1230" s="1" t="s">
        <v>44</v>
      </c>
      <c r="I1230" s="1" t="s">
        <v>823</v>
      </c>
      <c r="J1230" s="4">
        <v>43160.0</v>
      </c>
      <c r="K1230" s="1">
        <v>100.0</v>
      </c>
      <c r="L1230" s="1">
        <v>100.0</v>
      </c>
      <c r="M1230" s="1">
        <v>1695.0</v>
      </c>
    </row>
    <row r="1231">
      <c r="A1231" s="1" t="s">
        <v>1414</v>
      </c>
      <c r="B1231" s="3" t="s">
        <v>1415</v>
      </c>
      <c r="C1231" s="1" t="s">
        <v>16</v>
      </c>
      <c r="D1231" s="1" t="s">
        <v>44</v>
      </c>
      <c r="E1231" s="1" t="s">
        <v>822</v>
      </c>
      <c r="F1231" s="1" t="str">
        <f>IFERROR(__xludf.DUMMYFUNCTION("SPLIT(E1231,""&gt;"")"),"Japanese Rarepepe")</f>
        <v>Japanese Rarepepe</v>
      </c>
      <c r="G1231" s="1" t="str">
        <f>IFERROR(__xludf.DUMMYFUNCTION("""COMPUTED_VALUE"""),"Series 35")</f>
        <v>Series 35</v>
      </c>
      <c r="H1231" s="1" t="s">
        <v>44</v>
      </c>
      <c r="I1231" s="1" t="s">
        <v>823</v>
      </c>
      <c r="J1231" s="4">
        <v>43160.0</v>
      </c>
      <c r="K1231" s="1">
        <v>100.0</v>
      </c>
      <c r="L1231" s="1">
        <v>100.0</v>
      </c>
      <c r="M1231" s="1">
        <v>1710.0</v>
      </c>
    </row>
    <row r="1232" hidden="1">
      <c r="A1232" s="1" t="s">
        <v>1414</v>
      </c>
      <c r="B1232" s="3" t="s">
        <v>2183</v>
      </c>
      <c r="C1232" s="1" t="s">
        <v>1569</v>
      </c>
      <c r="D1232" s="1" t="s">
        <v>44</v>
      </c>
      <c r="E1232" s="1" t="s">
        <v>822</v>
      </c>
      <c r="F1232" s="1"/>
      <c r="G1232" s="1"/>
      <c r="H1232" s="1" t="s">
        <v>44</v>
      </c>
      <c r="I1232" s="1" t="s">
        <v>823</v>
      </c>
      <c r="J1232" s="4">
        <v>43160.0</v>
      </c>
      <c r="K1232" s="1">
        <v>100.0</v>
      </c>
      <c r="L1232" s="1">
        <v>100.0</v>
      </c>
      <c r="M1232" s="1">
        <v>1710.0</v>
      </c>
    </row>
    <row r="1233">
      <c r="A1233" s="1" t="s">
        <v>1416</v>
      </c>
      <c r="B1233" s="3" t="s">
        <v>1417</v>
      </c>
      <c r="C1233" s="1" t="s">
        <v>16</v>
      </c>
      <c r="D1233" s="1" t="s">
        <v>1418</v>
      </c>
      <c r="E1233" s="1" t="s">
        <v>826</v>
      </c>
      <c r="F1233" s="1" t="str">
        <f>IFERROR(__xludf.DUMMYFUNCTION("SPLIT(E1233,""&gt;"")"),"Japanese Rarepepe")</f>
        <v>Japanese Rarepepe</v>
      </c>
      <c r="G1233" s="1" t="str">
        <f>IFERROR(__xludf.DUMMYFUNCTION("""COMPUTED_VALUE"""),"Series 36")</f>
        <v>Series 36</v>
      </c>
      <c r="H1233" s="1" t="s">
        <v>1418</v>
      </c>
      <c r="I1233" s="1" t="s">
        <v>823</v>
      </c>
      <c r="J1233" s="4">
        <v>43160.0</v>
      </c>
      <c r="K1233" s="1">
        <v>100.0</v>
      </c>
      <c r="L1233" s="1">
        <v>100.0</v>
      </c>
      <c r="M1233" s="1">
        <v>1767.0</v>
      </c>
    </row>
    <row r="1234" hidden="1">
      <c r="A1234" s="1" t="s">
        <v>1416</v>
      </c>
      <c r="B1234" s="3" t="s">
        <v>2184</v>
      </c>
      <c r="C1234" s="1" t="s">
        <v>1569</v>
      </c>
      <c r="D1234" s="1" t="s">
        <v>1418</v>
      </c>
      <c r="E1234" s="1" t="s">
        <v>826</v>
      </c>
      <c r="F1234" s="1"/>
      <c r="G1234" s="1"/>
      <c r="H1234" s="1" t="s">
        <v>1418</v>
      </c>
      <c r="I1234" s="1" t="s">
        <v>823</v>
      </c>
      <c r="J1234" s="4">
        <v>43160.0</v>
      </c>
      <c r="K1234" s="1">
        <v>100.0</v>
      </c>
      <c r="L1234" s="1">
        <v>100.0</v>
      </c>
      <c r="M1234" s="1">
        <v>1767.0</v>
      </c>
    </row>
    <row r="1235">
      <c r="A1235" s="1" t="s">
        <v>1419</v>
      </c>
      <c r="B1235" s="3" t="s">
        <v>1420</v>
      </c>
      <c r="C1235" s="1" t="s">
        <v>16</v>
      </c>
      <c r="D1235" s="1" t="s">
        <v>1421</v>
      </c>
      <c r="E1235" s="1" t="s">
        <v>876</v>
      </c>
      <c r="F1235" s="1" t="str">
        <f>IFERROR(__xludf.DUMMYFUNCTION("SPLIT(E1235,""&gt;"")"),"Japanese Rarepepe")</f>
        <v>Japanese Rarepepe</v>
      </c>
      <c r="G1235" s="1" t="str">
        <f>IFERROR(__xludf.DUMMYFUNCTION("""COMPUTED_VALUE"""),"Series 28")</f>
        <v>Series 28</v>
      </c>
      <c r="H1235" s="1" t="s">
        <v>1421</v>
      </c>
      <c r="I1235" s="1" t="s">
        <v>545</v>
      </c>
      <c r="J1235" s="4">
        <v>42979.0</v>
      </c>
      <c r="K1235" s="1">
        <v>200.0</v>
      </c>
      <c r="L1235" s="1">
        <v>200.0</v>
      </c>
      <c r="M1235" s="1">
        <v>1362.0</v>
      </c>
    </row>
    <row r="1236" hidden="1">
      <c r="A1236" s="1" t="s">
        <v>1419</v>
      </c>
      <c r="B1236" s="3" t="s">
        <v>2185</v>
      </c>
      <c r="C1236" s="1" t="s">
        <v>1569</v>
      </c>
      <c r="D1236" s="1" t="s">
        <v>1421</v>
      </c>
      <c r="E1236" s="1" t="s">
        <v>876</v>
      </c>
      <c r="F1236" s="1"/>
      <c r="G1236" s="1"/>
      <c r="H1236" s="1" t="s">
        <v>1421</v>
      </c>
      <c r="I1236" s="1" t="s">
        <v>545</v>
      </c>
      <c r="J1236" s="4">
        <v>42979.0</v>
      </c>
      <c r="K1236" s="1">
        <v>200.0</v>
      </c>
      <c r="L1236" s="1">
        <v>200.0</v>
      </c>
      <c r="M1236" s="1">
        <v>1362.0</v>
      </c>
    </row>
    <row r="1237">
      <c r="A1237" s="1" t="s">
        <v>1422</v>
      </c>
      <c r="B1237" s="3" t="s">
        <v>1423</v>
      </c>
      <c r="C1237" s="1" t="s">
        <v>16</v>
      </c>
      <c r="D1237" s="1" t="s">
        <v>607</v>
      </c>
      <c r="E1237" s="1" t="s">
        <v>617</v>
      </c>
      <c r="F1237" s="1" t="str">
        <f>IFERROR(__xludf.DUMMYFUNCTION("SPLIT(E1237,""&gt;"")"),"Japanese Rarepepe")</f>
        <v>Japanese Rarepepe</v>
      </c>
      <c r="G1237" s="1" t="str">
        <f>IFERROR(__xludf.DUMMYFUNCTION("""COMPUTED_VALUE"""),"Series 07")</f>
        <v>Series 07</v>
      </c>
      <c r="H1237" s="1" t="s">
        <v>607</v>
      </c>
      <c r="I1237" s="1" t="s">
        <v>622</v>
      </c>
      <c r="J1237" s="4">
        <v>42675.0</v>
      </c>
      <c r="K1237" s="1">
        <v>1000.0</v>
      </c>
      <c r="L1237" s="1">
        <v>543.0</v>
      </c>
      <c r="M1237" s="1">
        <v>344.0</v>
      </c>
    </row>
    <row r="1238" hidden="1">
      <c r="A1238" s="1" t="s">
        <v>1422</v>
      </c>
      <c r="B1238" s="3" t="s">
        <v>2186</v>
      </c>
      <c r="C1238" s="1" t="s">
        <v>1569</v>
      </c>
      <c r="D1238" s="1" t="s">
        <v>607</v>
      </c>
      <c r="E1238" s="1" t="s">
        <v>617</v>
      </c>
      <c r="F1238" s="1"/>
      <c r="G1238" s="1"/>
      <c r="H1238" s="1" t="s">
        <v>607</v>
      </c>
      <c r="I1238" s="1" t="s">
        <v>622</v>
      </c>
      <c r="J1238" s="4">
        <v>42675.0</v>
      </c>
      <c r="K1238" s="1">
        <v>1000.0</v>
      </c>
      <c r="L1238" s="1">
        <v>543.0</v>
      </c>
      <c r="M1238" s="1">
        <v>344.0</v>
      </c>
    </row>
    <row r="1239">
      <c r="A1239" s="1" t="s">
        <v>1424</v>
      </c>
      <c r="B1239" s="3" t="s">
        <v>1425</v>
      </c>
      <c r="C1239" s="1" t="s">
        <v>16</v>
      </c>
      <c r="D1239" s="1" t="s">
        <v>607</v>
      </c>
      <c r="E1239" s="1" t="s">
        <v>669</v>
      </c>
      <c r="F1239" s="1" t="str">
        <f>IFERROR(__xludf.DUMMYFUNCTION("SPLIT(E1239,""&gt;"")"),"Japanese Rarepepe")</f>
        <v>Japanese Rarepepe</v>
      </c>
      <c r="G1239" s="1" t="str">
        <f>IFERROR(__xludf.DUMMYFUNCTION("""COMPUTED_VALUE"""),"Series 13")</f>
        <v>Series 13</v>
      </c>
      <c r="H1239" s="1" t="s">
        <v>607</v>
      </c>
      <c r="I1239" s="1" t="s">
        <v>666</v>
      </c>
      <c r="J1239" s="4">
        <v>42767.0</v>
      </c>
      <c r="K1239" s="1">
        <v>1000.0</v>
      </c>
      <c r="L1239" s="1">
        <v>1000.0</v>
      </c>
      <c r="M1239" s="1">
        <v>619.0</v>
      </c>
    </row>
    <row r="1240" hidden="1">
      <c r="A1240" s="1" t="s">
        <v>1424</v>
      </c>
      <c r="B1240" s="3" t="s">
        <v>2187</v>
      </c>
      <c r="C1240" s="1" t="s">
        <v>1569</v>
      </c>
      <c r="D1240" s="1" t="s">
        <v>607</v>
      </c>
      <c r="E1240" s="1" t="s">
        <v>669</v>
      </c>
      <c r="F1240" s="1"/>
      <c r="G1240" s="1"/>
      <c r="H1240" s="1" t="s">
        <v>607</v>
      </c>
      <c r="I1240" s="1" t="s">
        <v>666</v>
      </c>
      <c r="J1240" s="4">
        <v>42767.0</v>
      </c>
      <c r="K1240" s="1">
        <v>1000.0</v>
      </c>
      <c r="L1240" s="1">
        <v>1000.0</v>
      </c>
      <c r="M1240" s="1">
        <v>619.0</v>
      </c>
    </row>
    <row r="1241">
      <c r="A1241" s="1" t="s">
        <v>1426</v>
      </c>
      <c r="B1241" s="3" t="s">
        <v>1427</v>
      </c>
      <c r="C1241" s="1" t="s">
        <v>16</v>
      </c>
      <c r="D1241" s="1" t="s">
        <v>44</v>
      </c>
      <c r="E1241" s="1" t="s">
        <v>669</v>
      </c>
      <c r="F1241" s="1" t="str">
        <f>IFERROR(__xludf.DUMMYFUNCTION("SPLIT(E1241,""&gt;"")"),"Japanese Rarepepe")</f>
        <v>Japanese Rarepepe</v>
      </c>
      <c r="G1241" s="1" t="str">
        <f>IFERROR(__xludf.DUMMYFUNCTION("""COMPUTED_VALUE"""),"Series 13")</f>
        <v>Series 13</v>
      </c>
      <c r="H1241" s="1" t="s">
        <v>44</v>
      </c>
      <c r="I1241" s="1" t="s">
        <v>666</v>
      </c>
      <c r="J1241" s="4">
        <v>42767.0</v>
      </c>
      <c r="K1241" s="1">
        <v>100.0</v>
      </c>
      <c r="L1241" s="1">
        <v>100.0</v>
      </c>
      <c r="M1241" s="1">
        <v>626.0</v>
      </c>
    </row>
    <row r="1242" hidden="1">
      <c r="A1242" s="1" t="s">
        <v>1426</v>
      </c>
      <c r="B1242" s="3" t="s">
        <v>2188</v>
      </c>
      <c r="C1242" s="1" t="s">
        <v>1569</v>
      </c>
      <c r="D1242" s="1" t="s">
        <v>44</v>
      </c>
      <c r="E1242" s="1" t="s">
        <v>669</v>
      </c>
      <c r="F1242" s="1"/>
      <c r="G1242" s="1"/>
      <c r="H1242" s="1" t="s">
        <v>44</v>
      </c>
      <c r="I1242" s="1" t="s">
        <v>666</v>
      </c>
      <c r="J1242" s="4">
        <v>42767.0</v>
      </c>
      <c r="K1242" s="1">
        <v>100.0</v>
      </c>
      <c r="L1242" s="1">
        <v>100.0</v>
      </c>
      <c r="M1242" s="1">
        <v>626.0</v>
      </c>
    </row>
    <row r="1243">
      <c r="A1243" s="1" t="s">
        <v>1428</v>
      </c>
      <c r="B1243" s="3" t="s">
        <v>1429</v>
      </c>
      <c r="C1243" s="1" t="s">
        <v>16</v>
      </c>
      <c r="D1243" s="1" t="s">
        <v>44</v>
      </c>
      <c r="E1243" s="1" t="s">
        <v>669</v>
      </c>
      <c r="F1243" s="1" t="str">
        <f>IFERROR(__xludf.DUMMYFUNCTION("SPLIT(E1243,""&gt;"")"),"Japanese Rarepepe")</f>
        <v>Japanese Rarepepe</v>
      </c>
      <c r="G1243" s="1" t="str">
        <f>IFERROR(__xludf.DUMMYFUNCTION("""COMPUTED_VALUE"""),"Series 13")</f>
        <v>Series 13</v>
      </c>
      <c r="H1243" s="1" t="s">
        <v>44</v>
      </c>
      <c r="I1243" s="1" t="s">
        <v>666</v>
      </c>
      <c r="J1243" s="4">
        <v>42767.0</v>
      </c>
      <c r="K1243" s="1">
        <v>142.0</v>
      </c>
      <c r="L1243" s="1">
        <v>142.0</v>
      </c>
      <c r="M1243" s="1">
        <v>649.0</v>
      </c>
    </row>
    <row r="1244" hidden="1">
      <c r="A1244" s="1" t="s">
        <v>1428</v>
      </c>
      <c r="B1244" s="3" t="s">
        <v>2189</v>
      </c>
      <c r="C1244" s="1" t="s">
        <v>1569</v>
      </c>
      <c r="D1244" s="1" t="s">
        <v>44</v>
      </c>
      <c r="E1244" s="1" t="s">
        <v>669</v>
      </c>
      <c r="F1244" s="1"/>
      <c r="G1244" s="1"/>
      <c r="H1244" s="1" t="s">
        <v>44</v>
      </c>
      <c r="I1244" s="1" t="s">
        <v>666</v>
      </c>
      <c r="J1244" s="4">
        <v>42767.0</v>
      </c>
      <c r="K1244" s="1">
        <v>142.0</v>
      </c>
      <c r="L1244" s="1">
        <v>142.0</v>
      </c>
      <c r="M1244" s="1">
        <v>649.0</v>
      </c>
    </row>
    <row r="1245">
      <c r="A1245" s="1" t="s">
        <v>1430</v>
      </c>
      <c r="B1245" s="3" t="s">
        <v>1431</v>
      </c>
      <c r="C1245" s="1" t="s">
        <v>16</v>
      </c>
      <c r="D1245" s="1" t="s">
        <v>1432</v>
      </c>
      <c r="E1245" s="1" t="s">
        <v>608</v>
      </c>
      <c r="F1245" s="1" t="str">
        <f>IFERROR(__xludf.DUMMYFUNCTION("SPLIT(E1245,""&gt;"")"),"Japanese Rarepepe")</f>
        <v>Japanese Rarepepe</v>
      </c>
      <c r="G1245" s="1" t="str">
        <f>IFERROR(__xludf.DUMMYFUNCTION("""COMPUTED_VALUE"""),"Series 05")</f>
        <v>Series 05</v>
      </c>
      <c r="H1245" s="1" t="s">
        <v>1432</v>
      </c>
      <c r="I1245" s="1" t="s">
        <v>609</v>
      </c>
      <c r="J1245" s="4">
        <v>42644.0</v>
      </c>
      <c r="K1245" s="1">
        <v>305.0</v>
      </c>
      <c r="L1245" s="1">
        <v>255.0</v>
      </c>
      <c r="M1245" s="1">
        <v>236.0</v>
      </c>
    </row>
    <row r="1246" hidden="1">
      <c r="A1246" s="1" t="s">
        <v>1430</v>
      </c>
      <c r="B1246" s="3" t="s">
        <v>2190</v>
      </c>
      <c r="C1246" s="1" t="s">
        <v>1569</v>
      </c>
      <c r="D1246" s="1" t="s">
        <v>1432</v>
      </c>
      <c r="E1246" s="1" t="s">
        <v>608</v>
      </c>
      <c r="F1246" s="1"/>
      <c r="G1246" s="1"/>
      <c r="H1246" s="1" t="s">
        <v>1432</v>
      </c>
      <c r="I1246" s="1" t="s">
        <v>609</v>
      </c>
      <c r="J1246" s="4">
        <v>42644.0</v>
      </c>
      <c r="K1246" s="1">
        <v>305.0</v>
      </c>
      <c r="L1246" s="1">
        <v>255.0</v>
      </c>
      <c r="M1246" s="1">
        <v>236.0</v>
      </c>
    </row>
    <row r="1247">
      <c r="A1247" s="1" t="s">
        <v>1433</v>
      </c>
      <c r="B1247" s="3" t="s">
        <v>1434</v>
      </c>
      <c r="C1247" s="1" t="s">
        <v>16</v>
      </c>
      <c r="D1247" s="1" t="s">
        <v>1432</v>
      </c>
      <c r="E1247" s="1" t="s">
        <v>1435</v>
      </c>
      <c r="F1247" s="1" t="str">
        <f>IFERROR(__xludf.DUMMYFUNCTION("SPLIT(E1247,""&gt;"")"),"Japanese Rarepepe")</f>
        <v>Japanese Rarepepe</v>
      </c>
      <c r="G1247" s="1" t="str">
        <f>IFERROR(__xludf.DUMMYFUNCTION("""COMPUTED_VALUE"""),"Series 15")</f>
        <v>Series 15</v>
      </c>
      <c r="H1247" s="1" t="s">
        <v>1432</v>
      </c>
      <c r="I1247" s="1" t="s">
        <v>590</v>
      </c>
      <c r="J1247" s="4">
        <v>42795.0</v>
      </c>
      <c r="K1247" s="1">
        <v>500.0</v>
      </c>
      <c r="L1247" s="1">
        <v>250.0</v>
      </c>
      <c r="M1247" s="1">
        <v>719.0</v>
      </c>
    </row>
    <row r="1248" hidden="1">
      <c r="A1248" s="1" t="s">
        <v>1433</v>
      </c>
      <c r="B1248" s="3" t="s">
        <v>2191</v>
      </c>
      <c r="C1248" s="1" t="s">
        <v>1569</v>
      </c>
      <c r="D1248" s="1" t="s">
        <v>1432</v>
      </c>
      <c r="E1248" s="1" t="s">
        <v>1435</v>
      </c>
      <c r="F1248" s="1"/>
      <c r="G1248" s="1"/>
      <c r="H1248" s="1" t="s">
        <v>1432</v>
      </c>
      <c r="I1248" s="1" t="s">
        <v>590</v>
      </c>
      <c r="J1248" s="4">
        <v>42795.0</v>
      </c>
      <c r="K1248" s="1">
        <v>500.0</v>
      </c>
      <c r="L1248" s="1">
        <v>250.0</v>
      </c>
      <c r="M1248" s="1">
        <v>719.0</v>
      </c>
    </row>
    <row r="1249">
      <c r="A1249" s="1" t="s">
        <v>1436</v>
      </c>
      <c r="B1249" s="3" t="s">
        <v>1437</v>
      </c>
      <c r="C1249" s="1" t="s">
        <v>16</v>
      </c>
      <c r="D1249" s="1" t="s">
        <v>1438</v>
      </c>
      <c r="E1249" s="1" t="s">
        <v>596</v>
      </c>
      <c r="F1249" s="1" t="str">
        <f>IFERROR(__xludf.DUMMYFUNCTION("SPLIT(E1249,""&gt;"")"),"Japanese Rarepepe")</f>
        <v>Japanese Rarepepe</v>
      </c>
      <c r="G1249" s="1" t="str">
        <f>IFERROR(__xludf.DUMMYFUNCTION("""COMPUTED_VALUE"""),"Series 26")</f>
        <v>Series 26</v>
      </c>
      <c r="H1249" s="1" t="s">
        <v>1438</v>
      </c>
      <c r="I1249" s="1" t="s">
        <v>395</v>
      </c>
      <c r="J1249" s="4">
        <v>42948.0</v>
      </c>
      <c r="K1249" s="1">
        <v>100.0</v>
      </c>
      <c r="L1249" s="1">
        <v>100.0</v>
      </c>
      <c r="M1249" s="1">
        <v>1285.0</v>
      </c>
    </row>
    <row r="1250" hidden="1">
      <c r="A1250" s="1" t="s">
        <v>1436</v>
      </c>
      <c r="B1250" s="3" t="s">
        <v>2192</v>
      </c>
      <c r="C1250" s="1" t="s">
        <v>1569</v>
      </c>
      <c r="D1250" s="1" t="s">
        <v>1438</v>
      </c>
      <c r="E1250" s="1" t="s">
        <v>596</v>
      </c>
      <c r="F1250" s="1"/>
      <c r="G1250" s="1"/>
      <c r="H1250" s="1" t="s">
        <v>1438</v>
      </c>
      <c r="I1250" s="1" t="s">
        <v>395</v>
      </c>
      <c r="J1250" s="4">
        <v>42948.0</v>
      </c>
      <c r="K1250" s="1">
        <v>100.0</v>
      </c>
      <c r="L1250" s="1">
        <v>100.0</v>
      </c>
      <c r="M1250" s="1">
        <v>1285.0</v>
      </c>
    </row>
    <row r="1251">
      <c r="A1251" s="1" t="s">
        <v>1439</v>
      </c>
      <c r="B1251" s="3" t="s">
        <v>1440</v>
      </c>
      <c r="C1251" s="1" t="s">
        <v>16</v>
      </c>
      <c r="D1251" s="1" t="s">
        <v>1438</v>
      </c>
      <c r="E1251" s="1" t="s">
        <v>604</v>
      </c>
      <c r="F1251" s="1" t="str">
        <f>IFERROR(__xludf.DUMMYFUNCTION("SPLIT(E1251,""&gt;"")"),"Japanese Rarepepe")</f>
        <v>Japanese Rarepepe</v>
      </c>
      <c r="G1251" s="1" t="str">
        <f>IFERROR(__xludf.DUMMYFUNCTION("""COMPUTED_VALUE"""),"Series 29")</f>
        <v>Series 29</v>
      </c>
      <c r="H1251" s="1" t="s">
        <v>1438</v>
      </c>
      <c r="I1251" s="1" t="s">
        <v>545</v>
      </c>
      <c r="J1251" s="4">
        <v>42979.0</v>
      </c>
      <c r="K1251" s="1">
        <v>100.0</v>
      </c>
      <c r="L1251" s="1">
        <v>100.0</v>
      </c>
      <c r="M1251" s="1">
        <v>1439.0</v>
      </c>
    </row>
    <row r="1252" hidden="1">
      <c r="A1252" s="1" t="s">
        <v>1439</v>
      </c>
      <c r="B1252" s="3" t="s">
        <v>2193</v>
      </c>
      <c r="C1252" s="1" t="s">
        <v>1569</v>
      </c>
      <c r="D1252" s="1" t="s">
        <v>1438</v>
      </c>
      <c r="E1252" s="1" t="s">
        <v>604</v>
      </c>
      <c r="F1252" s="1"/>
      <c r="G1252" s="1"/>
      <c r="H1252" s="1" t="s">
        <v>1438</v>
      </c>
      <c r="I1252" s="1" t="s">
        <v>545</v>
      </c>
      <c r="J1252" s="4">
        <v>42979.0</v>
      </c>
      <c r="K1252" s="1">
        <v>100.0</v>
      </c>
      <c r="L1252" s="1">
        <v>100.0</v>
      </c>
      <c r="M1252" s="1">
        <v>1439.0</v>
      </c>
    </row>
    <row r="1253">
      <c r="A1253" s="1" t="s">
        <v>1441</v>
      </c>
      <c r="B1253" s="3" t="s">
        <v>1442</v>
      </c>
      <c r="C1253" s="1" t="s">
        <v>16</v>
      </c>
      <c r="D1253" s="1" t="s">
        <v>1438</v>
      </c>
      <c r="E1253" s="1" t="s">
        <v>604</v>
      </c>
      <c r="F1253" s="1" t="str">
        <f>IFERROR(__xludf.DUMMYFUNCTION("SPLIT(E1253,""&gt;"")"),"Japanese Rarepepe")</f>
        <v>Japanese Rarepepe</v>
      </c>
      <c r="G1253" s="1" t="str">
        <f>IFERROR(__xludf.DUMMYFUNCTION("""COMPUTED_VALUE"""),"Series 29")</f>
        <v>Series 29</v>
      </c>
      <c r="H1253" s="1" t="s">
        <v>1438</v>
      </c>
      <c r="I1253" s="1" t="s">
        <v>545</v>
      </c>
      <c r="J1253" s="4">
        <v>42979.0</v>
      </c>
      <c r="K1253" s="1">
        <v>100.0</v>
      </c>
      <c r="L1253" s="1">
        <v>100.0</v>
      </c>
      <c r="M1253" s="1">
        <v>1404.0</v>
      </c>
    </row>
    <row r="1254" hidden="1">
      <c r="A1254" s="1" t="s">
        <v>1441</v>
      </c>
      <c r="B1254" s="3" t="s">
        <v>2194</v>
      </c>
      <c r="C1254" s="1" t="s">
        <v>1569</v>
      </c>
      <c r="D1254" s="1" t="s">
        <v>1438</v>
      </c>
      <c r="E1254" s="1" t="s">
        <v>604</v>
      </c>
      <c r="F1254" s="1"/>
      <c r="G1254" s="1"/>
      <c r="H1254" s="1" t="s">
        <v>1438</v>
      </c>
      <c r="I1254" s="1" t="s">
        <v>545</v>
      </c>
      <c r="J1254" s="4">
        <v>42979.0</v>
      </c>
      <c r="K1254" s="1">
        <v>100.0</v>
      </c>
      <c r="L1254" s="1">
        <v>100.0</v>
      </c>
      <c r="M1254" s="1">
        <v>1404.0</v>
      </c>
    </row>
    <row r="1255">
      <c r="A1255" s="1" t="s">
        <v>1443</v>
      </c>
      <c r="B1255" s="3" t="s">
        <v>1444</v>
      </c>
      <c r="C1255" s="1" t="s">
        <v>16</v>
      </c>
      <c r="D1255" s="1" t="s">
        <v>1438</v>
      </c>
      <c r="E1255" s="1" t="s">
        <v>876</v>
      </c>
      <c r="F1255" s="1" t="str">
        <f>IFERROR(__xludf.DUMMYFUNCTION("SPLIT(E1255,""&gt;"")"),"Japanese Rarepepe")</f>
        <v>Japanese Rarepepe</v>
      </c>
      <c r="G1255" s="1" t="str">
        <f>IFERROR(__xludf.DUMMYFUNCTION("""COMPUTED_VALUE"""),"Series 28")</f>
        <v>Series 28</v>
      </c>
      <c r="H1255" s="1" t="s">
        <v>1438</v>
      </c>
      <c r="I1255" s="1" t="s">
        <v>545</v>
      </c>
      <c r="J1255" s="4">
        <v>42979.0</v>
      </c>
      <c r="K1255" s="1">
        <v>100.0</v>
      </c>
      <c r="L1255" s="1">
        <v>100.0</v>
      </c>
      <c r="M1255" s="1">
        <v>1377.0</v>
      </c>
    </row>
    <row r="1256" hidden="1">
      <c r="A1256" s="1" t="s">
        <v>1443</v>
      </c>
      <c r="B1256" s="3" t="s">
        <v>2195</v>
      </c>
      <c r="C1256" s="1" t="s">
        <v>1569</v>
      </c>
      <c r="D1256" s="1" t="s">
        <v>1438</v>
      </c>
      <c r="E1256" s="1" t="s">
        <v>876</v>
      </c>
      <c r="F1256" s="1"/>
      <c r="G1256" s="1"/>
      <c r="H1256" s="1" t="s">
        <v>1438</v>
      </c>
      <c r="I1256" s="1" t="s">
        <v>545</v>
      </c>
      <c r="J1256" s="4">
        <v>42979.0</v>
      </c>
      <c r="K1256" s="1">
        <v>100.0</v>
      </c>
      <c r="L1256" s="1">
        <v>100.0</v>
      </c>
      <c r="M1256" s="1">
        <v>1377.0</v>
      </c>
    </row>
    <row r="1257">
      <c r="A1257" s="1" t="s">
        <v>1445</v>
      </c>
      <c r="B1257" s="3" t="s">
        <v>1446</v>
      </c>
      <c r="C1257" s="1" t="s">
        <v>16</v>
      </c>
      <c r="D1257" s="1" t="s">
        <v>1438</v>
      </c>
      <c r="E1257" s="1" t="s">
        <v>584</v>
      </c>
      <c r="F1257" s="1" t="str">
        <f>IFERROR(__xludf.DUMMYFUNCTION("SPLIT(E1257,""&gt;"")"),"Japanese Rarepepe")</f>
        <v>Japanese Rarepepe</v>
      </c>
      <c r="G1257" s="1" t="str">
        <f>IFERROR(__xludf.DUMMYFUNCTION("""COMPUTED_VALUE"""),"Series 27")</f>
        <v>Series 27</v>
      </c>
      <c r="H1257" s="1" t="s">
        <v>1438</v>
      </c>
      <c r="I1257" s="1" t="s">
        <v>395</v>
      </c>
      <c r="J1257" s="4">
        <v>42948.0</v>
      </c>
      <c r="K1257" s="1">
        <v>100.0</v>
      </c>
      <c r="L1257" s="1">
        <v>100.0</v>
      </c>
      <c r="M1257" s="1">
        <v>1335.0</v>
      </c>
    </row>
    <row r="1258" hidden="1">
      <c r="A1258" s="1" t="s">
        <v>1445</v>
      </c>
      <c r="B1258" s="3" t="s">
        <v>2196</v>
      </c>
      <c r="C1258" s="1" t="s">
        <v>1569</v>
      </c>
      <c r="D1258" s="1" t="s">
        <v>1438</v>
      </c>
      <c r="E1258" s="1" t="s">
        <v>584</v>
      </c>
      <c r="F1258" s="1"/>
      <c r="G1258" s="1"/>
      <c r="H1258" s="1" t="s">
        <v>1438</v>
      </c>
      <c r="I1258" s="1" t="s">
        <v>395</v>
      </c>
      <c r="J1258" s="4">
        <v>42948.0</v>
      </c>
      <c r="K1258" s="1">
        <v>100.0</v>
      </c>
      <c r="L1258" s="1">
        <v>100.0</v>
      </c>
      <c r="M1258" s="1">
        <v>1335.0</v>
      </c>
    </row>
    <row r="1259">
      <c r="A1259" s="1" t="s">
        <v>1447</v>
      </c>
      <c r="B1259" s="3" t="s">
        <v>1448</v>
      </c>
      <c r="C1259" s="1" t="s">
        <v>16</v>
      </c>
      <c r="D1259" s="1" t="s">
        <v>1449</v>
      </c>
      <c r="E1259" s="1" t="s">
        <v>679</v>
      </c>
      <c r="F1259" s="1" t="str">
        <f>IFERROR(__xludf.DUMMYFUNCTION("SPLIT(E1259,""&gt;"")"),"Japanese Rarepepe")</f>
        <v>Japanese Rarepepe</v>
      </c>
      <c r="G1259" s="1" t="str">
        <f>IFERROR(__xludf.DUMMYFUNCTION("""COMPUTED_VALUE"""),"Series 23")</f>
        <v>Series 23</v>
      </c>
      <c r="H1259" s="1" t="s">
        <v>1449</v>
      </c>
      <c r="I1259" s="1" t="s">
        <v>288</v>
      </c>
      <c r="J1259" s="4">
        <v>42917.0</v>
      </c>
      <c r="K1259" s="1">
        <v>777.0</v>
      </c>
      <c r="L1259" s="1">
        <v>777.0</v>
      </c>
      <c r="M1259" s="1">
        <v>1113.0</v>
      </c>
    </row>
    <row r="1260" hidden="1">
      <c r="A1260" s="1" t="s">
        <v>1447</v>
      </c>
      <c r="B1260" s="3" t="s">
        <v>2197</v>
      </c>
      <c r="C1260" s="1" t="s">
        <v>1569</v>
      </c>
      <c r="D1260" s="1" t="s">
        <v>1449</v>
      </c>
      <c r="E1260" s="1" t="s">
        <v>679</v>
      </c>
      <c r="F1260" s="1"/>
      <c r="G1260" s="1"/>
      <c r="H1260" s="1" t="s">
        <v>1449</v>
      </c>
      <c r="I1260" s="1" t="s">
        <v>288</v>
      </c>
      <c r="J1260" s="4">
        <v>42917.0</v>
      </c>
      <c r="K1260" s="1">
        <v>777.0</v>
      </c>
      <c r="L1260" s="1">
        <v>777.0</v>
      </c>
      <c r="M1260" s="1">
        <v>1113.0</v>
      </c>
    </row>
    <row r="1261">
      <c r="A1261" s="1" t="s">
        <v>1450</v>
      </c>
      <c r="B1261" s="3" t="s">
        <v>1451</v>
      </c>
      <c r="C1261" s="1" t="s">
        <v>16</v>
      </c>
      <c r="D1261" s="1" t="s">
        <v>1449</v>
      </c>
      <c r="E1261" s="1" t="s">
        <v>581</v>
      </c>
      <c r="F1261" s="1" t="str">
        <f>IFERROR(__xludf.DUMMYFUNCTION("SPLIT(E1261,""&gt;"")"),"Japanese Rarepepe")</f>
        <v>Japanese Rarepepe</v>
      </c>
      <c r="G1261" s="1" t="str">
        <f>IFERROR(__xludf.DUMMYFUNCTION("""COMPUTED_VALUE"""),"Series 24")</f>
        <v>Series 24</v>
      </c>
      <c r="H1261" s="1" t="s">
        <v>1449</v>
      </c>
      <c r="I1261" s="1" t="s">
        <v>288</v>
      </c>
      <c r="J1261" s="4">
        <v>42917.0</v>
      </c>
      <c r="K1261" s="1">
        <v>100.0</v>
      </c>
      <c r="L1261" s="1">
        <v>100.0</v>
      </c>
      <c r="M1261" s="1">
        <v>1180.0</v>
      </c>
    </row>
    <row r="1262" hidden="1">
      <c r="A1262" s="1" t="s">
        <v>1450</v>
      </c>
      <c r="B1262" s="3" t="s">
        <v>2198</v>
      </c>
      <c r="C1262" s="1" t="s">
        <v>1569</v>
      </c>
      <c r="D1262" s="1" t="s">
        <v>1449</v>
      </c>
      <c r="E1262" s="1" t="s">
        <v>581</v>
      </c>
      <c r="F1262" s="1"/>
      <c r="G1262" s="1"/>
      <c r="H1262" s="1" t="s">
        <v>1449</v>
      </c>
      <c r="I1262" s="1" t="s">
        <v>288</v>
      </c>
      <c r="J1262" s="4">
        <v>42917.0</v>
      </c>
      <c r="K1262" s="1">
        <v>100.0</v>
      </c>
      <c r="L1262" s="1">
        <v>100.0</v>
      </c>
      <c r="M1262" s="1">
        <v>1180.0</v>
      </c>
    </row>
    <row r="1263">
      <c r="A1263" s="1" t="s">
        <v>1452</v>
      </c>
      <c r="B1263" s="3" t="s">
        <v>1453</v>
      </c>
      <c r="C1263" s="1" t="s">
        <v>16</v>
      </c>
      <c r="D1263" s="1" t="s">
        <v>1449</v>
      </c>
      <c r="E1263" s="1" t="s">
        <v>792</v>
      </c>
      <c r="F1263" s="1" t="str">
        <f>IFERROR(__xludf.DUMMYFUNCTION("SPLIT(E1263,""&gt;"")"),"Japanese Rarepepe")</f>
        <v>Japanese Rarepepe</v>
      </c>
      <c r="G1263" s="1" t="str">
        <f>IFERROR(__xludf.DUMMYFUNCTION("""COMPUTED_VALUE"""),"Series 25")</f>
        <v>Series 25</v>
      </c>
      <c r="H1263" s="1" t="s">
        <v>1449</v>
      </c>
      <c r="I1263" s="1" t="s">
        <v>395</v>
      </c>
      <c r="J1263" s="4">
        <v>42948.0</v>
      </c>
      <c r="K1263" s="1">
        <v>100.0</v>
      </c>
      <c r="L1263" s="1">
        <v>100.0</v>
      </c>
      <c r="M1263" s="1">
        <v>1205.0</v>
      </c>
    </row>
    <row r="1264" hidden="1">
      <c r="A1264" s="1" t="s">
        <v>1452</v>
      </c>
      <c r="B1264" s="3" t="s">
        <v>2199</v>
      </c>
      <c r="C1264" s="1" t="s">
        <v>1569</v>
      </c>
      <c r="D1264" s="1" t="s">
        <v>1449</v>
      </c>
      <c r="E1264" s="1" t="s">
        <v>792</v>
      </c>
      <c r="F1264" s="1"/>
      <c r="G1264" s="1"/>
      <c r="H1264" s="1" t="s">
        <v>1449</v>
      </c>
      <c r="I1264" s="1" t="s">
        <v>395</v>
      </c>
      <c r="J1264" s="4">
        <v>42948.0</v>
      </c>
      <c r="K1264" s="1">
        <v>100.0</v>
      </c>
      <c r="L1264" s="1">
        <v>100.0</v>
      </c>
      <c r="M1264" s="1">
        <v>1205.0</v>
      </c>
    </row>
    <row r="1265">
      <c r="A1265" s="1" t="s">
        <v>1454</v>
      </c>
      <c r="B1265" s="3" t="s">
        <v>1455</v>
      </c>
      <c r="C1265" s="1" t="s">
        <v>16</v>
      </c>
      <c r="D1265" s="1" t="s">
        <v>1449</v>
      </c>
      <c r="E1265" s="1" t="s">
        <v>596</v>
      </c>
      <c r="F1265" s="1" t="str">
        <f>IFERROR(__xludf.DUMMYFUNCTION("SPLIT(E1265,""&gt;"")"),"Japanese Rarepepe")</f>
        <v>Japanese Rarepepe</v>
      </c>
      <c r="G1265" s="1" t="str">
        <f>IFERROR(__xludf.DUMMYFUNCTION("""COMPUTED_VALUE"""),"Series 26")</f>
        <v>Series 26</v>
      </c>
      <c r="H1265" s="1" t="s">
        <v>1449</v>
      </c>
      <c r="I1265" s="1" t="s">
        <v>395</v>
      </c>
      <c r="J1265" s="4">
        <v>42948.0</v>
      </c>
      <c r="K1265" s="1">
        <v>100.0</v>
      </c>
      <c r="L1265" s="1">
        <v>100.0</v>
      </c>
      <c r="M1265" s="1">
        <v>1252.0</v>
      </c>
    </row>
    <row r="1266" hidden="1">
      <c r="A1266" s="1" t="s">
        <v>1454</v>
      </c>
      <c r="B1266" s="3" t="s">
        <v>2200</v>
      </c>
      <c r="C1266" s="1" t="s">
        <v>1569</v>
      </c>
      <c r="D1266" s="1" t="s">
        <v>1449</v>
      </c>
      <c r="E1266" s="1" t="s">
        <v>596</v>
      </c>
      <c r="F1266" s="1"/>
      <c r="G1266" s="1"/>
      <c r="H1266" s="1" t="s">
        <v>1449</v>
      </c>
      <c r="I1266" s="1" t="s">
        <v>395</v>
      </c>
      <c r="J1266" s="4">
        <v>42948.0</v>
      </c>
      <c r="K1266" s="1">
        <v>100.0</v>
      </c>
      <c r="L1266" s="1">
        <v>100.0</v>
      </c>
      <c r="M1266" s="1">
        <v>1252.0</v>
      </c>
    </row>
    <row r="1267">
      <c r="A1267" s="1" t="s">
        <v>1456</v>
      </c>
      <c r="B1267" s="3" t="s">
        <v>1457</v>
      </c>
      <c r="C1267" s="1" t="s">
        <v>16</v>
      </c>
      <c r="D1267" s="1" t="s">
        <v>1449</v>
      </c>
      <c r="E1267" s="1" t="s">
        <v>876</v>
      </c>
      <c r="F1267" s="1" t="str">
        <f>IFERROR(__xludf.DUMMYFUNCTION("SPLIT(E1267,""&gt;"")"),"Japanese Rarepepe")</f>
        <v>Japanese Rarepepe</v>
      </c>
      <c r="G1267" s="1" t="str">
        <f>IFERROR(__xludf.DUMMYFUNCTION("""COMPUTED_VALUE"""),"Series 28")</f>
        <v>Series 28</v>
      </c>
      <c r="H1267" s="1" t="s">
        <v>1449</v>
      </c>
      <c r="I1267" s="1" t="s">
        <v>545</v>
      </c>
      <c r="J1267" s="4">
        <v>42979.0</v>
      </c>
      <c r="K1267" s="1">
        <v>100.0</v>
      </c>
      <c r="L1267" s="1">
        <v>100.0</v>
      </c>
      <c r="M1267" s="1">
        <v>1372.0</v>
      </c>
    </row>
    <row r="1268" hidden="1">
      <c r="A1268" s="1" t="s">
        <v>1456</v>
      </c>
      <c r="B1268" s="3" t="s">
        <v>2201</v>
      </c>
      <c r="C1268" s="1" t="s">
        <v>1569</v>
      </c>
      <c r="D1268" s="1" t="s">
        <v>1449</v>
      </c>
      <c r="E1268" s="1" t="s">
        <v>876</v>
      </c>
      <c r="F1268" s="1"/>
      <c r="G1268" s="1"/>
      <c r="H1268" s="1" t="s">
        <v>1449</v>
      </c>
      <c r="I1268" s="1" t="s">
        <v>545</v>
      </c>
      <c r="J1268" s="4">
        <v>42979.0</v>
      </c>
      <c r="K1268" s="1">
        <v>100.0</v>
      </c>
      <c r="L1268" s="1">
        <v>100.0</v>
      </c>
      <c r="M1268" s="1">
        <v>1372.0</v>
      </c>
    </row>
    <row r="1269">
      <c r="A1269" s="1" t="s">
        <v>1458</v>
      </c>
      <c r="B1269" s="3" t="s">
        <v>1459</v>
      </c>
      <c r="C1269" s="1" t="s">
        <v>16</v>
      </c>
      <c r="D1269" s="1" t="s">
        <v>1449</v>
      </c>
      <c r="E1269" s="1" t="s">
        <v>797</v>
      </c>
      <c r="F1269" s="1" t="str">
        <f>IFERROR(__xludf.DUMMYFUNCTION("SPLIT(E1269,""&gt;"")"),"Japanese Rarepepe")</f>
        <v>Japanese Rarepepe</v>
      </c>
      <c r="G1269" s="1" t="str">
        <f>IFERROR(__xludf.DUMMYFUNCTION("""COMPUTED_VALUE"""),"Series 30")</f>
        <v>Series 30</v>
      </c>
      <c r="H1269" s="1" t="s">
        <v>1449</v>
      </c>
      <c r="I1269" s="1" t="s">
        <v>853</v>
      </c>
      <c r="J1269" s="4">
        <v>43009.0</v>
      </c>
      <c r="K1269" s="1">
        <v>100.0</v>
      </c>
      <c r="L1269" s="1">
        <v>100.0</v>
      </c>
      <c r="M1269" s="1">
        <v>1491.0</v>
      </c>
    </row>
    <row r="1270" hidden="1">
      <c r="A1270" s="1" t="s">
        <v>1458</v>
      </c>
      <c r="B1270" s="3" t="s">
        <v>2202</v>
      </c>
      <c r="C1270" s="1" t="s">
        <v>1569</v>
      </c>
      <c r="D1270" s="1" t="s">
        <v>1449</v>
      </c>
      <c r="E1270" s="1" t="s">
        <v>797</v>
      </c>
      <c r="F1270" s="1"/>
      <c r="G1270" s="1"/>
      <c r="H1270" s="1" t="s">
        <v>1449</v>
      </c>
      <c r="I1270" s="1" t="s">
        <v>853</v>
      </c>
      <c r="J1270" s="4">
        <v>43009.0</v>
      </c>
      <c r="K1270" s="1">
        <v>100.0</v>
      </c>
      <c r="L1270" s="1">
        <v>100.0</v>
      </c>
      <c r="M1270" s="1">
        <v>1491.0</v>
      </c>
    </row>
    <row r="1271">
      <c r="A1271" s="1" t="s">
        <v>1460</v>
      </c>
      <c r="B1271" s="3" t="s">
        <v>1461</v>
      </c>
      <c r="C1271" s="1" t="s">
        <v>16</v>
      </c>
      <c r="D1271" s="1" t="s">
        <v>44</v>
      </c>
      <c r="E1271" s="1" t="s">
        <v>826</v>
      </c>
      <c r="F1271" s="1" t="str">
        <f>IFERROR(__xludf.DUMMYFUNCTION("SPLIT(E1271,""&gt;"")"),"Japanese Rarepepe")</f>
        <v>Japanese Rarepepe</v>
      </c>
      <c r="G1271" s="1" t="str">
        <f>IFERROR(__xludf.DUMMYFUNCTION("""COMPUTED_VALUE"""),"Series 36")</f>
        <v>Series 36</v>
      </c>
      <c r="H1271" s="1" t="s">
        <v>44</v>
      </c>
      <c r="I1271" s="1" t="s">
        <v>823</v>
      </c>
      <c r="J1271" s="4">
        <v>43160.0</v>
      </c>
      <c r="K1271" s="1">
        <v>117.0</v>
      </c>
      <c r="L1271" s="1">
        <v>117.0</v>
      </c>
      <c r="M1271" s="1">
        <v>1751.0</v>
      </c>
    </row>
    <row r="1272" hidden="1">
      <c r="A1272" s="1" t="s">
        <v>1460</v>
      </c>
      <c r="B1272" s="3" t="s">
        <v>2203</v>
      </c>
      <c r="C1272" s="1" t="s">
        <v>1569</v>
      </c>
      <c r="D1272" s="1" t="s">
        <v>44</v>
      </c>
      <c r="E1272" s="1" t="s">
        <v>826</v>
      </c>
      <c r="F1272" s="1"/>
      <c r="G1272" s="1"/>
      <c r="H1272" s="1" t="s">
        <v>44</v>
      </c>
      <c r="I1272" s="1" t="s">
        <v>823</v>
      </c>
      <c r="J1272" s="4">
        <v>43160.0</v>
      </c>
      <c r="K1272" s="1">
        <v>117.0</v>
      </c>
      <c r="L1272" s="1">
        <v>117.0</v>
      </c>
      <c r="M1272" s="1">
        <v>1751.0</v>
      </c>
    </row>
    <row r="1273" hidden="1">
      <c r="A1273" s="1" t="s">
        <v>1401</v>
      </c>
      <c r="B1273" s="3" t="s">
        <v>2204</v>
      </c>
      <c r="C1273" s="1" t="s">
        <v>1569</v>
      </c>
      <c r="D1273" s="1" t="s">
        <v>1384</v>
      </c>
      <c r="E1273" s="1" t="s">
        <v>1385</v>
      </c>
      <c r="F1273" s="1"/>
      <c r="G1273" s="1"/>
      <c r="H1273" s="1" t="s">
        <v>1384</v>
      </c>
      <c r="I1273" s="1" t="s">
        <v>715</v>
      </c>
      <c r="J1273" s="4">
        <v>42736.0</v>
      </c>
      <c r="K1273" s="1">
        <v>2000.0</v>
      </c>
      <c r="L1273" s="1">
        <v>2000.0</v>
      </c>
      <c r="M1273" s="1" t="s">
        <v>1387</v>
      </c>
    </row>
    <row r="1274">
      <c r="A1274" s="1" t="s">
        <v>1462</v>
      </c>
      <c r="B1274" s="3" t="s">
        <v>1463</v>
      </c>
      <c r="C1274" s="1" t="s">
        <v>16</v>
      </c>
      <c r="D1274" s="1" t="s">
        <v>1384</v>
      </c>
      <c r="E1274" s="1" t="s">
        <v>1385</v>
      </c>
      <c r="F1274" s="1" t="str">
        <f>IFERROR(__xludf.DUMMYFUNCTION("SPLIT(E1274,""&gt;"")"),"Japanese SoG")</f>
        <v>Japanese SoG</v>
      </c>
      <c r="G1274" s="1"/>
      <c r="H1274" s="1" t="s">
        <v>1384</v>
      </c>
      <c r="I1274" s="1" t="s">
        <v>1464</v>
      </c>
      <c r="J1274" s="4">
        <v>42370.0</v>
      </c>
      <c r="K1274" s="1">
        <v>700.0</v>
      </c>
      <c r="L1274" s="1">
        <v>700.0</v>
      </c>
      <c r="M1274" s="1" t="s">
        <v>1387</v>
      </c>
    </row>
    <row r="1275" hidden="1">
      <c r="A1275" s="1" t="s">
        <v>1462</v>
      </c>
      <c r="B1275" s="3" t="s">
        <v>2205</v>
      </c>
      <c r="C1275" s="1" t="s">
        <v>1569</v>
      </c>
      <c r="D1275" s="1" t="s">
        <v>1384</v>
      </c>
      <c r="E1275" s="1" t="s">
        <v>1385</v>
      </c>
      <c r="F1275" s="1"/>
      <c r="G1275" s="1"/>
      <c r="H1275" s="1" t="s">
        <v>1384</v>
      </c>
      <c r="I1275" s="1" t="s">
        <v>1464</v>
      </c>
      <c r="J1275" s="4">
        <v>42370.0</v>
      </c>
      <c r="K1275" s="1">
        <v>700.0</v>
      </c>
      <c r="L1275" s="1">
        <v>700.0</v>
      </c>
      <c r="M1275" s="1" t="s">
        <v>1387</v>
      </c>
    </row>
    <row r="1276">
      <c r="A1276" s="1" t="s">
        <v>1465</v>
      </c>
      <c r="B1276" s="3" t="s">
        <v>1466</v>
      </c>
      <c r="C1276" s="1" t="s">
        <v>16</v>
      </c>
      <c r="D1276" s="1" t="s">
        <v>1384</v>
      </c>
      <c r="E1276" s="1" t="s">
        <v>1385</v>
      </c>
      <c r="F1276" s="1" t="str">
        <f>IFERROR(__xludf.DUMMYFUNCTION("SPLIT(E1276,""&gt;"")"),"Japanese SoG")</f>
        <v>Japanese SoG</v>
      </c>
      <c r="G1276" s="1"/>
      <c r="H1276" s="1" t="s">
        <v>1384</v>
      </c>
      <c r="I1276" s="1" t="s">
        <v>1467</v>
      </c>
      <c r="J1276" s="4">
        <v>42430.0</v>
      </c>
      <c r="K1276" s="1">
        <v>1600.0</v>
      </c>
      <c r="L1276" s="1">
        <v>1600.0</v>
      </c>
      <c r="M1276" s="1" t="s">
        <v>1387</v>
      </c>
    </row>
    <row r="1277" hidden="1">
      <c r="A1277" s="1" t="s">
        <v>1465</v>
      </c>
      <c r="B1277" s="3" t="s">
        <v>2206</v>
      </c>
      <c r="C1277" s="1" t="s">
        <v>1569</v>
      </c>
      <c r="D1277" s="1" t="s">
        <v>1384</v>
      </c>
      <c r="E1277" s="1" t="s">
        <v>1385</v>
      </c>
      <c r="F1277" s="1"/>
      <c r="G1277" s="1"/>
      <c r="H1277" s="1" t="s">
        <v>1384</v>
      </c>
      <c r="I1277" s="1" t="s">
        <v>1467</v>
      </c>
      <c r="J1277" s="4">
        <v>42430.0</v>
      </c>
      <c r="K1277" s="1">
        <v>1600.0</v>
      </c>
      <c r="L1277" s="1">
        <v>1600.0</v>
      </c>
      <c r="M1277" s="1" t="s">
        <v>1387</v>
      </c>
    </row>
    <row r="1278">
      <c r="A1278" s="1" t="s">
        <v>1468</v>
      </c>
      <c r="B1278" s="3" t="s">
        <v>1469</v>
      </c>
      <c r="C1278" s="1" t="s">
        <v>16</v>
      </c>
      <c r="D1278" s="1" t="s">
        <v>1384</v>
      </c>
      <c r="E1278" s="1" t="s">
        <v>1385</v>
      </c>
      <c r="F1278" s="1" t="str">
        <f>IFERROR(__xludf.DUMMYFUNCTION("SPLIT(E1278,""&gt;"")"),"Japanese SoG")</f>
        <v>Japanese SoG</v>
      </c>
      <c r="G1278" s="1"/>
      <c r="H1278" s="1" t="s">
        <v>1384</v>
      </c>
      <c r="I1278" s="1" t="s">
        <v>1386</v>
      </c>
      <c r="J1278" s="4">
        <v>42278.0</v>
      </c>
      <c r="K1278" s="1">
        <v>1200.0</v>
      </c>
      <c r="L1278" s="1">
        <v>379.0</v>
      </c>
      <c r="M1278" s="1" t="s">
        <v>1387</v>
      </c>
    </row>
    <row r="1279" hidden="1">
      <c r="A1279" s="1" t="s">
        <v>1468</v>
      </c>
      <c r="B1279" s="3" t="s">
        <v>2207</v>
      </c>
      <c r="C1279" s="1" t="s">
        <v>1569</v>
      </c>
      <c r="D1279" s="1" t="s">
        <v>1384</v>
      </c>
      <c r="E1279" s="1" t="s">
        <v>1385</v>
      </c>
      <c r="F1279" s="1"/>
      <c r="G1279" s="1"/>
      <c r="H1279" s="1" t="s">
        <v>1384</v>
      </c>
      <c r="I1279" s="1" t="s">
        <v>1386</v>
      </c>
      <c r="J1279" s="4">
        <v>42278.0</v>
      </c>
      <c r="K1279" s="1">
        <v>1200.0</v>
      </c>
      <c r="L1279" s="1">
        <v>379.0</v>
      </c>
      <c r="M1279" s="1" t="s">
        <v>1387</v>
      </c>
    </row>
    <row r="1280">
      <c r="A1280" s="1" t="s">
        <v>1470</v>
      </c>
      <c r="B1280" s="3" t="s">
        <v>1471</v>
      </c>
      <c r="C1280" s="1" t="s">
        <v>16</v>
      </c>
      <c r="D1280" s="1" t="s">
        <v>1384</v>
      </c>
      <c r="E1280" s="1" t="s">
        <v>1385</v>
      </c>
      <c r="F1280" s="1" t="str">
        <f>IFERROR(__xludf.DUMMYFUNCTION("SPLIT(E1280,""&gt;"")"),"Japanese SoG")</f>
        <v>Japanese SoG</v>
      </c>
      <c r="G1280" s="1"/>
      <c r="H1280" s="1" t="s">
        <v>1384</v>
      </c>
      <c r="I1280" s="1" t="s">
        <v>1472</v>
      </c>
      <c r="J1280" s="4">
        <v>42339.0</v>
      </c>
      <c r="K1280" s="1">
        <v>1200.0</v>
      </c>
      <c r="L1280" s="1">
        <v>1200.0</v>
      </c>
      <c r="M1280" s="1" t="s">
        <v>1387</v>
      </c>
    </row>
    <row r="1281" hidden="1">
      <c r="A1281" s="1" t="s">
        <v>1470</v>
      </c>
      <c r="B1281" s="3" t="s">
        <v>2208</v>
      </c>
      <c r="C1281" s="1" t="s">
        <v>1569</v>
      </c>
      <c r="D1281" s="1" t="s">
        <v>1384</v>
      </c>
      <c r="E1281" s="1" t="s">
        <v>1385</v>
      </c>
      <c r="F1281" s="1"/>
      <c r="G1281" s="1"/>
      <c r="H1281" s="1" t="s">
        <v>1384</v>
      </c>
      <c r="I1281" s="1" t="s">
        <v>1472</v>
      </c>
      <c r="J1281" s="4">
        <v>42339.0</v>
      </c>
      <c r="K1281" s="1">
        <v>1200.0</v>
      </c>
      <c r="L1281" s="1">
        <v>1200.0</v>
      </c>
      <c r="M1281" s="1" t="s">
        <v>1387</v>
      </c>
    </row>
    <row r="1282">
      <c r="A1282" s="1" t="s">
        <v>1252</v>
      </c>
      <c r="B1282" s="3" t="s">
        <v>1473</v>
      </c>
      <c r="C1282" s="1" t="s">
        <v>16</v>
      </c>
      <c r="D1282" s="1" t="s">
        <v>1384</v>
      </c>
      <c r="E1282" s="1" t="s">
        <v>1385</v>
      </c>
      <c r="F1282" s="1" t="str">
        <f>IFERROR(__xludf.DUMMYFUNCTION("SPLIT(E1282,""&gt;"")"),"Japanese SoG")</f>
        <v>Japanese SoG</v>
      </c>
      <c r="G1282" s="1"/>
      <c r="H1282" s="1" t="s">
        <v>1384</v>
      </c>
      <c r="I1282" s="1" t="s">
        <v>666</v>
      </c>
      <c r="J1282" s="4">
        <v>42767.0</v>
      </c>
      <c r="K1282" s="1">
        <v>1000.0</v>
      </c>
      <c r="L1282" s="1">
        <v>500.0</v>
      </c>
      <c r="M1282" s="1" t="s">
        <v>1387</v>
      </c>
    </row>
    <row r="1283" hidden="1">
      <c r="A1283" s="1" t="s">
        <v>1252</v>
      </c>
      <c r="B1283" s="3" t="s">
        <v>2209</v>
      </c>
      <c r="C1283" s="1" t="s">
        <v>1569</v>
      </c>
      <c r="D1283" s="1" t="s">
        <v>1384</v>
      </c>
      <c r="E1283" s="1" t="s">
        <v>1385</v>
      </c>
      <c r="F1283" s="1"/>
      <c r="G1283" s="1"/>
      <c r="H1283" s="1" t="s">
        <v>1384</v>
      </c>
      <c r="I1283" s="1" t="s">
        <v>666</v>
      </c>
      <c r="J1283" s="4">
        <v>42767.0</v>
      </c>
      <c r="K1283" s="1">
        <v>1000.0</v>
      </c>
      <c r="L1283" s="1">
        <v>500.0</v>
      </c>
      <c r="M1283" s="1" t="s">
        <v>1387</v>
      </c>
    </row>
    <row r="1284">
      <c r="A1284" s="1" t="s">
        <v>1130</v>
      </c>
      <c r="B1284" s="3" t="s">
        <v>1474</v>
      </c>
      <c r="C1284" s="1" t="s">
        <v>16</v>
      </c>
      <c r="D1284" s="1" t="s">
        <v>1384</v>
      </c>
      <c r="E1284" s="1" t="s">
        <v>1385</v>
      </c>
      <c r="F1284" s="1" t="str">
        <f>IFERROR(__xludf.DUMMYFUNCTION("SPLIT(E1284,""&gt;"")"),"Japanese SoG")</f>
        <v>Japanese SoG</v>
      </c>
      <c r="G1284" s="1"/>
      <c r="H1284" s="1" t="s">
        <v>1384</v>
      </c>
      <c r="I1284" s="1" t="s">
        <v>666</v>
      </c>
      <c r="J1284" s="4">
        <v>42767.0</v>
      </c>
      <c r="K1284" s="1">
        <v>1000.0</v>
      </c>
      <c r="L1284" s="1">
        <v>500.0</v>
      </c>
      <c r="M1284" s="1" t="s">
        <v>1387</v>
      </c>
    </row>
    <row r="1285" hidden="1">
      <c r="A1285" s="1" t="s">
        <v>1130</v>
      </c>
      <c r="B1285" s="3" t="s">
        <v>2210</v>
      </c>
      <c r="C1285" s="1" t="s">
        <v>1569</v>
      </c>
      <c r="D1285" s="1" t="s">
        <v>1384</v>
      </c>
      <c r="E1285" s="1" t="s">
        <v>1385</v>
      </c>
      <c r="F1285" s="1"/>
      <c r="G1285" s="1"/>
      <c r="H1285" s="1" t="s">
        <v>1384</v>
      </c>
      <c r="I1285" s="1" t="s">
        <v>666</v>
      </c>
      <c r="J1285" s="4">
        <v>42767.0</v>
      </c>
      <c r="K1285" s="1">
        <v>1000.0</v>
      </c>
      <c r="L1285" s="1">
        <v>500.0</v>
      </c>
      <c r="M1285" s="1" t="s">
        <v>1387</v>
      </c>
    </row>
    <row r="1286">
      <c r="A1286" s="1" t="s">
        <v>1166</v>
      </c>
      <c r="B1286" s="3" t="s">
        <v>1475</v>
      </c>
      <c r="C1286" s="1" t="s">
        <v>16</v>
      </c>
      <c r="D1286" s="1" t="s">
        <v>1384</v>
      </c>
      <c r="E1286" s="1" t="s">
        <v>1385</v>
      </c>
      <c r="F1286" s="1" t="str">
        <f>IFERROR(__xludf.DUMMYFUNCTION("SPLIT(E1286,""&gt;"")"),"Japanese SoG")</f>
        <v>Japanese SoG</v>
      </c>
      <c r="G1286" s="1"/>
      <c r="H1286" s="1" t="s">
        <v>1384</v>
      </c>
      <c r="I1286" s="1" t="s">
        <v>666</v>
      </c>
      <c r="J1286" s="4">
        <v>42767.0</v>
      </c>
      <c r="K1286" s="1">
        <v>1000.0</v>
      </c>
      <c r="L1286" s="1">
        <v>500.0</v>
      </c>
      <c r="M1286" s="1" t="s">
        <v>1387</v>
      </c>
    </row>
    <row r="1287">
      <c r="A1287" s="1" t="s">
        <v>1042</v>
      </c>
      <c r="B1287" s="3" t="s">
        <v>1476</v>
      </c>
      <c r="C1287" s="1" t="s">
        <v>16</v>
      </c>
      <c r="D1287" s="1" t="s">
        <v>1384</v>
      </c>
      <c r="E1287" s="1" t="s">
        <v>1385</v>
      </c>
      <c r="F1287" s="1" t="str">
        <f>IFERROR(__xludf.DUMMYFUNCTION("SPLIT(E1287,""&gt;"")"),"Japanese SoG")</f>
        <v>Japanese SoG</v>
      </c>
      <c r="G1287" s="1"/>
      <c r="H1287" s="1" t="s">
        <v>1384</v>
      </c>
      <c r="I1287" s="1" t="s">
        <v>666</v>
      </c>
      <c r="J1287" s="4">
        <v>42767.0</v>
      </c>
      <c r="K1287" s="1">
        <v>1000.0</v>
      </c>
      <c r="L1287" s="1">
        <v>500.0</v>
      </c>
      <c r="M1287" s="1" t="s">
        <v>1387</v>
      </c>
    </row>
    <row r="1288" hidden="1">
      <c r="A1288" s="1" t="s">
        <v>1042</v>
      </c>
      <c r="B1288" s="3" t="s">
        <v>2211</v>
      </c>
      <c r="C1288" s="1" t="s">
        <v>1569</v>
      </c>
      <c r="D1288" s="1" t="s">
        <v>1384</v>
      </c>
      <c r="E1288" s="1" t="s">
        <v>1385</v>
      </c>
      <c r="F1288" s="1"/>
      <c r="G1288" s="1"/>
      <c r="H1288" s="1" t="s">
        <v>1384</v>
      </c>
      <c r="I1288" s="1" t="s">
        <v>666</v>
      </c>
      <c r="J1288" s="4">
        <v>42767.0</v>
      </c>
      <c r="K1288" s="1">
        <v>1000.0</v>
      </c>
      <c r="L1288" s="1">
        <v>500.0</v>
      </c>
      <c r="M1288" s="1" t="s">
        <v>1387</v>
      </c>
    </row>
    <row r="1289">
      <c r="A1289" s="1" t="s">
        <v>1022</v>
      </c>
      <c r="B1289" s="3" t="s">
        <v>1477</v>
      </c>
      <c r="C1289" s="1" t="s">
        <v>16</v>
      </c>
      <c r="D1289" s="1" t="s">
        <v>1384</v>
      </c>
      <c r="E1289" s="1" t="s">
        <v>1385</v>
      </c>
      <c r="F1289" s="1" t="str">
        <f>IFERROR(__xludf.DUMMYFUNCTION("SPLIT(E1289,""&gt;"")"),"Japanese SoG")</f>
        <v>Japanese SoG</v>
      </c>
      <c r="G1289" s="1"/>
      <c r="H1289" s="1" t="s">
        <v>1384</v>
      </c>
      <c r="I1289" s="1" t="s">
        <v>666</v>
      </c>
      <c r="J1289" s="4">
        <v>42767.0</v>
      </c>
      <c r="K1289" s="1">
        <v>1000.0</v>
      </c>
      <c r="L1289" s="1">
        <v>500.0</v>
      </c>
      <c r="M1289" s="1" t="s">
        <v>1387</v>
      </c>
    </row>
    <row r="1290" hidden="1">
      <c r="A1290" s="1" t="s">
        <v>1022</v>
      </c>
      <c r="B1290" s="3" t="s">
        <v>2212</v>
      </c>
      <c r="C1290" s="1" t="s">
        <v>1569</v>
      </c>
      <c r="D1290" s="1" t="s">
        <v>1384</v>
      </c>
      <c r="E1290" s="1" t="s">
        <v>1385</v>
      </c>
      <c r="F1290" s="1"/>
      <c r="G1290" s="1"/>
      <c r="H1290" s="1" t="s">
        <v>1384</v>
      </c>
      <c r="I1290" s="1" t="s">
        <v>666</v>
      </c>
      <c r="J1290" s="4">
        <v>42767.0</v>
      </c>
      <c r="K1290" s="1">
        <v>1000.0</v>
      </c>
      <c r="L1290" s="1">
        <v>500.0</v>
      </c>
      <c r="M1290" s="1" t="s">
        <v>1387</v>
      </c>
    </row>
    <row r="1291" hidden="1">
      <c r="A1291" s="1" t="s">
        <v>1166</v>
      </c>
      <c r="B1291" s="3" t="s">
        <v>2213</v>
      </c>
      <c r="C1291" s="1" t="s">
        <v>1569</v>
      </c>
      <c r="D1291" s="1" t="s">
        <v>1384</v>
      </c>
      <c r="E1291" s="1" t="s">
        <v>1385</v>
      </c>
      <c r="F1291" s="1"/>
      <c r="G1291" s="1"/>
      <c r="H1291" s="1" t="s">
        <v>1384</v>
      </c>
      <c r="I1291" s="1" t="s">
        <v>666</v>
      </c>
      <c r="J1291" s="4">
        <v>42767.0</v>
      </c>
      <c r="K1291" s="1">
        <v>1000.0</v>
      </c>
      <c r="L1291" s="1">
        <v>500.0</v>
      </c>
      <c r="M1291" s="1" t="s">
        <v>1387</v>
      </c>
    </row>
    <row r="1292">
      <c r="A1292" s="1" t="s">
        <v>1478</v>
      </c>
      <c r="B1292" s="3" t="s">
        <v>1479</v>
      </c>
      <c r="C1292" s="1" t="s">
        <v>16</v>
      </c>
      <c r="D1292" s="1" t="s">
        <v>76</v>
      </c>
      <c r="E1292" s="1" t="s">
        <v>1312</v>
      </c>
      <c r="F1292" s="1" t="str">
        <f>IFERROR(__xludf.DUMMYFUNCTION("SPLIT(E1292,""&gt;"")"),"Japanese Corn")</f>
        <v>Japanese Corn</v>
      </c>
      <c r="G1292" s="1" t="str">
        <f>IFERROR(__xludf.DUMMYFUNCTION("""COMPUTED_VALUE"""),"Harvest #1")</f>
        <v>Harvest #1</v>
      </c>
      <c r="H1292" s="1" t="s">
        <v>76</v>
      </c>
      <c r="I1292" s="1" t="s">
        <v>1317</v>
      </c>
      <c r="J1292" s="4">
        <v>43221.0</v>
      </c>
      <c r="K1292" s="1">
        <v>260.0</v>
      </c>
      <c r="L1292" s="1">
        <v>259.0</v>
      </c>
      <c r="M1292" s="1">
        <v>49.0</v>
      </c>
    </row>
    <row r="1293" hidden="1">
      <c r="A1293" s="1" t="s">
        <v>1478</v>
      </c>
      <c r="B1293" s="3" t="s">
        <v>2214</v>
      </c>
      <c r="C1293" s="1" t="s">
        <v>1569</v>
      </c>
      <c r="D1293" s="1" t="s">
        <v>76</v>
      </c>
      <c r="E1293" s="1" t="s">
        <v>1312</v>
      </c>
      <c r="F1293" s="1"/>
      <c r="G1293" s="1"/>
      <c r="H1293" s="1" t="s">
        <v>76</v>
      </c>
      <c r="I1293" s="1" t="s">
        <v>1317</v>
      </c>
      <c r="J1293" s="4">
        <v>43221.0</v>
      </c>
      <c r="K1293" s="1">
        <v>260.0</v>
      </c>
      <c r="L1293" s="1">
        <v>259.0</v>
      </c>
      <c r="M1293" s="1">
        <v>49.0</v>
      </c>
    </row>
  </sheetData>
  <autoFilter ref="$A$1:$M$1293">
    <filterColumn colId="2">
      <filters>
        <filter val="English"/>
      </filters>
    </filterColumn>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s>
  <drawing r:id="rId129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20.88"/>
    <col customWidth="1" min="3" max="3" width="21.25"/>
    <col customWidth="1" min="4" max="4" width="41.88"/>
    <col customWidth="1" min="5" max="5" width="53.75"/>
    <col customWidth="1" min="6" max="6" width="32.0"/>
    <col customWidth="1" min="7" max="8" width="55.13"/>
  </cols>
  <sheetData>
    <row r="1">
      <c r="A1" s="8" t="s">
        <v>2215</v>
      </c>
      <c r="B1" s="8" t="s">
        <v>3</v>
      </c>
      <c r="C1" s="8" t="s">
        <v>1480</v>
      </c>
      <c r="D1" s="8" t="s">
        <v>2216</v>
      </c>
      <c r="E1" s="8" t="s">
        <v>2217</v>
      </c>
      <c r="F1" s="8" t="s">
        <v>2218</v>
      </c>
      <c r="G1" s="9" t="s">
        <v>2219</v>
      </c>
      <c r="H1" s="8" t="s">
        <v>2220</v>
      </c>
    </row>
    <row r="2">
      <c r="A2" s="1" t="b">
        <v>0</v>
      </c>
      <c r="B2" s="1" t="s">
        <v>66</v>
      </c>
      <c r="C2" s="10" t="s">
        <v>1482</v>
      </c>
      <c r="D2" s="1"/>
      <c r="E2" s="10" t="s">
        <v>2221</v>
      </c>
      <c r="F2" s="10" t="s">
        <v>2222</v>
      </c>
      <c r="G2" s="11" t="s">
        <v>2223</v>
      </c>
      <c r="H2" s="12" t="s">
        <v>2224</v>
      </c>
    </row>
    <row r="3">
      <c r="A3" s="1" t="b">
        <v>0</v>
      </c>
      <c r="B3" s="1" t="s">
        <v>607</v>
      </c>
      <c r="C3" s="13" t="s">
        <v>1484</v>
      </c>
      <c r="D3" s="14"/>
      <c r="E3" s="14" t="s">
        <v>2225</v>
      </c>
      <c r="F3" s="15" t="s">
        <v>2226</v>
      </c>
      <c r="G3" s="11" t="s">
        <v>2227</v>
      </c>
      <c r="H3" s="16"/>
    </row>
    <row r="4">
      <c r="A4" s="1" t="b">
        <v>0</v>
      </c>
      <c r="B4" s="1" t="s">
        <v>17</v>
      </c>
      <c r="C4" s="13" t="s">
        <v>1486</v>
      </c>
      <c r="D4" s="16"/>
      <c r="E4" s="14" t="s">
        <v>2228</v>
      </c>
      <c r="F4" s="14"/>
      <c r="G4" s="11" t="s">
        <v>2229</v>
      </c>
      <c r="H4" s="16"/>
    </row>
    <row r="5">
      <c r="A5" s="1" t="b">
        <v>0</v>
      </c>
      <c r="B5" s="1" t="s">
        <v>23</v>
      </c>
      <c r="C5" s="13" t="s">
        <v>1488</v>
      </c>
      <c r="D5" s="16"/>
      <c r="E5" s="14" t="s">
        <v>2230</v>
      </c>
      <c r="F5" s="16"/>
      <c r="G5" s="11" t="s">
        <v>2231</v>
      </c>
      <c r="H5" s="16"/>
    </row>
    <row r="6">
      <c r="A6" s="1" t="b">
        <v>0</v>
      </c>
      <c r="B6" s="1" t="s">
        <v>28</v>
      </c>
      <c r="C6" s="13" t="s">
        <v>1490</v>
      </c>
      <c r="D6" s="13" t="s">
        <v>2232</v>
      </c>
      <c r="E6" s="14" t="s">
        <v>2233</v>
      </c>
      <c r="F6" s="16"/>
      <c r="G6" s="17"/>
      <c r="H6" s="16"/>
    </row>
    <row r="7">
      <c r="A7" s="1" t="b">
        <v>0</v>
      </c>
      <c r="B7" s="1" t="s">
        <v>38</v>
      </c>
      <c r="C7" s="16"/>
      <c r="D7" s="16"/>
      <c r="E7" s="16"/>
      <c r="F7" s="16"/>
      <c r="G7" s="18"/>
      <c r="H7" s="16"/>
    </row>
    <row r="8">
      <c r="A8" s="1" t="b">
        <v>0</v>
      </c>
      <c r="B8" s="1" t="s">
        <v>34</v>
      </c>
      <c r="C8" s="15" t="s">
        <v>1492</v>
      </c>
      <c r="D8" s="7" t="s">
        <v>2234</v>
      </c>
      <c r="E8" s="15" t="s">
        <v>2235</v>
      </c>
      <c r="F8" s="16"/>
      <c r="G8" s="11" t="s">
        <v>2236</v>
      </c>
      <c r="H8" s="15" t="s">
        <v>2237</v>
      </c>
    </row>
    <row r="9">
      <c r="A9" s="1" t="b">
        <v>0</v>
      </c>
      <c r="B9" s="1" t="s">
        <v>44</v>
      </c>
      <c r="C9" s="16"/>
      <c r="D9" s="16"/>
      <c r="E9" s="16"/>
      <c r="F9" s="16"/>
      <c r="G9" s="15" t="s">
        <v>2238</v>
      </c>
      <c r="H9" s="16"/>
    </row>
    <row r="10">
      <c r="A10" s="1" t="b">
        <v>0</v>
      </c>
      <c r="B10" s="1" t="s">
        <v>47</v>
      </c>
      <c r="C10" s="16"/>
      <c r="D10" s="16"/>
      <c r="E10" s="16"/>
      <c r="F10" s="16"/>
      <c r="G10" s="18"/>
      <c r="H10" s="16"/>
    </row>
    <row r="11">
      <c r="A11" s="1" t="b">
        <v>0</v>
      </c>
      <c r="B11" s="1" t="s">
        <v>50</v>
      </c>
      <c r="C11" s="16"/>
      <c r="D11" s="16"/>
      <c r="E11" s="16"/>
      <c r="F11" s="16"/>
      <c r="G11" s="18"/>
      <c r="H11" s="16"/>
    </row>
    <row r="12">
      <c r="A12" s="1" t="b">
        <v>0</v>
      </c>
      <c r="B12" s="1" t="s">
        <v>53</v>
      </c>
      <c r="C12" s="15" t="s">
        <v>1494</v>
      </c>
      <c r="D12" s="15" t="s">
        <v>2239</v>
      </c>
      <c r="E12" s="14" t="s">
        <v>2240</v>
      </c>
      <c r="F12" s="19" t="s">
        <v>2241</v>
      </c>
      <c r="G12" s="11" t="s">
        <v>2242</v>
      </c>
      <c r="H12" s="20"/>
    </row>
    <row r="13">
      <c r="A13" s="1" t="b">
        <v>0</v>
      </c>
      <c r="B13" s="1" t="s">
        <v>61</v>
      </c>
      <c r="C13" s="13" t="s">
        <v>1496</v>
      </c>
      <c r="D13" s="13" t="s">
        <v>2243</v>
      </c>
      <c r="E13" s="15" t="s">
        <v>2244</v>
      </c>
      <c r="F13" s="13" t="s">
        <v>2245</v>
      </c>
      <c r="G13" s="11" t="s">
        <v>2246</v>
      </c>
      <c r="H13" s="16"/>
    </row>
    <row r="14">
      <c r="A14" s="1" t="b">
        <v>0</v>
      </c>
      <c r="B14" s="1" t="s">
        <v>71</v>
      </c>
      <c r="C14" s="15" t="s">
        <v>1498</v>
      </c>
      <c r="D14" s="14"/>
      <c r="E14" s="15" t="s">
        <v>2247</v>
      </c>
      <c r="F14" s="16"/>
      <c r="G14" s="18"/>
      <c r="H14" s="16"/>
    </row>
    <row r="15">
      <c r="A15" s="1" t="b">
        <v>0</v>
      </c>
      <c r="B15" s="1" t="s">
        <v>76</v>
      </c>
      <c r="C15" s="21" t="s">
        <v>1500</v>
      </c>
      <c r="D15" s="16"/>
      <c r="E15" s="14" t="s">
        <v>2248</v>
      </c>
      <c r="F15" s="16"/>
      <c r="G15" s="18"/>
      <c r="H15" s="16"/>
    </row>
    <row r="16">
      <c r="A16" s="1" t="b">
        <v>0</v>
      </c>
      <c r="B16" s="1" t="s">
        <v>79</v>
      </c>
      <c r="C16" s="15" t="s">
        <v>1502</v>
      </c>
      <c r="D16" s="16"/>
      <c r="E16" s="14" t="s">
        <v>2249</v>
      </c>
      <c r="F16" s="16"/>
      <c r="G16" s="18"/>
      <c r="H16" s="16"/>
    </row>
    <row r="17">
      <c r="A17" s="1" t="b">
        <v>0</v>
      </c>
      <c r="B17" s="1" t="s">
        <v>84</v>
      </c>
      <c r="C17" s="15" t="s">
        <v>1504</v>
      </c>
      <c r="D17" s="16"/>
      <c r="E17" s="14" t="s">
        <v>2250</v>
      </c>
      <c r="F17" s="16"/>
      <c r="G17" s="18"/>
      <c r="H17" s="16"/>
    </row>
    <row r="18">
      <c r="A18" s="1" t="b">
        <v>0</v>
      </c>
      <c r="B18" s="1" t="s">
        <v>89</v>
      </c>
      <c r="C18" s="13" t="s">
        <v>1506</v>
      </c>
      <c r="D18" s="15" t="s">
        <v>2251</v>
      </c>
      <c r="E18" s="15" t="s">
        <v>2252</v>
      </c>
      <c r="F18" s="16"/>
      <c r="G18" s="11" t="s">
        <v>2253</v>
      </c>
      <c r="H18" s="16"/>
    </row>
    <row r="19">
      <c r="A19" s="1" t="b">
        <v>0</v>
      </c>
      <c r="B19" s="1" t="s">
        <v>92</v>
      </c>
      <c r="C19" s="15" t="s">
        <v>1508</v>
      </c>
      <c r="D19" s="16"/>
      <c r="E19" s="14" t="s">
        <v>2254</v>
      </c>
      <c r="F19" s="16"/>
      <c r="G19" s="11" t="s">
        <v>2255</v>
      </c>
      <c r="H19" s="16"/>
    </row>
    <row r="20">
      <c r="A20" s="1" t="b">
        <v>0</v>
      </c>
      <c r="B20" s="1" t="s">
        <v>95</v>
      </c>
      <c r="C20" s="7" t="s">
        <v>1510</v>
      </c>
      <c r="D20" s="16"/>
      <c r="E20" s="14" t="s">
        <v>2256</v>
      </c>
      <c r="F20" s="16"/>
      <c r="G20" s="18"/>
      <c r="H20" s="16"/>
    </row>
    <row r="21">
      <c r="A21" s="1" t="b">
        <v>0</v>
      </c>
      <c r="B21" s="1" t="s">
        <v>102</v>
      </c>
      <c r="C21" s="16"/>
      <c r="D21" s="16"/>
      <c r="E21" s="14" t="s">
        <v>2257</v>
      </c>
      <c r="F21" s="16"/>
      <c r="G21" s="18"/>
      <c r="H21" s="16"/>
    </row>
    <row r="22">
      <c r="A22" s="1" t="b">
        <v>0</v>
      </c>
      <c r="B22" s="1" t="s">
        <v>105</v>
      </c>
      <c r="C22" s="13" t="s">
        <v>1512</v>
      </c>
      <c r="D22" s="16"/>
      <c r="E22" s="14" t="s">
        <v>2258</v>
      </c>
      <c r="F22" s="16"/>
      <c r="G22" s="18"/>
      <c r="H22" s="16"/>
    </row>
    <row r="23">
      <c r="A23" s="1" t="b">
        <v>0</v>
      </c>
      <c r="B23" s="1" t="s">
        <v>123</v>
      </c>
      <c r="C23" s="13" t="s">
        <v>1514</v>
      </c>
      <c r="D23" s="14"/>
      <c r="E23" s="7" t="s">
        <v>2259</v>
      </c>
      <c r="F23" s="15" t="s">
        <v>2260</v>
      </c>
      <c r="G23" s="11" t="s">
        <v>2261</v>
      </c>
      <c r="H23" s="14"/>
    </row>
    <row r="24">
      <c r="A24" s="1" t="b">
        <v>0</v>
      </c>
      <c r="B24" s="1" t="s">
        <v>128</v>
      </c>
      <c r="C24" s="10" t="s">
        <v>1516</v>
      </c>
      <c r="D24" s="16"/>
      <c r="E24" s="14" t="s">
        <v>2262</v>
      </c>
      <c r="F24" s="16"/>
      <c r="G24" s="18"/>
      <c r="H24" s="16"/>
    </row>
    <row r="25">
      <c r="A25" s="1" t="b">
        <v>0</v>
      </c>
      <c r="B25" s="1" t="s">
        <v>135</v>
      </c>
      <c r="C25" s="16"/>
      <c r="D25" s="16"/>
      <c r="E25" s="14" t="s">
        <v>2263</v>
      </c>
      <c r="F25" s="16"/>
      <c r="G25" s="18"/>
      <c r="H25" s="16"/>
    </row>
    <row r="26">
      <c r="A26" s="1" t="b">
        <v>0</v>
      </c>
      <c r="B26" s="1" t="s">
        <v>146</v>
      </c>
      <c r="C26" s="16"/>
      <c r="D26" s="16"/>
      <c r="E26" s="14" t="s">
        <v>2264</v>
      </c>
      <c r="F26" s="16"/>
      <c r="G26" s="18"/>
      <c r="H26" s="16"/>
    </row>
    <row r="27">
      <c r="A27" s="1" t="b">
        <v>0</v>
      </c>
      <c r="B27" s="1" t="s">
        <v>159</v>
      </c>
      <c r="C27" s="13" t="s">
        <v>1518</v>
      </c>
      <c r="D27" s="16"/>
      <c r="E27" s="13" t="s">
        <v>2265</v>
      </c>
      <c r="F27" s="16"/>
      <c r="G27" s="11" t="s">
        <v>2266</v>
      </c>
      <c r="H27" s="16"/>
    </row>
    <row r="28">
      <c r="A28" s="1" t="b">
        <v>0</v>
      </c>
      <c r="B28" s="1" t="s">
        <v>162</v>
      </c>
      <c r="C28" s="13" t="s">
        <v>1520</v>
      </c>
      <c r="D28" s="16"/>
      <c r="E28" s="14" t="s">
        <v>2267</v>
      </c>
      <c r="F28" s="16"/>
      <c r="G28" s="18"/>
      <c r="H28" s="16"/>
    </row>
    <row r="29">
      <c r="A29" s="1" t="b">
        <v>0</v>
      </c>
      <c r="B29" s="1" t="s">
        <v>168</v>
      </c>
      <c r="C29" s="13" t="s">
        <v>1522</v>
      </c>
      <c r="D29" s="16"/>
      <c r="E29" s="14" t="s">
        <v>2268</v>
      </c>
      <c r="F29" s="16"/>
      <c r="G29" s="18"/>
      <c r="H29" s="16"/>
    </row>
    <row r="30">
      <c r="A30" s="1" t="b">
        <v>0</v>
      </c>
      <c r="B30" s="1" t="s">
        <v>179</v>
      </c>
      <c r="C30" s="13" t="s">
        <v>1524</v>
      </c>
      <c r="D30" s="16"/>
      <c r="E30" s="14" t="s">
        <v>2269</v>
      </c>
      <c r="F30" s="16"/>
      <c r="G30" s="18"/>
      <c r="H30" s="15" t="s">
        <v>2270</v>
      </c>
    </row>
    <row r="31">
      <c r="A31" s="1" t="b">
        <v>0</v>
      </c>
      <c r="B31" s="1" t="s">
        <v>186</v>
      </c>
      <c r="C31" s="15" t="s">
        <v>1526</v>
      </c>
      <c r="D31" s="16"/>
      <c r="E31" s="15" t="s">
        <v>2271</v>
      </c>
      <c r="F31" s="16"/>
      <c r="G31" s="11" t="s">
        <v>2272</v>
      </c>
      <c r="H31" s="16"/>
    </row>
    <row r="32">
      <c r="A32" s="1" t="b">
        <v>0</v>
      </c>
      <c r="B32" s="1" t="s">
        <v>189</v>
      </c>
      <c r="C32" s="13" t="s">
        <v>1528</v>
      </c>
      <c r="D32" s="16"/>
      <c r="E32" s="14" t="s">
        <v>2273</v>
      </c>
      <c r="F32" s="16"/>
      <c r="G32" s="18"/>
      <c r="H32" s="16"/>
    </row>
    <row r="33">
      <c r="A33" s="1" t="b">
        <v>0</v>
      </c>
      <c r="B33" s="1" t="s">
        <v>204</v>
      </c>
      <c r="C33" s="16"/>
      <c r="D33" s="16"/>
      <c r="E33" s="14" t="s">
        <v>2274</v>
      </c>
      <c r="F33" s="16"/>
      <c r="G33" s="18"/>
      <c r="H33" s="16"/>
    </row>
    <row r="34">
      <c r="A34" s="1" t="b">
        <v>0</v>
      </c>
      <c r="B34" s="1" t="s">
        <v>227</v>
      </c>
      <c r="C34" s="16"/>
      <c r="D34" s="16"/>
      <c r="E34" s="14" t="s">
        <v>2275</v>
      </c>
      <c r="F34" s="16"/>
      <c r="G34" s="18"/>
      <c r="H34" s="16"/>
    </row>
    <row r="35">
      <c r="A35" s="1" t="b">
        <v>0</v>
      </c>
      <c r="B35" s="1" t="s">
        <v>234</v>
      </c>
      <c r="C35" s="16"/>
      <c r="D35" s="16"/>
      <c r="E35" s="14" t="s">
        <v>2276</v>
      </c>
      <c r="F35" s="16"/>
      <c r="G35" s="18"/>
      <c r="H35" s="16"/>
    </row>
    <row r="36">
      <c r="A36" s="1" t="b">
        <v>0</v>
      </c>
      <c r="B36" s="1" t="s">
        <v>237</v>
      </c>
      <c r="C36" s="16"/>
      <c r="D36" s="16"/>
      <c r="E36" s="14" t="s">
        <v>2277</v>
      </c>
      <c r="F36" s="16"/>
      <c r="G36" s="18"/>
      <c r="H36" s="16"/>
    </row>
    <row r="37">
      <c r="A37" s="1" t="b">
        <v>0</v>
      </c>
      <c r="B37" s="1" t="s">
        <v>247</v>
      </c>
      <c r="C37" s="16"/>
      <c r="D37" s="16"/>
      <c r="E37" s="14" t="s">
        <v>2278</v>
      </c>
      <c r="F37" s="16"/>
      <c r="G37" s="18"/>
      <c r="H37" s="16"/>
    </row>
    <row r="38">
      <c r="A38" s="1" t="b">
        <v>0</v>
      </c>
      <c r="B38" s="1" t="s">
        <v>252</v>
      </c>
      <c r="C38" s="15" t="s">
        <v>1530</v>
      </c>
      <c r="D38" s="16"/>
      <c r="E38" s="14" t="s">
        <v>2279</v>
      </c>
      <c r="F38" s="16"/>
      <c r="G38" s="18"/>
      <c r="H38" s="16"/>
    </row>
    <row r="39">
      <c r="A39" s="1" t="b">
        <v>0</v>
      </c>
      <c r="B39" s="1" t="s">
        <v>255</v>
      </c>
      <c r="C39" s="16"/>
      <c r="D39" s="16"/>
      <c r="E39" s="14" t="s">
        <v>2280</v>
      </c>
      <c r="F39" s="16"/>
      <c r="G39" s="18"/>
      <c r="H39" s="16"/>
    </row>
    <row r="40">
      <c r="A40" s="1" t="b">
        <v>0</v>
      </c>
      <c r="B40" s="1" t="s">
        <v>262</v>
      </c>
      <c r="C40" s="16"/>
      <c r="D40" s="16"/>
      <c r="E40" s="14" t="s">
        <v>2281</v>
      </c>
      <c r="F40" s="16"/>
      <c r="G40" s="18"/>
      <c r="H40" s="16"/>
    </row>
    <row r="41">
      <c r="A41" s="1" t="b">
        <v>0</v>
      </c>
      <c r="B41" s="1" t="s">
        <v>271</v>
      </c>
      <c r="C41" s="16"/>
      <c r="D41" s="16"/>
      <c r="E41" s="14" t="s">
        <v>2282</v>
      </c>
      <c r="F41" s="16"/>
      <c r="G41" s="18"/>
      <c r="H41" s="16"/>
    </row>
    <row r="42">
      <c r="A42" s="1" t="b">
        <v>0</v>
      </c>
      <c r="B42" s="1" t="s">
        <v>276</v>
      </c>
      <c r="C42" s="16"/>
      <c r="D42" s="16"/>
      <c r="E42" s="14" t="s">
        <v>2283</v>
      </c>
      <c r="F42" s="16"/>
      <c r="G42" s="18"/>
      <c r="H42" s="16"/>
    </row>
    <row r="43">
      <c r="A43" s="1" t="b">
        <v>0</v>
      </c>
      <c r="B43" s="1" t="s">
        <v>283</v>
      </c>
      <c r="C43" s="10" t="s">
        <v>1532</v>
      </c>
      <c r="D43" s="16"/>
      <c r="E43" s="14" t="s">
        <v>2284</v>
      </c>
      <c r="F43" s="16"/>
      <c r="G43" s="18"/>
      <c r="H43" s="16"/>
    </row>
    <row r="44">
      <c r="A44" s="1" t="b">
        <v>0</v>
      </c>
      <c r="B44" s="1" t="s">
        <v>286</v>
      </c>
      <c r="C44" s="22" t="s">
        <v>1534</v>
      </c>
      <c r="D44" s="16"/>
      <c r="E44" s="14" t="s">
        <v>2285</v>
      </c>
      <c r="F44" s="16"/>
      <c r="G44" s="18"/>
      <c r="H44" s="16"/>
    </row>
    <row r="45">
      <c r="A45" s="1" t="b">
        <v>0</v>
      </c>
      <c r="B45" s="1" t="s">
        <v>293</v>
      </c>
      <c r="C45" s="15" t="s">
        <v>1536</v>
      </c>
      <c r="D45" s="16"/>
      <c r="E45" s="15" t="s">
        <v>2286</v>
      </c>
      <c r="F45" s="13" t="s">
        <v>2287</v>
      </c>
      <c r="G45" s="11" t="s">
        <v>2288</v>
      </c>
      <c r="H45" s="16"/>
    </row>
    <row r="46">
      <c r="A46" s="1" t="b">
        <v>0</v>
      </c>
      <c r="B46" s="1" t="s">
        <v>312</v>
      </c>
      <c r="C46" s="16"/>
      <c r="D46" s="16"/>
      <c r="E46" s="14" t="s">
        <v>2289</v>
      </c>
      <c r="F46" s="16"/>
      <c r="G46" s="18"/>
      <c r="H46" s="16"/>
    </row>
    <row r="47">
      <c r="A47" s="1" t="b">
        <v>0</v>
      </c>
      <c r="B47" s="1" t="s">
        <v>317</v>
      </c>
      <c r="C47" s="16"/>
      <c r="D47" s="16"/>
      <c r="E47" s="14" t="s">
        <v>2290</v>
      </c>
      <c r="F47" s="16"/>
      <c r="G47" s="18"/>
      <c r="H47" s="16"/>
    </row>
    <row r="48">
      <c r="A48" s="1" t="b">
        <v>0</v>
      </c>
      <c r="B48" s="1" t="s">
        <v>330</v>
      </c>
      <c r="C48" s="16"/>
      <c r="D48" s="16"/>
      <c r="E48" s="14" t="s">
        <v>2291</v>
      </c>
      <c r="F48" s="16"/>
      <c r="G48" s="18"/>
      <c r="H48" s="16"/>
    </row>
    <row r="49">
      <c r="A49" s="1" t="b">
        <v>0</v>
      </c>
      <c r="B49" s="1" t="s">
        <v>349</v>
      </c>
      <c r="C49" s="22" t="s">
        <v>1537</v>
      </c>
      <c r="D49" s="16"/>
      <c r="E49" s="14" t="s">
        <v>2292</v>
      </c>
      <c r="F49" s="16"/>
      <c r="G49" s="18"/>
      <c r="H49" s="16"/>
    </row>
    <row r="50">
      <c r="A50" s="1" t="b">
        <v>0</v>
      </c>
      <c r="B50" s="1" t="s">
        <v>352</v>
      </c>
      <c r="C50" s="16"/>
      <c r="D50" s="16"/>
      <c r="E50" s="14" t="s">
        <v>2293</v>
      </c>
      <c r="F50" s="16"/>
      <c r="G50" s="18"/>
      <c r="H50" s="16"/>
    </row>
    <row r="51">
      <c r="A51" s="1" t="b">
        <v>0</v>
      </c>
      <c r="B51" s="1" t="s">
        <v>366</v>
      </c>
      <c r="C51" s="16"/>
      <c r="D51" s="16"/>
      <c r="E51" s="14" t="s">
        <v>2294</v>
      </c>
      <c r="F51" s="16"/>
      <c r="G51" s="18"/>
      <c r="H51" s="16"/>
    </row>
    <row r="52">
      <c r="A52" s="1" t="b">
        <v>0</v>
      </c>
      <c r="B52" s="1" t="s">
        <v>371</v>
      </c>
      <c r="C52" s="16"/>
      <c r="D52" s="16"/>
      <c r="E52" s="14" t="s">
        <v>2295</v>
      </c>
      <c r="F52" s="16"/>
      <c r="G52" s="18"/>
      <c r="H52" s="16"/>
    </row>
    <row r="53">
      <c r="A53" s="1" t="b">
        <v>0</v>
      </c>
      <c r="B53" s="1" t="s">
        <v>376</v>
      </c>
      <c r="C53" s="22" t="s">
        <v>1539</v>
      </c>
      <c r="D53" s="16"/>
      <c r="E53" s="14" t="s">
        <v>2296</v>
      </c>
      <c r="F53" s="16"/>
      <c r="G53" s="18"/>
      <c r="H53" s="16"/>
    </row>
    <row r="54">
      <c r="A54" s="1" t="b">
        <v>0</v>
      </c>
      <c r="B54" s="1" t="s">
        <v>393</v>
      </c>
      <c r="C54" s="16"/>
      <c r="D54" s="16"/>
      <c r="E54" s="14" t="s">
        <v>2297</v>
      </c>
      <c r="F54" s="16"/>
      <c r="G54" s="18"/>
      <c r="H54" s="16"/>
    </row>
    <row r="55">
      <c r="A55" s="1" t="b">
        <v>0</v>
      </c>
      <c r="B55" s="1" t="s">
        <v>422</v>
      </c>
      <c r="C55" s="13" t="s">
        <v>1541</v>
      </c>
      <c r="D55" s="15" t="s">
        <v>2298</v>
      </c>
      <c r="E55" s="15" t="s">
        <v>2299</v>
      </c>
      <c r="F55" s="13" t="s">
        <v>2300</v>
      </c>
      <c r="G55" s="23" t="s">
        <v>2301</v>
      </c>
      <c r="H55" s="16"/>
    </row>
    <row r="56">
      <c r="A56" s="1" t="b">
        <v>0</v>
      </c>
      <c r="B56" s="1" t="s">
        <v>431</v>
      </c>
      <c r="C56" s="16"/>
      <c r="D56" s="16"/>
      <c r="E56" s="14" t="s">
        <v>2302</v>
      </c>
      <c r="F56" s="16"/>
      <c r="G56" s="18"/>
      <c r="H56" s="16"/>
    </row>
    <row r="57">
      <c r="A57" s="1" t="b">
        <v>0</v>
      </c>
      <c r="B57" s="1" t="s">
        <v>436</v>
      </c>
      <c r="C57" s="16"/>
      <c r="D57" s="16"/>
      <c r="E57" s="14" t="s">
        <v>2303</v>
      </c>
      <c r="F57" s="16"/>
      <c r="G57" s="18"/>
      <c r="H57" s="16"/>
    </row>
    <row r="58">
      <c r="A58" s="1" t="b">
        <v>0</v>
      </c>
      <c r="B58" s="1" t="s">
        <v>440</v>
      </c>
      <c r="C58" s="15" t="s">
        <v>1543</v>
      </c>
      <c r="D58" s="16"/>
      <c r="E58" s="14" t="s">
        <v>2304</v>
      </c>
      <c r="F58" s="16"/>
      <c r="G58" s="18"/>
      <c r="H58" s="24" t="s">
        <v>439</v>
      </c>
    </row>
    <row r="59">
      <c r="A59" s="1" t="b">
        <v>0</v>
      </c>
      <c r="B59" s="1" t="s">
        <v>451</v>
      </c>
      <c r="C59" s="16"/>
      <c r="D59" s="16"/>
      <c r="E59" s="14" t="s">
        <v>2305</v>
      </c>
      <c r="F59" s="16"/>
      <c r="G59" s="18"/>
      <c r="H59" s="16"/>
    </row>
    <row r="60">
      <c r="A60" s="1" t="b">
        <v>0</v>
      </c>
      <c r="B60" s="1" t="s">
        <v>456</v>
      </c>
      <c r="C60" s="16"/>
      <c r="D60" s="16"/>
      <c r="E60" s="14" t="s">
        <v>2306</v>
      </c>
      <c r="F60" s="16"/>
      <c r="G60" s="18"/>
      <c r="H60" s="16"/>
    </row>
    <row r="61">
      <c r="A61" s="1" t="b">
        <v>0</v>
      </c>
      <c r="B61" s="1" t="s">
        <v>479</v>
      </c>
      <c r="C61" s="13" t="s">
        <v>1545</v>
      </c>
      <c r="D61" s="16"/>
      <c r="E61" s="14" t="s">
        <v>2307</v>
      </c>
      <c r="F61" s="16"/>
      <c r="G61" s="18"/>
      <c r="H61" s="15" t="s">
        <v>2308</v>
      </c>
    </row>
    <row r="62">
      <c r="A62" s="1" t="b">
        <v>0</v>
      </c>
      <c r="B62" s="1" t="s">
        <v>489</v>
      </c>
      <c r="C62" s="16"/>
      <c r="D62" s="16"/>
      <c r="E62" s="14" t="s">
        <v>2309</v>
      </c>
      <c r="F62" s="16"/>
      <c r="G62" s="18"/>
      <c r="H62" s="16"/>
    </row>
    <row r="63">
      <c r="A63" s="1" t="b">
        <v>0</v>
      </c>
      <c r="B63" s="1" t="s">
        <v>494</v>
      </c>
      <c r="C63" s="16"/>
      <c r="D63" s="16"/>
      <c r="E63" s="14" t="s">
        <v>2310</v>
      </c>
      <c r="F63" s="16"/>
      <c r="G63" s="18"/>
      <c r="H63" s="16"/>
    </row>
    <row r="64">
      <c r="A64" s="1" t="b">
        <v>0</v>
      </c>
      <c r="B64" s="1" t="s">
        <v>519</v>
      </c>
      <c r="C64" s="13" t="s">
        <v>1547</v>
      </c>
      <c r="D64" s="13" t="s">
        <v>2311</v>
      </c>
      <c r="E64" s="15" t="s">
        <v>2312</v>
      </c>
      <c r="F64" s="15" t="s">
        <v>2313</v>
      </c>
      <c r="G64" s="11" t="s">
        <v>2314</v>
      </c>
      <c r="H64" s="16"/>
    </row>
    <row r="65">
      <c r="A65" s="1" t="b">
        <v>0</v>
      </c>
      <c r="B65" s="1" t="s">
        <v>528</v>
      </c>
      <c r="C65" s="16"/>
      <c r="D65" s="16"/>
      <c r="E65" s="14" t="s">
        <v>2315</v>
      </c>
      <c r="F65" s="16"/>
      <c r="G65" s="18"/>
      <c r="H65" s="16"/>
    </row>
    <row r="66">
      <c r="A66" s="1" t="b">
        <v>0</v>
      </c>
      <c r="B66" s="1" t="s">
        <v>543</v>
      </c>
      <c r="C66" s="16"/>
      <c r="D66" s="16"/>
      <c r="E66" s="14" t="s">
        <v>2316</v>
      </c>
      <c r="F66" s="16"/>
      <c r="G66" s="18"/>
      <c r="H66" s="16"/>
    </row>
    <row r="67">
      <c r="A67" s="1" t="b">
        <v>0</v>
      </c>
      <c r="B67" s="1" t="s">
        <v>564</v>
      </c>
      <c r="C67" s="16"/>
      <c r="D67" s="16"/>
      <c r="E67" s="14" t="s">
        <v>2317</v>
      </c>
      <c r="F67" s="16"/>
      <c r="G67" s="18"/>
      <c r="H67" s="16"/>
    </row>
    <row r="68">
      <c r="A68" s="1" t="b">
        <v>0</v>
      </c>
      <c r="B68" s="1" t="s">
        <v>569</v>
      </c>
      <c r="C68" s="16"/>
      <c r="D68" s="14"/>
      <c r="E68" s="14" t="s">
        <v>2318</v>
      </c>
      <c r="F68" s="16"/>
      <c r="G68" s="18"/>
      <c r="H68" s="16"/>
    </row>
    <row r="69">
      <c r="A69" s="1" t="b">
        <v>0</v>
      </c>
      <c r="B69" s="1" t="s">
        <v>705</v>
      </c>
      <c r="C69" s="15" t="s">
        <v>1549</v>
      </c>
      <c r="D69" s="16"/>
      <c r="E69" s="16"/>
      <c r="F69" s="16"/>
      <c r="G69" s="15" t="s">
        <v>2319</v>
      </c>
      <c r="H69" s="16"/>
    </row>
    <row r="70">
      <c r="A70" s="1" t="b">
        <v>0</v>
      </c>
      <c r="B70" s="1" t="s">
        <v>708</v>
      </c>
      <c r="C70" s="10" t="s">
        <v>1551</v>
      </c>
      <c r="D70" s="13" t="s">
        <v>2320</v>
      </c>
      <c r="E70" s="15" t="s">
        <v>2321</v>
      </c>
      <c r="F70" s="13" t="s">
        <v>2322</v>
      </c>
      <c r="G70" s="11" t="s">
        <v>2323</v>
      </c>
      <c r="H70" s="16"/>
    </row>
    <row r="71">
      <c r="A71" s="1" t="b">
        <v>0</v>
      </c>
      <c r="B71" s="1" t="s">
        <v>713</v>
      </c>
      <c r="C71" s="15" t="s">
        <v>1553</v>
      </c>
      <c r="D71" s="16"/>
      <c r="E71" s="16"/>
      <c r="F71" s="16"/>
      <c r="G71" s="18"/>
      <c r="H71" s="16"/>
    </row>
    <row r="72">
      <c r="A72" s="1" t="b">
        <v>0</v>
      </c>
      <c r="B72" s="1" t="s">
        <v>979</v>
      </c>
      <c r="C72" s="16"/>
      <c r="D72" s="16"/>
      <c r="E72" s="16"/>
      <c r="F72" s="16"/>
      <c r="G72" s="18"/>
      <c r="H72" s="16"/>
    </row>
    <row r="73">
      <c r="A73" s="1" t="b">
        <v>0</v>
      </c>
      <c r="B73" s="1" t="s">
        <v>1384</v>
      </c>
      <c r="C73" s="13" t="s">
        <v>1555</v>
      </c>
      <c r="D73" s="16"/>
      <c r="E73" s="16"/>
      <c r="F73" s="16"/>
      <c r="G73" s="18"/>
      <c r="H73" s="16"/>
    </row>
    <row r="74">
      <c r="A74" s="1" t="b">
        <v>0</v>
      </c>
      <c r="B74" s="1" t="s">
        <v>1390</v>
      </c>
      <c r="C74" s="15" t="s">
        <v>1557</v>
      </c>
      <c r="D74" s="16"/>
      <c r="E74" s="14" t="s">
        <v>2324</v>
      </c>
      <c r="F74" s="13" t="s">
        <v>2325</v>
      </c>
      <c r="G74" s="18"/>
      <c r="H74" s="16"/>
    </row>
    <row r="75">
      <c r="A75" s="1" t="b">
        <v>0</v>
      </c>
      <c r="B75" s="1" t="s">
        <v>1418</v>
      </c>
      <c r="C75" s="13" t="s">
        <v>1559</v>
      </c>
      <c r="D75" s="16"/>
      <c r="E75" s="14" t="s">
        <v>2326</v>
      </c>
      <c r="F75" s="16"/>
      <c r="G75" s="18"/>
      <c r="H75" s="16"/>
    </row>
    <row r="76">
      <c r="A76" s="1" t="b">
        <v>0</v>
      </c>
      <c r="B76" s="1" t="s">
        <v>1438</v>
      </c>
      <c r="C76" s="15" t="s">
        <v>1561</v>
      </c>
      <c r="D76" s="15" t="s">
        <v>2327</v>
      </c>
      <c r="E76" s="14" t="s">
        <v>2328</v>
      </c>
      <c r="F76" s="15" t="s">
        <v>2329</v>
      </c>
      <c r="G76" s="18"/>
      <c r="H76" s="16"/>
    </row>
    <row r="77">
      <c r="A77" s="1" t="b">
        <v>0</v>
      </c>
      <c r="B77" s="1" t="s">
        <v>1449</v>
      </c>
      <c r="C77" s="15" t="s">
        <v>1563</v>
      </c>
      <c r="D77" s="15" t="s">
        <v>2330</v>
      </c>
      <c r="E77" s="14" t="s">
        <v>2331</v>
      </c>
      <c r="F77" s="16"/>
      <c r="G77" s="18"/>
      <c r="H77" s="16"/>
    </row>
    <row r="78">
      <c r="A78" s="1" t="b">
        <v>0</v>
      </c>
      <c r="B78" s="6"/>
      <c r="C78" s="16"/>
      <c r="D78" s="16"/>
      <c r="E78" s="16"/>
      <c r="F78" s="16"/>
      <c r="G78" s="18"/>
      <c r="H78" s="16"/>
    </row>
    <row r="79">
      <c r="A79" s="1" t="b">
        <v>0</v>
      </c>
      <c r="B79" s="6"/>
      <c r="C79" s="16"/>
      <c r="D79" s="16"/>
      <c r="E79" s="16"/>
      <c r="F79" s="16"/>
      <c r="G79" s="18"/>
      <c r="H79" s="16"/>
    </row>
    <row r="80">
      <c r="A80" s="1" t="b">
        <v>0</v>
      </c>
      <c r="B80" s="1" t="s">
        <v>593</v>
      </c>
      <c r="C80" s="15" t="s">
        <v>1565</v>
      </c>
      <c r="D80" s="16"/>
      <c r="E80" s="15" t="s">
        <v>2332</v>
      </c>
      <c r="F80" s="16"/>
      <c r="G80" s="18"/>
      <c r="H80" s="16"/>
    </row>
    <row r="81">
      <c r="B81" s="1" t="s">
        <v>1421</v>
      </c>
      <c r="C81" s="7" t="s">
        <v>1567</v>
      </c>
      <c r="E81" s="1" t="s">
        <v>2333</v>
      </c>
      <c r="G81" s="25"/>
    </row>
    <row r="82">
      <c r="G82" s="25"/>
    </row>
    <row r="83">
      <c r="G83" s="25"/>
    </row>
    <row r="84">
      <c r="G84" s="25"/>
    </row>
    <row r="85">
      <c r="G85" s="25"/>
    </row>
    <row r="86">
      <c r="G86" s="25"/>
    </row>
    <row r="87">
      <c r="G87" s="25"/>
    </row>
    <row r="88">
      <c r="G88" s="25"/>
    </row>
    <row r="89">
      <c r="G89" s="25"/>
    </row>
    <row r="90">
      <c r="G90" s="25"/>
    </row>
    <row r="91">
      <c r="G91" s="25"/>
    </row>
    <row r="92">
      <c r="G92" s="25"/>
    </row>
    <row r="93">
      <c r="G93" s="25"/>
    </row>
    <row r="94">
      <c r="G94" s="25"/>
    </row>
    <row r="95">
      <c r="G95" s="25"/>
    </row>
    <row r="96">
      <c r="G96" s="25"/>
    </row>
    <row r="97">
      <c r="G97" s="25"/>
    </row>
    <row r="98">
      <c r="G98" s="25"/>
    </row>
    <row r="99">
      <c r="G99" s="25"/>
    </row>
    <row r="100">
      <c r="G100" s="25"/>
    </row>
    <row r="101">
      <c r="G101" s="25"/>
    </row>
    <row r="102">
      <c r="G102" s="25"/>
    </row>
    <row r="103">
      <c r="G103" s="25"/>
    </row>
    <row r="104">
      <c r="G104" s="25"/>
    </row>
    <row r="105">
      <c r="G105" s="25"/>
    </row>
    <row r="106">
      <c r="G106" s="25"/>
    </row>
    <row r="107">
      <c r="G107" s="25"/>
    </row>
    <row r="108">
      <c r="G108" s="25"/>
    </row>
    <row r="109">
      <c r="G109" s="25"/>
    </row>
    <row r="110">
      <c r="G110" s="25"/>
    </row>
    <row r="111">
      <c r="G111" s="25"/>
    </row>
    <row r="112">
      <c r="G112" s="25"/>
    </row>
    <row r="113">
      <c r="G113" s="25"/>
    </row>
    <row r="114">
      <c r="G114" s="25"/>
    </row>
    <row r="115">
      <c r="G115" s="25"/>
    </row>
    <row r="116">
      <c r="G116" s="25"/>
    </row>
    <row r="117">
      <c r="G117" s="25"/>
    </row>
    <row r="118">
      <c r="G118" s="25"/>
    </row>
    <row r="119">
      <c r="G119" s="25"/>
    </row>
    <row r="120">
      <c r="G120" s="25"/>
    </row>
    <row r="121">
      <c r="G121" s="25"/>
    </row>
    <row r="122">
      <c r="G122" s="25"/>
    </row>
    <row r="123">
      <c r="G123" s="25"/>
    </row>
    <row r="124">
      <c r="G124" s="25"/>
    </row>
    <row r="125">
      <c r="G125" s="25"/>
    </row>
    <row r="126">
      <c r="G126" s="25"/>
    </row>
    <row r="127">
      <c r="G127" s="25"/>
    </row>
    <row r="128">
      <c r="G128" s="25"/>
    </row>
    <row r="129">
      <c r="G129" s="25"/>
    </row>
    <row r="130">
      <c r="G130" s="25"/>
    </row>
    <row r="131">
      <c r="G131" s="25"/>
    </row>
    <row r="132">
      <c r="G132" s="25"/>
    </row>
    <row r="133">
      <c r="G133" s="25"/>
    </row>
    <row r="134">
      <c r="G134" s="25"/>
    </row>
    <row r="135">
      <c r="G135" s="25"/>
    </row>
    <row r="136">
      <c r="G136" s="25"/>
    </row>
    <row r="137">
      <c r="G137" s="25"/>
    </row>
    <row r="138">
      <c r="G138" s="25"/>
    </row>
    <row r="139">
      <c r="G139" s="25"/>
    </row>
    <row r="140">
      <c r="G140" s="25"/>
    </row>
    <row r="141">
      <c r="G141" s="25"/>
    </row>
    <row r="142">
      <c r="G142" s="25"/>
    </row>
    <row r="143">
      <c r="G143" s="25"/>
    </row>
    <row r="144">
      <c r="G144" s="25"/>
    </row>
    <row r="145">
      <c r="G145" s="25"/>
    </row>
    <row r="146">
      <c r="G146" s="25"/>
    </row>
    <row r="147">
      <c r="G147" s="25"/>
    </row>
    <row r="148">
      <c r="G148" s="25"/>
    </row>
    <row r="149">
      <c r="G149" s="25"/>
    </row>
    <row r="150">
      <c r="G150" s="25"/>
    </row>
    <row r="151">
      <c r="G151" s="25"/>
    </row>
    <row r="152">
      <c r="G152" s="25"/>
    </row>
    <row r="153">
      <c r="G153" s="25"/>
    </row>
    <row r="154">
      <c r="G154" s="25"/>
    </row>
    <row r="155">
      <c r="G155" s="25"/>
    </row>
    <row r="156">
      <c r="G156" s="25"/>
    </row>
    <row r="157">
      <c r="G157" s="25"/>
    </row>
    <row r="158">
      <c r="G158" s="25"/>
    </row>
    <row r="159">
      <c r="G159" s="25"/>
    </row>
    <row r="160">
      <c r="G160" s="25"/>
    </row>
    <row r="161">
      <c r="G161" s="25"/>
    </row>
    <row r="162">
      <c r="G162" s="25"/>
    </row>
    <row r="163">
      <c r="G163" s="25"/>
    </row>
    <row r="164">
      <c r="G164" s="25"/>
    </row>
    <row r="165">
      <c r="G165" s="25"/>
    </row>
    <row r="166">
      <c r="G166" s="25"/>
    </row>
    <row r="167">
      <c r="G167" s="25"/>
    </row>
    <row r="168">
      <c r="G168" s="25"/>
    </row>
    <row r="169">
      <c r="G169" s="25"/>
    </row>
    <row r="170">
      <c r="G170" s="25"/>
    </row>
    <row r="171">
      <c r="G171" s="25"/>
    </row>
    <row r="172">
      <c r="G172" s="25"/>
    </row>
    <row r="173">
      <c r="G173" s="25"/>
    </row>
    <row r="174">
      <c r="G174" s="25"/>
    </row>
    <row r="175">
      <c r="G175" s="25"/>
    </row>
    <row r="176">
      <c r="G176" s="25"/>
    </row>
    <row r="177">
      <c r="G177" s="25"/>
    </row>
    <row r="178">
      <c r="G178" s="25"/>
    </row>
    <row r="179">
      <c r="G179" s="25"/>
    </row>
    <row r="180">
      <c r="G180" s="25"/>
    </row>
    <row r="181">
      <c r="G181" s="25"/>
    </row>
    <row r="182">
      <c r="G182" s="25"/>
    </row>
    <row r="183">
      <c r="G183" s="25"/>
    </row>
    <row r="184">
      <c r="G184" s="25"/>
    </row>
    <row r="185">
      <c r="G185" s="25"/>
    </row>
    <row r="186">
      <c r="G186" s="25"/>
    </row>
    <row r="187">
      <c r="G187" s="25"/>
    </row>
    <row r="188">
      <c r="G188" s="25"/>
    </row>
    <row r="189">
      <c r="G189" s="25"/>
    </row>
    <row r="190">
      <c r="G190" s="25"/>
    </row>
    <row r="191">
      <c r="G191" s="25"/>
    </row>
    <row r="192">
      <c r="G192" s="25"/>
    </row>
    <row r="193">
      <c r="G193" s="25"/>
    </row>
    <row r="194">
      <c r="G194" s="25"/>
    </row>
    <row r="195">
      <c r="G195" s="25"/>
    </row>
    <row r="196">
      <c r="G196" s="25"/>
    </row>
    <row r="197">
      <c r="G197" s="25"/>
    </row>
    <row r="198">
      <c r="G198" s="25"/>
    </row>
    <row r="199">
      <c r="G199" s="25"/>
    </row>
    <row r="200">
      <c r="G200" s="25"/>
    </row>
    <row r="201">
      <c r="G201" s="25"/>
    </row>
    <row r="202">
      <c r="G202" s="25"/>
    </row>
    <row r="203">
      <c r="G203" s="25"/>
    </row>
    <row r="204">
      <c r="G204" s="25"/>
    </row>
    <row r="205">
      <c r="G205" s="25"/>
    </row>
    <row r="206">
      <c r="G206" s="25"/>
    </row>
    <row r="207">
      <c r="G207" s="25"/>
    </row>
    <row r="208">
      <c r="G208" s="25"/>
    </row>
    <row r="209">
      <c r="G209" s="25"/>
    </row>
    <row r="210">
      <c r="G210" s="25"/>
    </row>
    <row r="211">
      <c r="G211" s="25"/>
    </row>
    <row r="212">
      <c r="G212" s="25"/>
    </row>
    <row r="213">
      <c r="G213" s="25"/>
    </row>
    <row r="214">
      <c r="G214" s="25"/>
    </row>
    <row r="215">
      <c r="G215" s="25"/>
    </row>
    <row r="216">
      <c r="G216" s="25"/>
    </row>
    <row r="217">
      <c r="G217" s="25"/>
    </row>
    <row r="218">
      <c r="G218" s="25"/>
    </row>
    <row r="219">
      <c r="G219" s="25"/>
    </row>
    <row r="220">
      <c r="G220" s="25"/>
    </row>
    <row r="221">
      <c r="G221" s="25"/>
    </row>
    <row r="222">
      <c r="G222" s="25"/>
    </row>
    <row r="223">
      <c r="G223" s="25"/>
    </row>
    <row r="224">
      <c r="G224" s="25"/>
    </row>
    <row r="225">
      <c r="G225" s="25"/>
    </row>
    <row r="226">
      <c r="G226" s="25"/>
    </row>
    <row r="227">
      <c r="G227" s="25"/>
    </row>
    <row r="228">
      <c r="G228" s="25"/>
    </row>
    <row r="229">
      <c r="G229" s="25"/>
    </row>
    <row r="230">
      <c r="G230" s="25"/>
    </row>
    <row r="231">
      <c r="G231" s="25"/>
    </row>
    <row r="232">
      <c r="G232" s="25"/>
    </row>
    <row r="233">
      <c r="G233" s="25"/>
    </row>
    <row r="234">
      <c r="G234" s="25"/>
    </row>
    <row r="235">
      <c r="G235" s="25"/>
    </row>
    <row r="236">
      <c r="G236" s="25"/>
    </row>
    <row r="237">
      <c r="G237" s="25"/>
    </row>
    <row r="238">
      <c r="G238" s="25"/>
    </row>
    <row r="239">
      <c r="G239" s="25"/>
    </row>
    <row r="240">
      <c r="G240" s="25"/>
    </row>
    <row r="241">
      <c r="G241" s="25"/>
    </row>
    <row r="242">
      <c r="G242" s="25"/>
    </row>
    <row r="243">
      <c r="G243" s="25"/>
    </row>
    <row r="244">
      <c r="G244" s="25"/>
    </row>
    <row r="245">
      <c r="G245" s="25"/>
    </row>
    <row r="246">
      <c r="G246" s="25"/>
    </row>
    <row r="247">
      <c r="G247" s="25"/>
    </row>
    <row r="248">
      <c r="G248" s="25"/>
    </row>
    <row r="249">
      <c r="G249" s="25"/>
    </row>
    <row r="250">
      <c r="G250" s="25"/>
    </row>
    <row r="251">
      <c r="G251" s="25"/>
    </row>
    <row r="252">
      <c r="G252" s="25"/>
    </row>
    <row r="253">
      <c r="G253" s="25"/>
    </row>
    <row r="254">
      <c r="G254" s="25"/>
    </row>
    <row r="255">
      <c r="G255" s="25"/>
    </row>
    <row r="256">
      <c r="G256" s="25"/>
    </row>
    <row r="257">
      <c r="G257" s="25"/>
    </row>
    <row r="258">
      <c r="G258" s="25"/>
    </row>
    <row r="259">
      <c r="G259" s="25"/>
    </row>
    <row r="260">
      <c r="G260" s="25"/>
    </row>
    <row r="261">
      <c r="G261" s="25"/>
    </row>
    <row r="262">
      <c r="G262" s="25"/>
    </row>
    <row r="263">
      <c r="G263" s="25"/>
    </row>
    <row r="264">
      <c r="G264" s="25"/>
    </row>
    <row r="265">
      <c r="G265" s="25"/>
    </row>
    <row r="266">
      <c r="G266" s="25"/>
    </row>
    <row r="267">
      <c r="G267" s="25"/>
    </row>
    <row r="268">
      <c r="G268" s="25"/>
    </row>
    <row r="269">
      <c r="G269" s="25"/>
    </row>
    <row r="270">
      <c r="G270" s="25"/>
    </row>
    <row r="271">
      <c r="G271" s="25"/>
    </row>
    <row r="272">
      <c r="G272" s="25"/>
    </row>
    <row r="273">
      <c r="G273" s="25"/>
    </row>
    <row r="274">
      <c r="G274" s="25"/>
    </row>
    <row r="275">
      <c r="G275" s="25"/>
    </row>
    <row r="276">
      <c r="G276" s="25"/>
    </row>
    <row r="277">
      <c r="G277" s="25"/>
    </row>
    <row r="278">
      <c r="G278" s="25"/>
    </row>
    <row r="279">
      <c r="G279" s="25"/>
    </row>
    <row r="280">
      <c r="G280" s="25"/>
    </row>
    <row r="281">
      <c r="G281" s="25"/>
    </row>
    <row r="282">
      <c r="G282" s="25"/>
    </row>
    <row r="283">
      <c r="G283" s="25"/>
    </row>
    <row r="284">
      <c r="G284" s="25"/>
    </row>
    <row r="285">
      <c r="G285" s="25"/>
    </row>
    <row r="286">
      <c r="G286" s="25"/>
    </row>
    <row r="287">
      <c r="G287" s="25"/>
    </row>
    <row r="288">
      <c r="G288" s="25"/>
    </row>
    <row r="289">
      <c r="G289" s="25"/>
    </row>
    <row r="290">
      <c r="G290" s="25"/>
    </row>
    <row r="291">
      <c r="G291" s="25"/>
    </row>
    <row r="292">
      <c r="G292" s="25"/>
    </row>
    <row r="293">
      <c r="G293" s="25"/>
    </row>
    <row r="294">
      <c r="G294" s="25"/>
    </row>
    <row r="295">
      <c r="G295" s="25"/>
    </row>
    <row r="296">
      <c r="G296" s="25"/>
    </row>
    <row r="297">
      <c r="G297" s="25"/>
    </row>
    <row r="298">
      <c r="G298" s="25"/>
    </row>
    <row r="299">
      <c r="G299" s="25"/>
    </row>
    <row r="300">
      <c r="G300" s="25"/>
    </row>
    <row r="301">
      <c r="G301" s="25"/>
    </row>
    <row r="302">
      <c r="G302" s="25"/>
    </row>
    <row r="303">
      <c r="G303" s="25"/>
    </row>
    <row r="304">
      <c r="G304" s="25"/>
    </row>
    <row r="305">
      <c r="G305" s="25"/>
    </row>
    <row r="306">
      <c r="G306" s="25"/>
    </row>
    <row r="307">
      <c r="G307" s="25"/>
    </row>
    <row r="308">
      <c r="G308" s="25"/>
    </row>
    <row r="309">
      <c r="G309" s="25"/>
    </row>
    <row r="310">
      <c r="G310" s="25"/>
    </row>
    <row r="311">
      <c r="G311" s="25"/>
    </row>
    <row r="312">
      <c r="G312" s="25"/>
    </row>
    <row r="313">
      <c r="G313" s="25"/>
    </row>
    <row r="314">
      <c r="G314" s="25"/>
    </row>
    <row r="315">
      <c r="G315" s="25"/>
    </row>
    <row r="316">
      <c r="G316" s="25"/>
    </row>
    <row r="317">
      <c r="G317" s="25"/>
    </row>
    <row r="318">
      <c r="G318" s="25"/>
    </row>
    <row r="319">
      <c r="G319" s="25"/>
    </row>
    <row r="320">
      <c r="G320" s="25"/>
    </row>
    <row r="321">
      <c r="G321" s="25"/>
    </row>
    <row r="322">
      <c r="G322" s="25"/>
    </row>
    <row r="323">
      <c r="G323" s="25"/>
    </row>
    <row r="324">
      <c r="G324" s="25"/>
    </row>
    <row r="325">
      <c r="G325" s="25"/>
    </row>
    <row r="326">
      <c r="G326" s="25"/>
    </row>
    <row r="327">
      <c r="G327" s="25"/>
    </row>
    <row r="328">
      <c r="G328" s="25"/>
    </row>
    <row r="329">
      <c r="G329" s="25"/>
    </row>
    <row r="330">
      <c r="G330" s="25"/>
    </row>
    <row r="331">
      <c r="G331" s="25"/>
    </row>
    <row r="332">
      <c r="G332" s="25"/>
    </row>
    <row r="333">
      <c r="G333" s="25"/>
    </row>
    <row r="334">
      <c r="G334" s="25"/>
    </row>
    <row r="335">
      <c r="G335" s="25"/>
    </row>
    <row r="336">
      <c r="G336" s="25"/>
    </row>
    <row r="337">
      <c r="G337" s="25"/>
    </row>
    <row r="338">
      <c r="G338" s="25"/>
    </row>
    <row r="339">
      <c r="G339" s="25"/>
    </row>
    <row r="340">
      <c r="G340" s="25"/>
    </row>
    <row r="341">
      <c r="G341" s="25"/>
    </row>
    <row r="342">
      <c r="G342" s="25"/>
    </row>
    <row r="343">
      <c r="G343" s="25"/>
    </row>
    <row r="344">
      <c r="G344" s="25"/>
    </row>
    <row r="345">
      <c r="G345" s="25"/>
    </row>
    <row r="346">
      <c r="G346" s="25"/>
    </row>
    <row r="347">
      <c r="G347" s="25"/>
    </row>
    <row r="348">
      <c r="G348" s="25"/>
    </row>
    <row r="349">
      <c r="G349" s="25"/>
    </row>
    <row r="350">
      <c r="G350" s="25"/>
    </row>
    <row r="351">
      <c r="G351" s="25"/>
    </row>
    <row r="352">
      <c r="G352" s="25"/>
    </row>
    <row r="353">
      <c r="G353" s="25"/>
    </row>
    <row r="354">
      <c r="G354" s="25"/>
    </row>
    <row r="355">
      <c r="G355" s="25"/>
    </row>
    <row r="356">
      <c r="G356" s="25"/>
    </row>
    <row r="357">
      <c r="G357" s="25"/>
    </row>
    <row r="358">
      <c r="G358" s="25"/>
    </row>
    <row r="359">
      <c r="G359" s="25"/>
    </row>
    <row r="360">
      <c r="G360" s="25"/>
    </row>
    <row r="361">
      <c r="G361" s="25"/>
    </row>
    <row r="362">
      <c r="G362" s="25"/>
    </row>
    <row r="363">
      <c r="G363" s="25"/>
    </row>
    <row r="364">
      <c r="G364" s="25"/>
    </row>
    <row r="365">
      <c r="G365" s="25"/>
    </row>
    <row r="366">
      <c r="G366" s="25"/>
    </row>
    <row r="367">
      <c r="G367" s="25"/>
    </row>
    <row r="368">
      <c r="G368" s="25"/>
    </row>
    <row r="369">
      <c r="G369" s="25"/>
    </row>
    <row r="370">
      <c r="G370" s="25"/>
    </row>
    <row r="371">
      <c r="G371" s="25"/>
    </row>
    <row r="372">
      <c r="G372" s="25"/>
    </row>
    <row r="373">
      <c r="G373" s="25"/>
    </row>
    <row r="374">
      <c r="G374" s="25"/>
    </row>
    <row r="375">
      <c r="G375" s="25"/>
    </row>
    <row r="376">
      <c r="G376" s="25"/>
    </row>
    <row r="377">
      <c r="G377" s="25"/>
    </row>
    <row r="378">
      <c r="G378" s="25"/>
    </row>
    <row r="379">
      <c r="G379" s="25"/>
    </row>
    <row r="380">
      <c r="G380" s="25"/>
    </row>
    <row r="381">
      <c r="G381" s="25"/>
    </row>
    <row r="382">
      <c r="G382" s="25"/>
    </row>
    <row r="383">
      <c r="G383" s="25"/>
    </row>
    <row r="384">
      <c r="G384" s="25"/>
    </row>
    <row r="385">
      <c r="G385" s="25"/>
    </row>
    <row r="386">
      <c r="G386" s="25"/>
    </row>
    <row r="387">
      <c r="G387" s="25"/>
    </row>
    <row r="388">
      <c r="G388" s="25"/>
    </row>
    <row r="389">
      <c r="G389" s="25"/>
    </row>
    <row r="390">
      <c r="G390" s="25"/>
    </row>
    <row r="391">
      <c r="G391" s="25"/>
    </row>
    <row r="392">
      <c r="G392" s="25"/>
    </row>
    <row r="393">
      <c r="G393" s="25"/>
    </row>
    <row r="394">
      <c r="G394" s="25"/>
    </row>
    <row r="395">
      <c r="G395" s="25"/>
    </row>
    <row r="396">
      <c r="G396" s="25"/>
    </row>
    <row r="397">
      <c r="G397" s="25"/>
    </row>
    <row r="398">
      <c r="G398" s="25"/>
    </row>
    <row r="399">
      <c r="G399" s="25"/>
    </row>
    <row r="400">
      <c r="G400" s="25"/>
    </row>
    <row r="401">
      <c r="G401" s="25"/>
    </row>
    <row r="402">
      <c r="G402" s="25"/>
    </row>
    <row r="403">
      <c r="G403" s="25"/>
    </row>
    <row r="404">
      <c r="G404" s="25"/>
    </row>
    <row r="405">
      <c r="G405" s="25"/>
    </row>
    <row r="406">
      <c r="G406" s="25"/>
    </row>
    <row r="407">
      <c r="G407" s="25"/>
    </row>
    <row r="408">
      <c r="G408" s="25"/>
    </row>
    <row r="409">
      <c r="G409" s="25"/>
    </row>
    <row r="410">
      <c r="G410" s="25"/>
    </row>
    <row r="411">
      <c r="G411" s="25"/>
    </row>
    <row r="412">
      <c r="G412" s="25"/>
    </row>
    <row r="413">
      <c r="G413" s="25"/>
    </row>
    <row r="414">
      <c r="G414" s="25"/>
    </row>
    <row r="415">
      <c r="G415" s="25"/>
    </row>
    <row r="416">
      <c r="G416" s="25"/>
    </row>
    <row r="417">
      <c r="G417" s="25"/>
    </row>
    <row r="418">
      <c r="G418" s="25"/>
    </row>
    <row r="419">
      <c r="G419" s="25"/>
    </row>
    <row r="420">
      <c r="G420" s="25"/>
    </row>
    <row r="421">
      <c r="G421" s="25"/>
    </row>
    <row r="422">
      <c r="G422" s="25"/>
    </row>
    <row r="423">
      <c r="G423" s="25"/>
    </row>
    <row r="424">
      <c r="G424" s="25"/>
    </row>
    <row r="425">
      <c r="G425" s="25"/>
    </row>
    <row r="426">
      <c r="G426" s="25"/>
    </row>
    <row r="427">
      <c r="G427" s="25"/>
    </row>
    <row r="428">
      <c r="G428" s="25"/>
    </row>
    <row r="429">
      <c r="G429" s="25"/>
    </row>
    <row r="430">
      <c r="G430" s="25"/>
    </row>
    <row r="431">
      <c r="G431" s="25"/>
    </row>
    <row r="432">
      <c r="G432" s="25"/>
    </row>
    <row r="433">
      <c r="G433" s="25"/>
    </row>
    <row r="434">
      <c r="G434" s="25"/>
    </row>
    <row r="435">
      <c r="G435" s="25"/>
    </row>
    <row r="436">
      <c r="G436" s="25"/>
    </row>
    <row r="437">
      <c r="G437" s="25"/>
    </row>
    <row r="438">
      <c r="G438" s="25"/>
    </row>
    <row r="439">
      <c r="G439" s="25"/>
    </row>
    <row r="440">
      <c r="G440" s="25"/>
    </row>
    <row r="441">
      <c r="G441" s="25"/>
    </row>
    <row r="442">
      <c r="G442" s="25"/>
    </row>
    <row r="443">
      <c r="G443" s="25"/>
    </row>
    <row r="444">
      <c r="G444" s="25"/>
    </row>
    <row r="445">
      <c r="G445" s="25"/>
    </row>
    <row r="446">
      <c r="G446" s="25"/>
    </row>
    <row r="447">
      <c r="G447" s="25"/>
    </row>
    <row r="448">
      <c r="G448" s="25"/>
    </row>
    <row r="449">
      <c r="G449" s="25"/>
    </row>
    <row r="450">
      <c r="G450" s="25"/>
    </row>
    <row r="451">
      <c r="G451" s="25"/>
    </row>
    <row r="452">
      <c r="G452" s="25"/>
    </row>
    <row r="453">
      <c r="G453" s="25"/>
    </row>
    <row r="454">
      <c r="G454" s="25"/>
    </row>
    <row r="455">
      <c r="G455" s="25"/>
    </row>
    <row r="456">
      <c r="G456" s="25"/>
    </row>
    <row r="457">
      <c r="G457" s="25"/>
    </row>
    <row r="458">
      <c r="G458" s="25"/>
    </row>
    <row r="459">
      <c r="G459" s="25"/>
    </row>
    <row r="460">
      <c r="G460" s="25"/>
    </row>
    <row r="461">
      <c r="G461" s="25"/>
    </row>
    <row r="462">
      <c r="G462" s="25"/>
    </row>
    <row r="463">
      <c r="G463" s="25"/>
    </row>
    <row r="464">
      <c r="G464" s="25"/>
    </row>
    <row r="465">
      <c r="G465" s="25"/>
    </row>
    <row r="466">
      <c r="G466" s="25"/>
    </row>
    <row r="467">
      <c r="G467" s="25"/>
    </row>
    <row r="468">
      <c r="G468" s="25"/>
    </row>
    <row r="469">
      <c r="G469" s="25"/>
    </row>
    <row r="470">
      <c r="G470" s="25"/>
    </row>
    <row r="471">
      <c r="G471" s="25"/>
    </row>
    <row r="472">
      <c r="G472" s="25"/>
    </row>
    <row r="473">
      <c r="G473" s="25"/>
    </row>
    <row r="474">
      <c r="G474" s="25"/>
    </row>
    <row r="475">
      <c r="G475" s="25"/>
    </row>
    <row r="476">
      <c r="G476" s="25"/>
    </row>
    <row r="477">
      <c r="G477" s="25"/>
    </row>
    <row r="478">
      <c r="G478" s="25"/>
    </row>
    <row r="479">
      <c r="G479" s="25"/>
    </row>
    <row r="480">
      <c r="G480" s="25"/>
    </row>
    <row r="481">
      <c r="G481" s="25"/>
    </row>
    <row r="482">
      <c r="G482" s="25"/>
    </row>
    <row r="483">
      <c r="G483" s="25"/>
    </row>
    <row r="484">
      <c r="G484" s="25"/>
    </row>
    <row r="485">
      <c r="G485" s="25"/>
    </row>
    <row r="486">
      <c r="G486" s="25"/>
    </row>
    <row r="487">
      <c r="G487" s="25"/>
    </row>
    <row r="488">
      <c r="G488" s="25"/>
    </row>
    <row r="489">
      <c r="G489" s="25"/>
    </row>
    <row r="490">
      <c r="G490" s="25"/>
    </row>
    <row r="491">
      <c r="G491" s="25"/>
    </row>
    <row r="492">
      <c r="G492" s="25"/>
    </row>
    <row r="493">
      <c r="G493" s="25"/>
    </row>
    <row r="494">
      <c r="G494" s="25"/>
    </row>
    <row r="495">
      <c r="G495" s="25"/>
    </row>
    <row r="496">
      <c r="G496" s="25"/>
    </row>
    <row r="497">
      <c r="G497" s="25"/>
    </row>
    <row r="498">
      <c r="G498" s="25"/>
    </row>
    <row r="499">
      <c r="G499" s="25"/>
    </row>
    <row r="500">
      <c r="G500" s="25"/>
    </row>
    <row r="501">
      <c r="G501" s="25"/>
    </row>
    <row r="502">
      <c r="G502" s="25"/>
    </row>
    <row r="503">
      <c r="G503" s="25"/>
    </row>
    <row r="504">
      <c r="G504" s="25"/>
    </row>
    <row r="505">
      <c r="G505" s="25"/>
    </row>
    <row r="506">
      <c r="G506" s="25"/>
    </row>
    <row r="507">
      <c r="G507" s="25"/>
    </row>
    <row r="508">
      <c r="G508" s="25"/>
    </row>
    <row r="509">
      <c r="G509" s="25"/>
    </row>
    <row r="510">
      <c r="G510" s="25"/>
    </row>
    <row r="511">
      <c r="G511" s="25"/>
    </row>
    <row r="512">
      <c r="G512" s="25"/>
    </row>
    <row r="513">
      <c r="G513" s="25"/>
    </row>
    <row r="514">
      <c r="G514" s="25"/>
    </row>
    <row r="515">
      <c r="G515" s="25"/>
    </row>
    <row r="516">
      <c r="G516" s="25"/>
    </row>
    <row r="517">
      <c r="G517" s="25"/>
    </row>
    <row r="518">
      <c r="G518" s="25"/>
    </row>
    <row r="519">
      <c r="G519" s="25"/>
    </row>
    <row r="520">
      <c r="G520" s="25"/>
    </row>
    <row r="521">
      <c r="G521" s="25"/>
    </row>
    <row r="522">
      <c r="G522" s="25"/>
    </row>
    <row r="523">
      <c r="G523" s="25"/>
    </row>
    <row r="524">
      <c r="G524" s="25"/>
    </row>
    <row r="525">
      <c r="G525" s="25"/>
    </row>
    <row r="526">
      <c r="G526" s="25"/>
    </row>
    <row r="527">
      <c r="G527" s="25"/>
    </row>
    <row r="528">
      <c r="G528" s="25"/>
    </row>
    <row r="529">
      <c r="G529" s="25"/>
    </row>
    <row r="530">
      <c r="G530" s="25"/>
    </row>
    <row r="531">
      <c r="G531" s="25"/>
    </row>
    <row r="532">
      <c r="G532" s="25"/>
    </row>
    <row r="533">
      <c r="G533" s="25"/>
    </row>
    <row r="534">
      <c r="G534" s="25"/>
    </row>
    <row r="535">
      <c r="G535" s="25"/>
    </row>
    <row r="536">
      <c r="G536" s="25"/>
    </row>
    <row r="537">
      <c r="G537" s="25"/>
    </row>
    <row r="538">
      <c r="G538" s="25"/>
    </row>
    <row r="539">
      <c r="G539" s="25"/>
    </row>
    <row r="540">
      <c r="G540" s="25"/>
    </row>
    <row r="541">
      <c r="G541" s="25"/>
    </row>
    <row r="542">
      <c r="G542" s="25"/>
    </row>
    <row r="543">
      <c r="G543" s="25"/>
    </row>
    <row r="544">
      <c r="G544" s="25"/>
    </row>
    <row r="545">
      <c r="G545" s="25"/>
    </row>
    <row r="546">
      <c r="G546" s="25"/>
    </row>
    <row r="547">
      <c r="G547" s="25"/>
    </row>
    <row r="548">
      <c r="G548" s="25"/>
    </row>
    <row r="549">
      <c r="G549" s="25"/>
    </row>
    <row r="550">
      <c r="G550" s="25"/>
    </row>
    <row r="551">
      <c r="G551" s="25"/>
    </row>
    <row r="552">
      <c r="G552" s="25"/>
    </row>
    <row r="553">
      <c r="G553" s="25"/>
    </row>
    <row r="554">
      <c r="G554" s="25"/>
    </row>
    <row r="555">
      <c r="G555" s="25"/>
    </row>
    <row r="556">
      <c r="G556" s="25"/>
    </row>
    <row r="557">
      <c r="G557" s="25"/>
    </row>
    <row r="558">
      <c r="G558" s="25"/>
    </row>
    <row r="559">
      <c r="G559" s="25"/>
    </row>
    <row r="560">
      <c r="G560" s="25"/>
    </row>
    <row r="561">
      <c r="G561" s="25"/>
    </row>
    <row r="562">
      <c r="G562" s="25"/>
    </row>
    <row r="563">
      <c r="G563" s="25"/>
    </row>
    <row r="564">
      <c r="G564" s="25"/>
    </row>
    <row r="565">
      <c r="G565" s="25"/>
    </row>
    <row r="566">
      <c r="G566" s="25"/>
    </row>
    <row r="567">
      <c r="G567" s="25"/>
    </row>
    <row r="568">
      <c r="G568" s="25"/>
    </row>
    <row r="569">
      <c r="G569" s="25"/>
    </row>
    <row r="570">
      <c r="G570" s="25"/>
    </row>
    <row r="571">
      <c r="G571" s="25"/>
    </row>
    <row r="572">
      <c r="G572" s="25"/>
    </row>
    <row r="573">
      <c r="G573" s="25"/>
    </row>
    <row r="574">
      <c r="G574" s="25"/>
    </row>
    <row r="575">
      <c r="G575" s="25"/>
    </row>
    <row r="576">
      <c r="G576" s="25"/>
    </row>
    <row r="577">
      <c r="G577" s="25"/>
    </row>
    <row r="578">
      <c r="G578" s="25"/>
    </row>
    <row r="579">
      <c r="G579" s="25"/>
    </row>
    <row r="580">
      <c r="G580" s="25"/>
    </row>
    <row r="581">
      <c r="G581" s="25"/>
    </row>
    <row r="582">
      <c r="G582" s="25"/>
    </row>
    <row r="583">
      <c r="G583" s="25"/>
    </row>
    <row r="584">
      <c r="G584" s="25"/>
    </row>
    <row r="585">
      <c r="G585" s="25"/>
    </row>
    <row r="586">
      <c r="G586" s="25"/>
    </row>
    <row r="587">
      <c r="G587" s="25"/>
    </row>
    <row r="588">
      <c r="G588" s="25"/>
    </row>
    <row r="589">
      <c r="G589" s="25"/>
    </row>
    <row r="590">
      <c r="G590" s="25"/>
    </row>
    <row r="591">
      <c r="G591" s="25"/>
    </row>
    <row r="592">
      <c r="G592" s="25"/>
    </row>
    <row r="593">
      <c r="G593" s="25"/>
    </row>
    <row r="594">
      <c r="G594" s="25"/>
    </row>
    <row r="595">
      <c r="G595" s="25"/>
    </row>
    <row r="596">
      <c r="G596" s="25"/>
    </row>
    <row r="597">
      <c r="G597" s="25"/>
    </row>
    <row r="598">
      <c r="G598" s="25"/>
    </row>
    <row r="599">
      <c r="G599" s="25"/>
    </row>
    <row r="600">
      <c r="G600" s="25"/>
    </row>
    <row r="601">
      <c r="G601" s="25"/>
    </row>
    <row r="602">
      <c r="G602" s="25"/>
    </row>
    <row r="603">
      <c r="G603" s="25"/>
    </row>
    <row r="604">
      <c r="G604" s="25"/>
    </row>
    <row r="605">
      <c r="G605" s="25"/>
    </row>
    <row r="606">
      <c r="G606" s="25"/>
    </row>
    <row r="607">
      <c r="G607" s="25"/>
    </row>
    <row r="608">
      <c r="G608" s="25"/>
    </row>
    <row r="609">
      <c r="G609" s="25"/>
    </row>
    <row r="610">
      <c r="G610" s="25"/>
    </row>
    <row r="611">
      <c r="G611" s="25"/>
    </row>
    <row r="612">
      <c r="G612" s="25"/>
    </row>
    <row r="613">
      <c r="G613" s="25"/>
    </row>
    <row r="614">
      <c r="G614" s="25"/>
    </row>
    <row r="615">
      <c r="G615" s="25"/>
    </row>
    <row r="616">
      <c r="G616" s="25"/>
    </row>
    <row r="617">
      <c r="G617" s="25"/>
    </row>
    <row r="618">
      <c r="G618" s="25"/>
    </row>
    <row r="619">
      <c r="G619" s="25"/>
    </row>
    <row r="620">
      <c r="G620" s="25"/>
    </row>
    <row r="621">
      <c r="G621" s="25"/>
    </row>
    <row r="622">
      <c r="G622" s="25"/>
    </row>
    <row r="623">
      <c r="G623" s="25"/>
    </row>
    <row r="624">
      <c r="G624" s="25"/>
    </row>
    <row r="625">
      <c r="G625" s="25"/>
    </row>
    <row r="626">
      <c r="G626" s="25"/>
    </row>
    <row r="627">
      <c r="G627" s="25"/>
    </row>
    <row r="628">
      <c r="G628" s="25"/>
    </row>
    <row r="629">
      <c r="G629" s="25"/>
    </row>
    <row r="630">
      <c r="G630" s="25"/>
    </row>
    <row r="631">
      <c r="G631" s="25"/>
    </row>
    <row r="632">
      <c r="G632" s="25"/>
    </row>
    <row r="633">
      <c r="G633" s="25"/>
    </row>
    <row r="634">
      <c r="G634" s="25"/>
    </row>
    <row r="635">
      <c r="G635" s="25"/>
    </row>
    <row r="636">
      <c r="G636" s="25"/>
    </row>
    <row r="637">
      <c r="G637" s="25"/>
    </row>
    <row r="638">
      <c r="G638" s="25"/>
    </row>
    <row r="639">
      <c r="G639" s="25"/>
    </row>
    <row r="640">
      <c r="G640" s="25"/>
    </row>
    <row r="641">
      <c r="G641" s="25"/>
    </row>
    <row r="642">
      <c r="G642" s="25"/>
    </row>
    <row r="643">
      <c r="G643" s="25"/>
    </row>
    <row r="644">
      <c r="G644" s="25"/>
    </row>
    <row r="645">
      <c r="G645" s="25"/>
    </row>
    <row r="646">
      <c r="G646" s="25"/>
    </row>
    <row r="647">
      <c r="G647" s="25"/>
    </row>
    <row r="648">
      <c r="G648" s="25"/>
    </row>
    <row r="649">
      <c r="G649" s="25"/>
    </row>
    <row r="650">
      <c r="G650" s="25"/>
    </row>
    <row r="651">
      <c r="G651" s="25"/>
    </row>
    <row r="652">
      <c r="G652" s="25"/>
    </row>
    <row r="653">
      <c r="G653" s="25"/>
    </row>
    <row r="654">
      <c r="G654" s="25"/>
    </row>
    <row r="655">
      <c r="G655" s="25"/>
    </row>
    <row r="656">
      <c r="G656" s="25"/>
    </row>
    <row r="657">
      <c r="G657" s="25"/>
    </row>
    <row r="658">
      <c r="G658" s="25"/>
    </row>
    <row r="659">
      <c r="G659" s="25"/>
    </row>
    <row r="660">
      <c r="G660" s="25"/>
    </row>
    <row r="661">
      <c r="G661" s="25"/>
    </row>
    <row r="662">
      <c r="G662" s="25"/>
    </row>
    <row r="663">
      <c r="G663" s="25"/>
    </row>
    <row r="664">
      <c r="G664" s="25"/>
    </row>
    <row r="665">
      <c r="G665" s="25"/>
    </row>
    <row r="666">
      <c r="G666" s="25"/>
    </row>
    <row r="667">
      <c r="G667" s="25"/>
    </row>
    <row r="668">
      <c r="G668" s="25"/>
    </row>
    <row r="669">
      <c r="G669" s="25"/>
    </row>
    <row r="670">
      <c r="G670" s="25"/>
    </row>
    <row r="671">
      <c r="G671" s="25"/>
    </row>
    <row r="672">
      <c r="G672" s="25"/>
    </row>
    <row r="673">
      <c r="G673" s="25"/>
    </row>
    <row r="674">
      <c r="G674" s="25"/>
    </row>
    <row r="675">
      <c r="G675" s="25"/>
    </row>
    <row r="676">
      <c r="G676" s="25"/>
    </row>
    <row r="677">
      <c r="G677" s="25"/>
    </row>
    <row r="678">
      <c r="G678" s="25"/>
    </row>
    <row r="679">
      <c r="G679" s="25"/>
    </row>
    <row r="680">
      <c r="G680" s="25"/>
    </row>
    <row r="681">
      <c r="G681" s="25"/>
    </row>
    <row r="682">
      <c r="G682" s="25"/>
    </row>
    <row r="683">
      <c r="G683" s="25"/>
    </row>
    <row r="684">
      <c r="G684" s="25"/>
    </row>
    <row r="685">
      <c r="G685" s="25"/>
    </row>
    <row r="686">
      <c r="G686" s="25"/>
    </row>
    <row r="687">
      <c r="G687" s="25"/>
    </row>
    <row r="688">
      <c r="G688" s="25"/>
    </row>
    <row r="689">
      <c r="G689" s="25"/>
    </row>
    <row r="690">
      <c r="G690" s="25"/>
    </row>
    <row r="691">
      <c r="G691" s="25"/>
    </row>
    <row r="692">
      <c r="G692" s="25"/>
    </row>
    <row r="693">
      <c r="G693" s="25"/>
    </row>
    <row r="694">
      <c r="G694" s="25"/>
    </row>
    <row r="695">
      <c r="G695" s="25"/>
    </row>
    <row r="696">
      <c r="G696" s="25"/>
    </row>
    <row r="697">
      <c r="G697" s="25"/>
    </row>
    <row r="698">
      <c r="G698" s="25"/>
    </row>
    <row r="699">
      <c r="G699" s="25"/>
    </row>
    <row r="700">
      <c r="G700" s="25"/>
    </row>
    <row r="701">
      <c r="G701" s="25"/>
    </row>
    <row r="702">
      <c r="G702" s="25"/>
    </row>
    <row r="703">
      <c r="G703" s="25"/>
    </row>
    <row r="704">
      <c r="G704" s="25"/>
    </row>
    <row r="705">
      <c r="G705" s="25"/>
    </row>
    <row r="706">
      <c r="G706" s="25"/>
    </row>
    <row r="707">
      <c r="G707" s="25"/>
    </row>
    <row r="708">
      <c r="G708" s="25"/>
    </row>
    <row r="709">
      <c r="G709" s="25"/>
    </row>
    <row r="710">
      <c r="G710" s="25"/>
    </row>
    <row r="711">
      <c r="G711" s="25"/>
    </row>
    <row r="712">
      <c r="G712" s="25"/>
    </row>
    <row r="713">
      <c r="G713" s="25"/>
    </row>
    <row r="714">
      <c r="G714" s="25"/>
    </row>
    <row r="715">
      <c r="G715" s="25"/>
    </row>
    <row r="716">
      <c r="G716" s="25"/>
    </row>
    <row r="717">
      <c r="G717" s="25"/>
    </row>
    <row r="718">
      <c r="G718" s="25"/>
    </row>
    <row r="719">
      <c r="G719" s="25"/>
    </row>
    <row r="720">
      <c r="G720" s="25"/>
    </row>
    <row r="721">
      <c r="G721" s="25"/>
    </row>
    <row r="722">
      <c r="G722" s="25"/>
    </row>
    <row r="723">
      <c r="G723" s="25"/>
    </row>
    <row r="724">
      <c r="G724" s="25"/>
    </row>
    <row r="725">
      <c r="G725" s="25"/>
    </row>
    <row r="726">
      <c r="G726" s="25"/>
    </row>
    <row r="727">
      <c r="G727" s="25"/>
    </row>
    <row r="728">
      <c r="G728" s="25"/>
    </row>
    <row r="729">
      <c r="G729" s="25"/>
    </row>
    <row r="730">
      <c r="G730" s="25"/>
    </row>
    <row r="731">
      <c r="G731" s="25"/>
    </row>
    <row r="732">
      <c r="G732" s="25"/>
    </row>
    <row r="733">
      <c r="G733" s="25"/>
    </row>
    <row r="734">
      <c r="G734" s="25"/>
    </row>
    <row r="735">
      <c r="G735" s="25"/>
    </row>
    <row r="736">
      <c r="G736" s="25"/>
    </row>
    <row r="737">
      <c r="G737" s="25"/>
    </row>
    <row r="738">
      <c r="G738" s="25"/>
    </row>
    <row r="739">
      <c r="G739" s="25"/>
    </row>
    <row r="740">
      <c r="G740" s="25"/>
    </row>
    <row r="741">
      <c r="G741" s="25"/>
    </row>
    <row r="742">
      <c r="G742" s="25"/>
    </row>
    <row r="743">
      <c r="G743" s="25"/>
    </row>
    <row r="744">
      <c r="G744" s="25"/>
    </row>
    <row r="745">
      <c r="G745" s="25"/>
    </row>
    <row r="746">
      <c r="G746" s="25"/>
    </row>
    <row r="747">
      <c r="G747" s="25"/>
    </row>
    <row r="748">
      <c r="G748" s="25"/>
    </row>
    <row r="749">
      <c r="G749" s="25"/>
    </row>
    <row r="750">
      <c r="G750" s="25"/>
    </row>
    <row r="751">
      <c r="G751" s="25"/>
    </row>
    <row r="752">
      <c r="G752" s="25"/>
    </row>
    <row r="753">
      <c r="G753" s="25"/>
    </row>
    <row r="754">
      <c r="G754" s="25"/>
    </row>
    <row r="755">
      <c r="G755" s="25"/>
    </row>
    <row r="756">
      <c r="G756" s="25"/>
    </row>
    <row r="757">
      <c r="G757" s="25"/>
    </row>
    <row r="758">
      <c r="G758" s="25"/>
    </row>
    <row r="759">
      <c r="G759" s="25"/>
    </row>
    <row r="760">
      <c r="G760" s="25"/>
    </row>
    <row r="761">
      <c r="G761" s="25"/>
    </row>
    <row r="762">
      <c r="G762" s="25"/>
    </row>
    <row r="763">
      <c r="G763" s="25"/>
    </row>
    <row r="764">
      <c r="G764" s="25"/>
    </row>
    <row r="765">
      <c r="G765" s="25"/>
    </row>
    <row r="766">
      <c r="G766" s="25"/>
    </row>
    <row r="767">
      <c r="G767" s="25"/>
    </row>
    <row r="768">
      <c r="G768" s="25"/>
    </row>
    <row r="769">
      <c r="G769" s="25"/>
    </row>
    <row r="770">
      <c r="G770" s="25"/>
    </row>
    <row r="771">
      <c r="G771" s="25"/>
    </row>
    <row r="772">
      <c r="G772" s="25"/>
    </row>
    <row r="773">
      <c r="G773" s="25"/>
    </row>
    <row r="774">
      <c r="G774" s="25"/>
    </row>
    <row r="775">
      <c r="G775" s="25"/>
    </row>
    <row r="776">
      <c r="G776" s="25"/>
    </row>
    <row r="777">
      <c r="G777" s="25"/>
    </row>
    <row r="778">
      <c r="G778" s="25"/>
    </row>
    <row r="779">
      <c r="G779" s="25"/>
    </row>
    <row r="780">
      <c r="G780" s="25"/>
    </row>
    <row r="781">
      <c r="G781" s="25"/>
    </row>
    <row r="782">
      <c r="G782" s="25"/>
    </row>
    <row r="783">
      <c r="G783" s="25"/>
    </row>
    <row r="784">
      <c r="G784" s="25"/>
    </row>
    <row r="785">
      <c r="G785" s="25"/>
    </row>
    <row r="786">
      <c r="G786" s="25"/>
    </row>
    <row r="787">
      <c r="G787" s="25"/>
    </row>
    <row r="788">
      <c r="G788" s="25"/>
    </row>
    <row r="789">
      <c r="G789" s="25"/>
    </row>
    <row r="790">
      <c r="G790" s="25"/>
    </row>
    <row r="791">
      <c r="G791" s="25"/>
    </row>
    <row r="792">
      <c r="G792" s="25"/>
    </row>
    <row r="793">
      <c r="G793" s="25"/>
    </row>
    <row r="794">
      <c r="G794" s="25"/>
    </row>
    <row r="795">
      <c r="G795" s="25"/>
    </row>
    <row r="796">
      <c r="G796" s="25"/>
    </row>
    <row r="797">
      <c r="G797" s="25"/>
    </row>
    <row r="798">
      <c r="G798" s="25"/>
    </row>
    <row r="799">
      <c r="G799" s="25"/>
    </row>
    <row r="800">
      <c r="G800" s="25"/>
    </row>
    <row r="801">
      <c r="G801" s="25"/>
    </row>
    <row r="802">
      <c r="G802" s="25"/>
    </row>
    <row r="803">
      <c r="G803" s="25"/>
    </row>
    <row r="804">
      <c r="G804" s="25"/>
    </row>
    <row r="805">
      <c r="G805" s="25"/>
    </row>
    <row r="806">
      <c r="G806" s="25"/>
    </row>
    <row r="807">
      <c r="G807" s="25"/>
    </row>
    <row r="808">
      <c r="G808" s="25"/>
    </row>
    <row r="809">
      <c r="G809" s="25"/>
    </row>
    <row r="810">
      <c r="G810" s="25"/>
    </row>
    <row r="811">
      <c r="G811" s="25"/>
    </row>
    <row r="812">
      <c r="G812" s="25"/>
    </row>
    <row r="813">
      <c r="G813" s="25"/>
    </row>
    <row r="814">
      <c r="G814" s="25"/>
    </row>
    <row r="815">
      <c r="G815" s="25"/>
    </row>
    <row r="816">
      <c r="G816" s="25"/>
    </row>
    <row r="817">
      <c r="G817" s="25"/>
    </row>
    <row r="818">
      <c r="G818" s="25"/>
    </row>
    <row r="819">
      <c r="G819" s="25"/>
    </row>
    <row r="820">
      <c r="G820" s="25"/>
    </row>
    <row r="821">
      <c r="G821" s="25"/>
    </row>
    <row r="822">
      <c r="G822" s="25"/>
    </row>
    <row r="823">
      <c r="G823" s="25"/>
    </row>
    <row r="824">
      <c r="G824" s="25"/>
    </row>
    <row r="825">
      <c r="G825" s="25"/>
    </row>
    <row r="826">
      <c r="G826" s="25"/>
    </row>
    <row r="827">
      <c r="G827" s="25"/>
    </row>
    <row r="828">
      <c r="G828" s="25"/>
    </row>
    <row r="829">
      <c r="G829" s="25"/>
    </row>
    <row r="830">
      <c r="G830" s="25"/>
    </row>
    <row r="831">
      <c r="G831" s="25"/>
    </row>
    <row r="832">
      <c r="G832" s="25"/>
    </row>
    <row r="833">
      <c r="G833" s="25"/>
    </row>
    <row r="834">
      <c r="G834" s="25"/>
    </row>
    <row r="835">
      <c r="G835" s="25"/>
    </row>
    <row r="836">
      <c r="G836" s="25"/>
    </row>
    <row r="837">
      <c r="G837" s="25"/>
    </row>
    <row r="838">
      <c r="G838" s="25"/>
    </row>
    <row r="839">
      <c r="G839" s="25"/>
    </row>
    <row r="840">
      <c r="G840" s="25"/>
    </row>
    <row r="841">
      <c r="G841" s="25"/>
    </row>
    <row r="842">
      <c r="G842" s="25"/>
    </row>
    <row r="843">
      <c r="G843" s="25"/>
    </row>
    <row r="844">
      <c r="G844" s="25"/>
    </row>
    <row r="845">
      <c r="G845" s="25"/>
    </row>
    <row r="846">
      <c r="G846" s="25"/>
    </row>
    <row r="847">
      <c r="G847" s="25"/>
    </row>
    <row r="848">
      <c r="G848" s="25"/>
    </row>
    <row r="849">
      <c r="G849" s="25"/>
    </row>
    <row r="850">
      <c r="G850" s="25"/>
    </row>
    <row r="851">
      <c r="G851" s="25"/>
    </row>
    <row r="852">
      <c r="G852" s="25"/>
    </row>
    <row r="853">
      <c r="G853" s="25"/>
    </row>
    <row r="854">
      <c r="G854" s="25"/>
    </row>
    <row r="855">
      <c r="G855" s="25"/>
    </row>
    <row r="856">
      <c r="G856" s="25"/>
    </row>
    <row r="857">
      <c r="G857" s="25"/>
    </row>
    <row r="858">
      <c r="G858" s="25"/>
    </row>
    <row r="859">
      <c r="G859" s="25"/>
    </row>
    <row r="860">
      <c r="G860" s="25"/>
    </row>
    <row r="861">
      <c r="G861" s="25"/>
    </row>
    <row r="862">
      <c r="G862" s="25"/>
    </row>
    <row r="863">
      <c r="G863" s="25"/>
    </row>
    <row r="864">
      <c r="G864" s="25"/>
    </row>
    <row r="865">
      <c r="G865" s="25"/>
    </row>
    <row r="866">
      <c r="G866" s="25"/>
    </row>
    <row r="867">
      <c r="G867" s="25"/>
    </row>
    <row r="868">
      <c r="G868" s="25"/>
    </row>
    <row r="869">
      <c r="G869" s="25"/>
    </row>
    <row r="870">
      <c r="G870" s="25"/>
    </row>
    <row r="871">
      <c r="G871" s="25"/>
    </row>
    <row r="872">
      <c r="G872" s="25"/>
    </row>
    <row r="873">
      <c r="G873" s="25"/>
    </row>
    <row r="874">
      <c r="G874" s="25"/>
    </row>
    <row r="875">
      <c r="G875" s="25"/>
    </row>
    <row r="876">
      <c r="G876" s="25"/>
    </row>
    <row r="877">
      <c r="G877" s="25"/>
    </row>
    <row r="878">
      <c r="G878" s="25"/>
    </row>
    <row r="879">
      <c r="G879" s="25"/>
    </row>
    <row r="880">
      <c r="G880" s="25"/>
    </row>
    <row r="881">
      <c r="G881" s="25"/>
    </row>
    <row r="882">
      <c r="G882" s="25"/>
    </row>
    <row r="883">
      <c r="G883" s="25"/>
    </row>
    <row r="884">
      <c r="G884" s="25"/>
    </row>
    <row r="885">
      <c r="G885" s="25"/>
    </row>
    <row r="886">
      <c r="G886" s="25"/>
    </row>
    <row r="887">
      <c r="G887" s="25"/>
    </row>
    <row r="888">
      <c r="G888" s="25"/>
    </row>
    <row r="889">
      <c r="G889" s="25"/>
    </row>
    <row r="890">
      <c r="G890" s="25"/>
    </row>
    <row r="891">
      <c r="G891" s="25"/>
    </row>
    <row r="892">
      <c r="G892" s="25"/>
    </row>
    <row r="893">
      <c r="G893" s="25"/>
    </row>
    <row r="894">
      <c r="G894" s="25"/>
    </row>
    <row r="895">
      <c r="G895" s="25"/>
    </row>
    <row r="896">
      <c r="G896" s="25"/>
    </row>
    <row r="897">
      <c r="G897" s="25"/>
    </row>
    <row r="898">
      <c r="G898" s="25"/>
    </row>
    <row r="899">
      <c r="G899" s="25"/>
    </row>
    <row r="900">
      <c r="G900" s="25"/>
    </row>
    <row r="901">
      <c r="G901" s="25"/>
    </row>
    <row r="902">
      <c r="G902" s="25"/>
    </row>
    <row r="903">
      <c r="G903" s="25"/>
    </row>
    <row r="904">
      <c r="G904" s="25"/>
    </row>
    <row r="905">
      <c r="G905" s="25"/>
    </row>
    <row r="906">
      <c r="G906" s="25"/>
    </row>
    <row r="907">
      <c r="G907" s="25"/>
    </row>
    <row r="908">
      <c r="G908" s="25"/>
    </row>
    <row r="909">
      <c r="G909" s="25"/>
    </row>
    <row r="910">
      <c r="G910" s="25"/>
    </row>
    <row r="911">
      <c r="G911" s="25"/>
    </row>
    <row r="912">
      <c r="G912" s="25"/>
    </row>
    <row r="913">
      <c r="G913" s="25"/>
    </row>
    <row r="914">
      <c r="G914" s="25"/>
    </row>
    <row r="915">
      <c r="G915" s="25"/>
    </row>
    <row r="916">
      <c r="G916" s="25"/>
    </row>
    <row r="917">
      <c r="G917" s="25"/>
    </row>
    <row r="918">
      <c r="G918" s="25"/>
    </row>
    <row r="919">
      <c r="G919" s="25"/>
    </row>
    <row r="920">
      <c r="G920" s="25"/>
    </row>
    <row r="921">
      <c r="G921" s="25"/>
    </row>
    <row r="922">
      <c r="G922" s="25"/>
    </row>
    <row r="923">
      <c r="G923" s="25"/>
    </row>
    <row r="924">
      <c r="G924" s="25"/>
    </row>
    <row r="925">
      <c r="G925" s="25"/>
    </row>
    <row r="926">
      <c r="G926" s="25"/>
    </row>
    <row r="927">
      <c r="G927" s="25"/>
    </row>
    <row r="928">
      <c r="G928" s="25"/>
    </row>
    <row r="929">
      <c r="G929" s="25"/>
    </row>
    <row r="930">
      <c r="G930" s="25"/>
    </row>
    <row r="931">
      <c r="G931" s="25"/>
    </row>
    <row r="932">
      <c r="G932" s="25"/>
    </row>
    <row r="933">
      <c r="G933" s="25"/>
    </row>
    <row r="934">
      <c r="G934" s="25"/>
    </row>
    <row r="935">
      <c r="G935" s="25"/>
    </row>
    <row r="936">
      <c r="G936" s="25"/>
    </row>
    <row r="937">
      <c r="G937" s="25"/>
    </row>
    <row r="938">
      <c r="G938" s="25"/>
    </row>
    <row r="939">
      <c r="G939" s="25"/>
    </row>
    <row r="940">
      <c r="G940" s="25"/>
    </row>
    <row r="941">
      <c r="G941" s="25"/>
    </row>
    <row r="942">
      <c r="G942" s="25"/>
    </row>
    <row r="943">
      <c r="G943" s="25"/>
    </row>
    <row r="944">
      <c r="G944" s="25"/>
    </row>
    <row r="945">
      <c r="G945" s="25"/>
    </row>
    <row r="946">
      <c r="G946" s="25"/>
    </row>
    <row r="947">
      <c r="G947" s="25"/>
    </row>
    <row r="948">
      <c r="G948" s="25"/>
    </row>
    <row r="949">
      <c r="G949" s="25"/>
    </row>
    <row r="950">
      <c r="G950" s="25"/>
    </row>
    <row r="951">
      <c r="G951" s="25"/>
    </row>
    <row r="952">
      <c r="G952" s="25"/>
    </row>
    <row r="953">
      <c r="G953" s="25"/>
    </row>
    <row r="954">
      <c r="G954" s="25"/>
    </row>
    <row r="955">
      <c r="G955" s="25"/>
    </row>
    <row r="956">
      <c r="G956" s="25"/>
    </row>
    <row r="957">
      <c r="G957" s="25"/>
    </row>
    <row r="958">
      <c r="G958" s="25"/>
    </row>
    <row r="959">
      <c r="G959" s="25"/>
    </row>
    <row r="960">
      <c r="G960" s="25"/>
    </row>
    <row r="961">
      <c r="G961" s="25"/>
    </row>
    <row r="962">
      <c r="G962" s="25"/>
    </row>
    <row r="963">
      <c r="G963" s="25"/>
    </row>
    <row r="964">
      <c r="G964" s="25"/>
    </row>
    <row r="965">
      <c r="G965" s="25"/>
    </row>
    <row r="966">
      <c r="G966" s="25"/>
    </row>
    <row r="967">
      <c r="G967" s="25"/>
    </row>
    <row r="968">
      <c r="G968" s="25"/>
    </row>
    <row r="969">
      <c r="G969" s="25"/>
    </row>
    <row r="970">
      <c r="G970" s="25"/>
    </row>
    <row r="971">
      <c r="G971" s="25"/>
    </row>
    <row r="972">
      <c r="G972" s="25"/>
    </row>
    <row r="973">
      <c r="G973" s="25"/>
    </row>
    <row r="974">
      <c r="G974" s="25"/>
    </row>
    <row r="975">
      <c r="G975" s="25"/>
    </row>
    <row r="976">
      <c r="G976" s="25"/>
    </row>
    <row r="977">
      <c r="G977" s="25"/>
    </row>
    <row r="978">
      <c r="G978" s="25"/>
    </row>
    <row r="979">
      <c r="G979" s="25"/>
    </row>
    <row r="980">
      <c r="G980" s="25"/>
    </row>
    <row r="981">
      <c r="G981" s="25"/>
    </row>
    <row r="982">
      <c r="G982" s="25"/>
    </row>
    <row r="983">
      <c r="G983" s="25"/>
    </row>
    <row r="984">
      <c r="G984" s="25"/>
    </row>
    <row r="985">
      <c r="G985" s="25"/>
    </row>
    <row r="986">
      <c r="G986" s="25"/>
    </row>
    <row r="987">
      <c r="G987" s="25"/>
    </row>
    <row r="988">
      <c r="G988" s="25"/>
    </row>
    <row r="989">
      <c r="G989" s="25"/>
    </row>
    <row r="990">
      <c r="G990" s="25"/>
    </row>
    <row r="991">
      <c r="G991" s="25"/>
    </row>
    <row r="992">
      <c r="G992" s="25"/>
    </row>
    <row r="993">
      <c r="G993" s="25"/>
    </row>
    <row r="994">
      <c r="G994" s="25"/>
    </row>
    <row r="995">
      <c r="G995" s="25"/>
    </row>
    <row r="996">
      <c r="G996" s="25"/>
    </row>
    <row r="997">
      <c r="G997" s="25"/>
    </row>
    <row r="998">
      <c r="G998" s="25"/>
    </row>
    <row r="999">
      <c r="G999" s="25"/>
    </row>
    <row r="1000">
      <c r="G1000" s="25"/>
    </row>
    <row r="1001">
      <c r="G1001" s="25"/>
    </row>
    <row r="1002">
      <c r="G1002" s="25"/>
    </row>
    <row r="1003">
      <c r="G1003" s="25"/>
    </row>
    <row r="1004">
      <c r="G1004" s="25"/>
    </row>
    <row r="1005">
      <c r="G1005" s="25"/>
    </row>
    <row r="1006">
      <c r="G1006" s="25"/>
    </row>
    <row r="1007">
      <c r="G1007" s="25"/>
    </row>
    <row r="1008">
      <c r="G1008" s="25"/>
    </row>
    <row r="1009">
      <c r="G1009" s="25"/>
    </row>
    <row r="1010">
      <c r="G1010" s="25"/>
    </row>
    <row r="1011">
      <c r="G1011" s="25"/>
    </row>
    <row r="1012">
      <c r="G1012" s="25"/>
    </row>
    <row r="1013">
      <c r="G1013" s="25"/>
    </row>
    <row r="1014">
      <c r="G1014" s="25"/>
    </row>
    <row r="1015">
      <c r="G1015" s="25"/>
    </row>
    <row r="1016">
      <c r="G1016" s="25"/>
    </row>
    <row r="1017">
      <c r="G1017" s="25"/>
    </row>
    <row r="1018">
      <c r="G1018" s="25"/>
    </row>
    <row r="1019">
      <c r="G1019" s="25"/>
    </row>
    <row r="1020">
      <c r="G1020" s="25"/>
    </row>
    <row r="1021">
      <c r="G1021" s="25"/>
    </row>
    <row r="1022">
      <c r="G1022" s="25"/>
    </row>
    <row r="1023">
      <c r="G1023" s="25"/>
    </row>
    <row r="1024">
      <c r="G1024" s="25"/>
    </row>
    <row r="1025">
      <c r="G1025" s="25"/>
    </row>
    <row r="1026">
      <c r="G1026" s="25"/>
    </row>
    <row r="1027">
      <c r="G1027" s="25"/>
    </row>
    <row r="1028">
      <c r="G1028" s="25"/>
    </row>
    <row r="1029">
      <c r="G1029" s="25"/>
    </row>
    <row r="1030">
      <c r="G1030" s="25"/>
    </row>
    <row r="1031">
      <c r="G1031" s="25"/>
    </row>
    <row r="1032">
      <c r="G1032" s="25"/>
    </row>
    <row r="1033">
      <c r="G1033" s="25"/>
    </row>
    <row r="1034">
      <c r="G1034" s="25"/>
    </row>
    <row r="1035">
      <c r="G1035" s="25"/>
    </row>
    <row r="1036">
      <c r="G1036" s="25"/>
    </row>
    <row r="1037">
      <c r="G1037" s="25"/>
    </row>
    <row r="1038">
      <c r="G1038" s="25"/>
    </row>
    <row r="1039">
      <c r="G1039" s="25"/>
    </row>
    <row r="1040">
      <c r="G1040" s="25"/>
    </row>
    <row r="1041">
      <c r="G1041" s="25"/>
    </row>
    <row r="1042">
      <c r="G1042" s="25"/>
    </row>
    <row r="1043">
      <c r="G1043" s="25"/>
    </row>
    <row r="1044">
      <c r="G1044" s="25"/>
    </row>
    <row r="1045">
      <c r="G1045" s="25"/>
    </row>
    <row r="1046">
      <c r="G1046" s="25"/>
    </row>
    <row r="1047">
      <c r="G1047" s="25"/>
    </row>
    <row r="1048">
      <c r="G1048" s="25"/>
    </row>
    <row r="1049">
      <c r="G1049" s="25"/>
    </row>
    <row r="1050">
      <c r="G1050" s="25"/>
    </row>
    <row r="1051">
      <c r="G1051" s="25"/>
    </row>
    <row r="1052">
      <c r="G1052" s="25"/>
    </row>
    <row r="1053">
      <c r="G1053" s="25"/>
    </row>
    <row r="1054">
      <c r="G1054" s="25"/>
    </row>
    <row r="1055">
      <c r="G1055" s="25"/>
    </row>
    <row r="1056">
      <c r="G1056" s="25"/>
    </row>
    <row r="1057">
      <c r="G1057" s="25"/>
    </row>
    <row r="1058">
      <c r="G1058" s="25"/>
    </row>
    <row r="1059">
      <c r="G1059" s="25"/>
    </row>
    <row r="1060">
      <c r="G1060" s="25"/>
    </row>
    <row r="1061">
      <c r="G1061" s="25"/>
    </row>
    <row r="1062">
      <c r="G1062" s="25"/>
    </row>
    <row r="1063">
      <c r="G1063" s="25"/>
    </row>
    <row r="1064">
      <c r="G1064" s="25"/>
    </row>
    <row r="1065">
      <c r="G1065" s="25"/>
    </row>
    <row r="1066">
      <c r="G1066" s="25"/>
    </row>
    <row r="1067">
      <c r="G1067" s="25"/>
    </row>
    <row r="1068">
      <c r="G1068" s="25"/>
    </row>
    <row r="1069">
      <c r="G1069" s="25"/>
    </row>
    <row r="1070">
      <c r="G1070" s="25"/>
    </row>
    <row r="1071">
      <c r="G1071" s="25"/>
    </row>
    <row r="1072">
      <c r="G1072" s="25"/>
    </row>
    <row r="1073">
      <c r="G1073" s="25"/>
    </row>
    <row r="1074">
      <c r="G1074" s="25"/>
    </row>
    <row r="1075">
      <c r="G1075" s="25"/>
    </row>
    <row r="1076">
      <c r="G1076" s="25"/>
    </row>
    <row r="1077">
      <c r="G1077" s="25"/>
    </row>
    <row r="1078">
      <c r="G1078" s="25"/>
    </row>
    <row r="1079">
      <c r="G1079" s="25"/>
    </row>
    <row r="1080">
      <c r="G1080" s="25"/>
    </row>
    <row r="1081">
      <c r="G1081" s="25"/>
    </row>
    <row r="1082">
      <c r="G1082" s="25"/>
    </row>
    <row r="1083">
      <c r="G1083" s="25"/>
    </row>
    <row r="1084">
      <c r="G1084" s="25"/>
    </row>
    <row r="1085">
      <c r="G1085" s="25"/>
    </row>
    <row r="1086">
      <c r="G1086" s="25"/>
    </row>
    <row r="1087">
      <c r="G1087" s="25"/>
    </row>
    <row r="1088">
      <c r="G1088" s="25"/>
    </row>
    <row r="1089">
      <c r="G1089" s="25"/>
    </row>
    <row r="1090">
      <c r="G1090" s="25"/>
    </row>
    <row r="1091">
      <c r="G1091" s="25"/>
    </row>
    <row r="1092">
      <c r="G1092" s="25"/>
    </row>
    <row r="1093">
      <c r="G1093" s="25"/>
    </row>
    <row r="1094">
      <c r="G1094" s="25"/>
    </row>
    <row r="1095">
      <c r="G1095" s="25"/>
    </row>
    <row r="1096">
      <c r="G1096" s="25"/>
    </row>
    <row r="1097">
      <c r="G1097" s="25"/>
    </row>
    <row r="1098">
      <c r="G1098" s="25"/>
    </row>
    <row r="1099">
      <c r="G1099" s="25"/>
    </row>
    <row r="1100">
      <c r="G1100" s="25"/>
    </row>
    <row r="1101">
      <c r="G1101" s="25"/>
    </row>
    <row r="1102">
      <c r="G1102" s="25"/>
    </row>
    <row r="1103">
      <c r="G1103" s="25"/>
    </row>
    <row r="1104">
      <c r="G1104" s="25"/>
    </row>
    <row r="1105">
      <c r="G1105" s="25"/>
    </row>
    <row r="1106">
      <c r="G1106" s="25"/>
    </row>
    <row r="1107">
      <c r="G1107" s="25"/>
    </row>
    <row r="1108">
      <c r="G1108" s="25"/>
    </row>
    <row r="1109">
      <c r="G1109" s="25"/>
    </row>
    <row r="1110">
      <c r="G1110" s="25"/>
    </row>
    <row r="1111">
      <c r="G1111" s="25"/>
    </row>
    <row r="1112">
      <c r="G1112" s="25"/>
    </row>
    <row r="1113">
      <c r="G1113" s="25"/>
    </row>
    <row r="1114">
      <c r="G1114" s="25"/>
    </row>
    <row r="1115">
      <c r="G1115" s="25"/>
    </row>
    <row r="1116">
      <c r="G1116" s="25"/>
    </row>
    <row r="1117">
      <c r="G1117" s="25"/>
    </row>
    <row r="1118">
      <c r="G1118" s="25"/>
    </row>
    <row r="1119">
      <c r="G1119" s="25"/>
    </row>
    <row r="1120">
      <c r="G1120" s="25"/>
    </row>
    <row r="1121">
      <c r="G1121" s="25"/>
    </row>
    <row r="1122">
      <c r="G1122" s="25"/>
    </row>
    <row r="1123">
      <c r="G1123" s="25"/>
    </row>
    <row r="1124">
      <c r="G1124" s="25"/>
    </row>
    <row r="1125">
      <c r="G1125" s="25"/>
    </row>
    <row r="1126">
      <c r="G1126" s="25"/>
    </row>
    <row r="1127">
      <c r="G1127" s="25"/>
    </row>
    <row r="1128">
      <c r="G1128" s="25"/>
    </row>
    <row r="1129">
      <c r="G1129" s="25"/>
    </row>
    <row r="1130">
      <c r="G1130" s="25"/>
    </row>
    <row r="1131">
      <c r="G1131" s="25"/>
    </row>
    <row r="1132">
      <c r="G1132" s="25"/>
    </row>
    <row r="1133">
      <c r="G1133" s="25"/>
    </row>
    <row r="1134">
      <c r="G1134" s="25"/>
    </row>
    <row r="1135">
      <c r="G1135" s="25"/>
    </row>
    <row r="1136">
      <c r="G1136" s="25"/>
    </row>
    <row r="1137">
      <c r="G1137" s="25"/>
    </row>
    <row r="1138">
      <c r="G1138" s="25"/>
    </row>
    <row r="1139">
      <c r="G1139" s="25"/>
    </row>
    <row r="1140">
      <c r="G1140" s="25"/>
    </row>
    <row r="1141">
      <c r="G1141" s="25"/>
    </row>
    <row r="1142">
      <c r="G1142" s="25"/>
    </row>
    <row r="1143">
      <c r="G1143" s="25"/>
    </row>
    <row r="1144">
      <c r="G1144" s="25"/>
    </row>
    <row r="1145">
      <c r="G1145" s="25"/>
    </row>
    <row r="1146">
      <c r="G1146" s="25"/>
    </row>
    <row r="1147">
      <c r="G1147" s="25"/>
    </row>
    <row r="1148">
      <c r="G1148" s="25"/>
    </row>
    <row r="1149">
      <c r="G1149" s="25"/>
    </row>
    <row r="1150">
      <c r="G1150" s="25"/>
    </row>
    <row r="1151">
      <c r="G1151" s="25"/>
    </row>
    <row r="1152">
      <c r="G1152" s="25"/>
    </row>
    <row r="1153">
      <c r="G1153" s="25"/>
    </row>
    <row r="1154">
      <c r="G1154" s="25"/>
    </row>
    <row r="1155">
      <c r="G1155" s="25"/>
    </row>
    <row r="1156">
      <c r="G1156" s="25"/>
    </row>
    <row r="1157">
      <c r="G1157" s="25"/>
    </row>
    <row r="1158">
      <c r="G1158" s="25"/>
    </row>
    <row r="1159">
      <c r="G1159" s="25"/>
    </row>
    <row r="1160">
      <c r="G1160" s="25"/>
    </row>
    <row r="1161">
      <c r="G1161" s="25"/>
    </row>
    <row r="1162">
      <c r="G1162" s="25"/>
    </row>
    <row r="1163">
      <c r="G1163" s="25"/>
    </row>
    <row r="1164">
      <c r="G1164" s="25"/>
    </row>
    <row r="1165">
      <c r="G1165" s="25"/>
    </row>
    <row r="1166">
      <c r="G1166" s="25"/>
    </row>
    <row r="1167">
      <c r="G1167" s="25"/>
    </row>
    <row r="1168">
      <c r="G1168" s="25"/>
    </row>
    <row r="1169">
      <c r="G1169" s="25"/>
    </row>
    <row r="1170">
      <c r="G1170" s="25"/>
    </row>
    <row r="1171">
      <c r="G1171" s="25"/>
    </row>
    <row r="1172">
      <c r="G1172" s="25"/>
    </row>
    <row r="1173">
      <c r="G1173" s="25"/>
    </row>
    <row r="1174">
      <c r="G1174" s="25"/>
    </row>
    <row r="1175">
      <c r="G1175" s="25"/>
    </row>
    <row r="1176">
      <c r="G1176" s="25"/>
    </row>
    <row r="1177">
      <c r="G1177" s="25"/>
    </row>
    <row r="1178">
      <c r="G1178" s="25"/>
    </row>
    <row r="1179">
      <c r="G1179" s="25"/>
    </row>
    <row r="1180">
      <c r="G1180" s="25"/>
    </row>
    <row r="1181">
      <c r="G1181" s="25"/>
    </row>
    <row r="1182">
      <c r="G1182" s="25"/>
    </row>
    <row r="1183">
      <c r="G1183" s="25"/>
    </row>
    <row r="1184">
      <c r="G1184" s="25"/>
    </row>
    <row r="1185">
      <c r="G1185" s="25"/>
    </row>
    <row r="1186">
      <c r="G1186" s="25"/>
    </row>
    <row r="1187">
      <c r="G1187" s="25"/>
    </row>
    <row r="1188">
      <c r="G1188" s="25"/>
    </row>
    <row r="1189">
      <c r="G1189" s="25"/>
    </row>
    <row r="1190">
      <c r="G1190" s="25"/>
    </row>
    <row r="1191">
      <c r="G1191" s="25"/>
    </row>
    <row r="1192">
      <c r="G1192" s="25"/>
    </row>
    <row r="1193">
      <c r="G1193" s="25"/>
    </row>
    <row r="1194">
      <c r="G1194" s="25"/>
    </row>
    <row r="1195">
      <c r="G1195" s="25"/>
    </row>
    <row r="1196">
      <c r="G1196" s="25"/>
    </row>
    <row r="1197">
      <c r="G1197" s="25"/>
    </row>
    <row r="1198">
      <c r="G1198" s="25"/>
    </row>
    <row r="1199">
      <c r="G1199" s="25"/>
    </row>
    <row r="1200">
      <c r="G1200" s="25"/>
    </row>
    <row r="1201">
      <c r="G1201" s="25"/>
    </row>
    <row r="1202">
      <c r="G1202" s="25"/>
    </row>
    <row r="1203">
      <c r="G1203" s="25"/>
    </row>
    <row r="1204">
      <c r="G1204" s="25"/>
    </row>
    <row r="1205">
      <c r="G1205" s="25"/>
    </row>
    <row r="1206">
      <c r="G1206" s="25"/>
    </row>
    <row r="1207">
      <c r="G1207" s="25"/>
    </row>
    <row r="1208">
      <c r="G1208" s="25"/>
    </row>
    <row r="1209">
      <c r="G1209" s="25"/>
    </row>
    <row r="1210">
      <c r="G1210" s="25"/>
    </row>
    <row r="1211">
      <c r="G1211" s="25"/>
    </row>
    <row r="1212">
      <c r="G1212" s="25"/>
    </row>
    <row r="1213">
      <c r="G1213" s="25"/>
    </row>
    <row r="1214">
      <c r="G1214" s="25"/>
    </row>
    <row r="1215">
      <c r="G1215" s="25"/>
    </row>
    <row r="1216">
      <c r="G1216" s="25"/>
    </row>
    <row r="1217">
      <c r="G1217" s="25"/>
    </row>
    <row r="1218">
      <c r="G1218" s="25"/>
    </row>
    <row r="1219">
      <c r="G1219" s="25"/>
    </row>
    <row r="1220">
      <c r="G1220" s="25"/>
    </row>
    <row r="1221">
      <c r="G1221" s="25"/>
    </row>
    <row r="1222">
      <c r="G1222" s="25"/>
    </row>
    <row r="1223">
      <c r="G1223" s="25"/>
    </row>
    <row r="1224">
      <c r="G1224" s="25"/>
    </row>
    <row r="1225">
      <c r="G1225" s="25"/>
    </row>
    <row r="1226">
      <c r="G1226" s="25"/>
    </row>
    <row r="1227">
      <c r="G1227" s="25"/>
    </row>
    <row r="1228">
      <c r="G1228" s="25"/>
    </row>
    <row r="1229">
      <c r="G1229" s="25"/>
    </row>
    <row r="1230">
      <c r="G1230" s="25"/>
    </row>
    <row r="1231">
      <c r="G1231" s="25"/>
    </row>
    <row r="1232">
      <c r="G1232" s="25"/>
    </row>
    <row r="1233">
      <c r="G1233" s="25"/>
    </row>
    <row r="1234">
      <c r="G1234" s="25"/>
    </row>
    <row r="1235">
      <c r="G1235" s="25"/>
    </row>
    <row r="1236">
      <c r="G1236" s="25"/>
    </row>
    <row r="1237">
      <c r="G1237" s="25"/>
    </row>
    <row r="1238">
      <c r="G1238" s="25"/>
    </row>
    <row r="1239">
      <c r="G1239" s="25"/>
    </row>
  </sheetData>
  <conditionalFormatting sqref="A2:A80 B3:H80">
    <cfRule type="containsBlanks" dxfId="0" priority="1">
      <formula>LEN(TRIM(A2))=0</formula>
    </cfRule>
  </conditionalFormatting>
  <hyperlinks>
    <hyperlink r:id="rId1" ref="C2"/>
    <hyperlink r:id="rId2" ref="E2"/>
    <hyperlink r:id="rId3" ref="F2"/>
    <hyperlink r:id="rId4" ref="D8"/>
    <hyperlink r:id="rId5" ref="C15"/>
    <hyperlink r:id="rId6" ref="C20"/>
    <hyperlink r:id="rId7" ref="E23"/>
    <hyperlink r:id="rId8" ref="C24"/>
    <hyperlink r:id="rId9" ref="C43"/>
    <hyperlink r:id="rId10" ref="C44"/>
    <hyperlink r:id="rId11" ref="C49"/>
    <hyperlink r:id="rId12" ref="C53"/>
    <hyperlink r:id="rId13" ref="C70"/>
    <hyperlink r:id="rId14" ref="C81"/>
  </hyperlinks>
  <drawing r:id="rId15"/>
</worksheet>
</file>